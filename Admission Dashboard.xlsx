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eT" sheetId="1" r:id="rId5"/>
    <sheet state="visible" name="SoCDS" sheetId="2" r:id="rId6"/>
    <sheet state="visible" name="MSSSoA_UG" sheetId="3" r:id="rId7"/>
    <sheet state="visible" name="MSSSoA_PG" sheetId="4" r:id="rId8"/>
    <sheet state="visible" name="B. Tech Dairy" sheetId="5" r:id="rId9"/>
    <sheet state="visible" name="B. Tech Phyto" sheetId="6" r:id="rId10"/>
    <sheet state="visible" name="B. Tech Ag" sheetId="7" r:id="rId11"/>
    <sheet state="visible" name="Diploma" sheetId="8" r:id="rId12"/>
    <sheet state="visible" name="Nursing" sheetId="9" r:id="rId13"/>
    <sheet state="visible" name="SoM_BBA" sheetId="10" r:id="rId14"/>
    <sheet state="visible" name="SoF_BFSc" sheetId="11" r:id="rId15"/>
    <sheet state="visible" name="SoM_MBA ABM" sheetId="12" r:id="rId16"/>
    <sheet state="visible" name="SoF_MFSc" sheetId="13" r:id="rId17"/>
  </sheets>
  <definedNames>
    <definedName hidden="1" localSheetId="0" name="_xlnm._FilterDatabase">SoeT!$A$2:$J$170</definedName>
  </definedNames>
  <calcPr/>
</workbook>
</file>

<file path=xl/sharedStrings.xml><?xml version="1.0" encoding="utf-8"?>
<sst xmlns="http://schemas.openxmlformats.org/spreadsheetml/2006/main" count="19133" uniqueCount="5331">
  <si>
    <t>Sl. No.</t>
  </si>
  <si>
    <t>Full_name</t>
  </si>
  <si>
    <t>Email</t>
  </si>
  <si>
    <t>Phone_number</t>
  </si>
  <si>
    <t>State</t>
  </si>
  <si>
    <t>City</t>
  </si>
  <si>
    <t>FACULTY/STAFF NAME WHO CALLED</t>
  </si>
  <si>
    <t>STATUS</t>
  </si>
  <si>
    <t>REMARKS</t>
  </si>
  <si>
    <t>Lead Source</t>
  </si>
  <si>
    <t>Minish Pinkey Gamango</t>
  </si>
  <si>
    <t>Odisha</t>
  </si>
  <si>
    <t>Gajapati</t>
  </si>
  <si>
    <t>Tukuna Pradhan</t>
  </si>
  <si>
    <t>Intersted</t>
  </si>
  <si>
    <t>Intersted For Nursing</t>
  </si>
  <si>
    <t>Calude AI</t>
  </si>
  <si>
    <t>Monika Sabar</t>
  </si>
  <si>
    <t>jakubsabar260@gmail.com</t>
  </si>
  <si>
    <t>B.tech</t>
  </si>
  <si>
    <t>Padmini Dalai</t>
  </si>
  <si>
    <t>nayakbhabanisankar20@gmail.com</t>
  </si>
  <si>
    <t>Prangya Behera</t>
  </si>
  <si>
    <t>rohitsachin321@gmail.com</t>
  </si>
  <si>
    <t>Priyanka Mallick</t>
  </si>
  <si>
    <t>Sasmita Sabar</t>
  </si>
  <si>
    <t>sabarsasmita301@gmail.com</t>
  </si>
  <si>
    <t>Siphani Mandal</t>
  </si>
  <si>
    <t>justimayamandal@gmail.com</t>
  </si>
  <si>
    <t>Nashib Bhagyabati Raika</t>
  </si>
  <si>
    <t>raikaghasi86@gmail.com</t>
  </si>
  <si>
    <t>Ayush</t>
  </si>
  <si>
    <t>nprabha105@gmail.com</t>
  </si>
  <si>
    <t>p:+919939877004</t>
  </si>
  <si>
    <t>Bhagalpur</t>
  </si>
  <si>
    <t>Vikash Rathore</t>
  </si>
  <si>
    <t>Didn’t receive the call</t>
  </si>
  <si>
    <t>Meta Lead</t>
  </si>
  <si>
    <t>Nimesh Amreliya</t>
  </si>
  <si>
    <t>nimesh.amreliya@gmail.com</t>
  </si>
  <si>
    <t>p:+918153014127</t>
  </si>
  <si>
    <t>Amreli</t>
  </si>
  <si>
    <t>Number out of network coverage area</t>
  </si>
  <si>
    <t>Er Vedanand</t>
  </si>
  <si>
    <t>vedanand2001@gmail.com</t>
  </si>
  <si>
    <t>p:+916204909042</t>
  </si>
  <si>
    <t>Madhepura</t>
  </si>
  <si>
    <t>Engieering completed</t>
  </si>
  <si>
    <t>Santosh</t>
  </si>
  <si>
    <t>santoshwaddar123456789@gmail.com</t>
  </si>
  <si>
    <t>p:+919591430374</t>
  </si>
  <si>
    <t>Nelamangala</t>
  </si>
  <si>
    <t>Didn’t want to come this much far</t>
  </si>
  <si>
    <t>Keshav Kumar</t>
  </si>
  <si>
    <t>keshav.bits12@gmail.com</t>
  </si>
  <si>
    <t>p:+919135652560</t>
  </si>
  <si>
    <t>Samastipur Bihar</t>
  </si>
  <si>
    <t>He is an Electrical Engineer</t>
  </si>
  <si>
    <t>Mohammad Waseem Akhtar</t>
  </si>
  <si>
    <t>waseemface4u@gmail.com</t>
  </si>
  <si>
    <t>p:+919504981812</t>
  </si>
  <si>
    <t>Siwan</t>
  </si>
  <si>
    <t>He told he will talk in this regard later on</t>
  </si>
  <si>
    <t>Supradip Pradhan</t>
  </si>
  <si>
    <t>supradip85@gmail.com</t>
  </si>
  <si>
    <t>p:+918900215870</t>
  </si>
  <si>
    <t>Kolkata</t>
  </si>
  <si>
    <t>B.tech EEE</t>
  </si>
  <si>
    <t>Taraknath Kar</t>
  </si>
  <si>
    <t>kar20012121@gmail.com</t>
  </si>
  <si>
    <t>p:+918927970154</t>
  </si>
  <si>
    <t>Ggcrbb</t>
  </si>
  <si>
    <t>B.Tech EEE</t>
  </si>
  <si>
    <t>Prathamesh Malage</t>
  </si>
  <si>
    <t>pratameshmalage@gmail.com</t>
  </si>
  <si>
    <t>p:+919607769102</t>
  </si>
  <si>
    <t>Jat</t>
  </si>
  <si>
    <t>Aloke Mondal</t>
  </si>
  <si>
    <t>mondalalok552@gmail.com</t>
  </si>
  <si>
    <t>p:+919339989934</t>
  </si>
  <si>
    <t>Durgapur</t>
  </si>
  <si>
    <t>Incoming call restriction</t>
  </si>
  <si>
    <t>lethwala Bansi</t>
  </si>
  <si>
    <t>lethwalagroup@gmail.com</t>
  </si>
  <si>
    <t>p:+917984713933</t>
  </si>
  <si>
    <t>surat</t>
  </si>
  <si>
    <t>Not interested</t>
  </si>
  <si>
    <t>Shayam Pravesh</t>
  </si>
  <si>
    <t>chandanverma9966@gmail.com</t>
  </si>
  <si>
    <t>p:+919123106128</t>
  </si>
  <si>
    <t>Patna</t>
  </si>
  <si>
    <t>Supriya Biswas</t>
  </si>
  <si>
    <t>biswassupriyo1982@gmail.com</t>
  </si>
  <si>
    <t>p:+919830999869</t>
  </si>
  <si>
    <t>Birati</t>
  </si>
  <si>
    <t>Bijoy paul</t>
  </si>
  <si>
    <t>subhrasaha1992@gmail.com</t>
  </si>
  <si>
    <t>p:+918697674654</t>
  </si>
  <si>
    <t>Amit Kumar Gupta</t>
  </si>
  <si>
    <t>amitkumargupta8419@gmail.com</t>
  </si>
  <si>
    <t>p:+919835237007</t>
  </si>
  <si>
    <t>Chinsurah</t>
  </si>
  <si>
    <t>Vishal Kumar</t>
  </si>
  <si>
    <t>vishalry792@gmail.com</t>
  </si>
  <si>
    <t>p:+917319958043</t>
  </si>
  <si>
    <t>Gopalganj</t>
  </si>
  <si>
    <t>Sachin yadav</t>
  </si>
  <si>
    <t>sachinyadav70288@gmail.com</t>
  </si>
  <si>
    <t>p:+917424923094</t>
  </si>
  <si>
    <t>Nim ka Thana</t>
  </si>
  <si>
    <t>Injamul Hoque Injamul</t>
  </si>
  <si>
    <t>ih596500@gmail.com</t>
  </si>
  <si>
    <t>p:+919365605829</t>
  </si>
  <si>
    <t>Nagerbera</t>
  </si>
  <si>
    <t>Gulf experience 10 year</t>
  </si>
  <si>
    <t>binayshrivastav7054@gmail.com</t>
  </si>
  <si>
    <t>p:+917054802376</t>
  </si>
  <si>
    <t>Mumbai Sakinaka</t>
  </si>
  <si>
    <t>mohd sheraj</t>
  </si>
  <si>
    <t>Mohdsheraj7054@gimal.com</t>
  </si>
  <si>
    <t>p:+917054185711</t>
  </si>
  <si>
    <t>Mirzapur</t>
  </si>
  <si>
    <t>Goswami Birbal Giri</t>
  </si>
  <si>
    <t>birbalgiri255@gmail.com</t>
  </si>
  <si>
    <t>p:+918377948051</t>
  </si>
  <si>
    <t>Ghaziabad</t>
  </si>
  <si>
    <t>#DIMPLE__ANIL__</t>
  </si>
  <si>
    <t>anilkumar.myageri5@gmail.com</t>
  </si>
  <si>
    <t>p:+917795345830</t>
  </si>
  <si>
    <t>Muddebihal</t>
  </si>
  <si>
    <t>Chandan Kumar Goutam</t>
  </si>
  <si>
    <t>ck.goutam98@gmail.com</t>
  </si>
  <si>
    <t>p:+919905571964</t>
  </si>
  <si>
    <t>Ranchi</t>
  </si>
  <si>
    <t>Ahangir Hossain</t>
  </si>
  <si>
    <t>ahangirhossain@gmail.com</t>
  </si>
  <si>
    <t>p:+918617338326</t>
  </si>
  <si>
    <t>west Bengal</t>
  </si>
  <si>
    <t>Raiganj</t>
  </si>
  <si>
    <t>Dr. Rajib Kumar Majhi</t>
  </si>
  <si>
    <t>Follow up Required</t>
  </si>
  <si>
    <t>Will talk about it after 1 month. Needs follow up</t>
  </si>
  <si>
    <t>Ravi Kumar</t>
  </si>
  <si>
    <t>ravik92680@gmail.com</t>
  </si>
  <si>
    <t>p:+919102849268</t>
  </si>
  <si>
    <t>bihar</t>
  </si>
  <si>
    <t>B.Tech, Civil</t>
  </si>
  <si>
    <t>Rakibul Ansari</t>
  </si>
  <si>
    <t>ansarirakibul45@gmail.com</t>
  </si>
  <si>
    <t>p:+917407550526</t>
  </si>
  <si>
    <t>Bagula</t>
  </si>
  <si>
    <t>Not recieved</t>
  </si>
  <si>
    <t>Sambit Mohanty</t>
  </si>
  <si>
    <t>msambit98@gmail.com</t>
  </si>
  <si>
    <t>p:+917978652954</t>
  </si>
  <si>
    <t>Cuttack</t>
  </si>
  <si>
    <t>Shiivvansh</t>
  </si>
  <si>
    <t>anshupal2009@gmail.com</t>
  </si>
  <si>
    <t>p:+918708372303</t>
  </si>
  <si>
    <t>Gharaunda</t>
  </si>
  <si>
    <t>Panipat</t>
  </si>
  <si>
    <t>Not Internsted</t>
  </si>
  <si>
    <t>Not yet decided to do engineering</t>
  </si>
  <si>
    <t>Sudarsan Dutta</t>
  </si>
  <si>
    <t>sudarsanlnt2011@gmail.com</t>
  </si>
  <si>
    <t>p:+917682854820</t>
  </si>
  <si>
    <t>coochbehar</t>
  </si>
  <si>
    <t xml:space="preserve">Already employed in L&amp;T. Completed B. Tech. Interested in Management courses. </t>
  </si>
  <si>
    <t>suraj barla</t>
  </si>
  <si>
    <t>surajbarla36@gmail.com</t>
  </si>
  <si>
    <t>p:+919668575552</t>
  </si>
  <si>
    <t>rajgangpur</t>
  </si>
  <si>
    <t>Abdul Gaffar Mondal</t>
  </si>
  <si>
    <t>mondalimran@gmail.com</t>
  </si>
  <si>
    <t>p:+916297763432</t>
  </si>
  <si>
    <t>west bengal</t>
  </si>
  <si>
    <t>Not Reachable</t>
  </si>
  <si>
    <t xml:space="preserve">not receiving </t>
  </si>
  <si>
    <t>Deva Sankar Banchhor</t>
  </si>
  <si>
    <t>harisankarbanchhor13@gmail.com</t>
  </si>
  <si>
    <t>p:+919556955629</t>
  </si>
  <si>
    <t>Not sure now.. Will confirm after 1 month. Needs follow up</t>
  </si>
  <si>
    <t>surya prakash</t>
  </si>
  <si>
    <t>suryaprakash730@gmail.coms</t>
  </si>
  <si>
    <t>p:+919304044784</t>
  </si>
  <si>
    <t>want to do part time</t>
  </si>
  <si>
    <t>Harish</t>
  </si>
  <si>
    <t>malaharishraj@gmail.com</t>
  </si>
  <si>
    <t>p:+916374228904</t>
  </si>
  <si>
    <t>TN</t>
  </si>
  <si>
    <t xml:space="preserve">Not receiving </t>
  </si>
  <si>
    <t>BAL SIBANANDA DASH</t>
  </si>
  <si>
    <t>manashdash37@gmail.com</t>
  </si>
  <si>
    <t>p:+917008865178</t>
  </si>
  <si>
    <t>Balangir</t>
  </si>
  <si>
    <t>Negative response</t>
  </si>
  <si>
    <t>Samir Kumar Nayak</t>
  </si>
  <si>
    <t>samirnayak772@gmail.com</t>
  </si>
  <si>
    <t>p:+917815052100</t>
  </si>
  <si>
    <t>Orissa</t>
  </si>
  <si>
    <t>Dhenkanal</t>
  </si>
  <si>
    <t>Did not show any interest. Will call back if required</t>
  </si>
  <si>
    <t>Nagaraju Mathangi</t>
  </si>
  <si>
    <t>mathanginagaraju123@gmail.com</t>
  </si>
  <si>
    <t>p:+919676988098</t>
  </si>
  <si>
    <t>Telangana</t>
  </si>
  <si>
    <t>Hyderabad</t>
  </si>
  <si>
    <t>not interested to do in Odisha</t>
  </si>
  <si>
    <t>CHOTAN DAS</t>
  </si>
  <si>
    <t>chotand621@gmail.co</t>
  </si>
  <si>
    <t>p:+917044978455</t>
  </si>
  <si>
    <t>West Bengal</t>
  </si>
  <si>
    <t xml:space="preserve">not connected </t>
  </si>
  <si>
    <t>soumya ranjan parida</t>
  </si>
  <si>
    <t>soumyaparida427@gmail.com</t>
  </si>
  <si>
    <t>p:+919583241658</t>
  </si>
  <si>
    <t>odisha</t>
  </si>
  <si>
    <t>tihidi</t>
  </si>
  <si>
    <t>Already completed Graduation and doing contracting and married. Not interested</t>
  </si>
  <si>
    <t>Vansh Rai</t>
  </si>
  <si>
    <t>nikhilrai72689@gmail.com</t>
  </si>
  <si>
    <t>p:+919305080327</t>
  </si>
  <si>
    <t>Up</t>
  </si>
  <si>
    <t>Hhg</t>
  </si>
  <si>
    <t>not connected</t>
  </si>
  <si>
    <t>ČHhora Ýash Ďarihara Wala</t>
  </si>
  <si>
    <t>yashsarma6789@gmail.com</t>
  </si>
  <si>
    <t>p:+918434325436</t>
  </si>
  <si>
    <t>BR</t>
  </si>
  <si>
    <t>Bihar</t>
  </si>
  <si>
    <t>Veerpal Singh</t>
  </si>
  <si>
    <t>veerpalshing1985@gmail.com</t>
  </si>
  <si>
    <t>p:+917898136066</t>
  </si>
  <si>
    <t>m.p</t>
  </si>
  <si>
    <t>Gwalior</t>
  </si>
  <si>
    <t>Sahoo Surendar</t>
  </si>
  <si>
    <t>sahusurendra39872@gmail.com</t>
  </si>
  <si>
    <t>p:+918260402760</t>
  </si>
  <si>
    <t>OR</t>
  </si>
  <si>
    <t>Rourkela</t>
  </si>
  <si>
    <t>Dolphin Gochhayat</t>
  </si>
  <si>
    <t>dolphingochhayat18@gmail.com</t>
  </si>
  <si>
    <t>p:+917077163461</t>
  </si>
  <si>
    <t>Deogarh</t>
  </si>
  <si>
    <t>Course not available</t>
  </si>
  <si>
    <t>Anup Chatterjee</t>
  </si>
  <si>
    <t>anupc5217@gmail.com</t>
  </si>
  <si>
    <t>p:+919874547042</t>
  </si>
  <si>
    <t>kolkata</t>
  </si>
  <si>
    <t>Unable to connect</t>
  </si>
  <si>
    <t>Kulla Kulluu</t>
  </si>
  <si>
    <t>dufhytk7@gmail.com</t>
  </si>
  <si>
    <t>p:+919679505762</t>
  </si>
  <si>
    <t>Birmitrapur</t>
  </si>
  <si>
    <t>Shabnam Ara</t>
  </si>
  <si>
    <t>shabnamara9433741438@gmail.com</t>
  </si>
  <si>
    <t>p:+919433741438</t>
  </si>
  <si>
    <t>WB Kolkata</t>
  </si>
  <si>
    <t>Suren Meher</t>
  </si>
  <si>
    <t>mehersuren446@gmail.com</t>
  </si>
  <si>
    <t>p:+917848051195</t>
  </si>
  <si>
    <t>Shishupal Kumar</t>
  </si>
  <si>
    <t>psisu5607@gmail.com</t>
  </si>
  <si>
    <t>p:+918448692073</t>
  </si>
  <si>
    <t>Shishupal</t>
  </si>
  <si>
    <t>Amitabh Bachchan</t>
  </si>
  <si>
    <t>Mithun Roy</t>
  </si>
  <si>
    <t>roy123mithun1991@gmail.com</t>
  </si>
  <si>
    <t>p:+918250296054</t>
  </si>
  <si>
    <t>wb</t>
  </si>
  <si>
    <t>Siliguri</t>
  </si>
  <si>
    <t>Location Issue</t>
  </si>
  <si>
    <t>Md Alamgeer</t>
  </si>
  <si>
    <t>alamgeermd885@gmail.com</t>
  </si>
  <si>
    <t>p:+919006958950</t>
  </si>
  <si>
    <t>jharkhand</t>
  </si>
  <si>
    <t>Barharwa</t>
  </si>
  <si>
    <t>Thanda Srinivas Goud Thanda</t>
  </si>
  <si>
    <t>tsrinivas659@gmail.com</t>
  </si>
  <si>
    <t>p:+919908637072</t>
  </si>
  <si>
    <t>talngan</t>
  </si>
  <si>
    <t>Hydrabad</t>
  </si>
  <si>
    <t>rajak dilip</t>
  </si>
  <si>
    <t>kumardilip74883746@gmail.com</t>
  </si>
  <si>
    <t>p:+917488374667</t>
  </si>
  <si>
    <t>Nokha</t>
  </si>
  <si>
    <t>JM TILE FITTING TECHNICAL</t>
  </si>
  <si>
    <t>lojm507@gmail.com</t>
  </si>
  <si>
    <t>p:+917727921541</t>
  </si>
  <si>
    <t>rajsthan</t>
  </si>
  <si>
    <t>ajmer</t>
  </si>
  <si>
    <t>Saurabh Sarkar K</t>
  </si>
  <si>
    <t>st9143922@gmail.com</t>
  </si>
  <si>
    <t>p:+918521137568</t>
  </si>
  <si>
    <t>Purna Nalluru</t>
  </si>
  <si>
    <t>purnanalluru@gmail.com</t>
  </si>
  <si>
    <t>p:+919949590129</t>
  </si>
  <si>
    <t>Tg</t>
  </si>
  <si>
    <t>Already enrolled somewhere else</t>
  </si>
  <si>
    <t>Padman Jani</t>
  </si>
  <si>
    <t>janipadman81@gmail.com</t>
  </si>
  <si>
    <t>p:+919078825446</t>
  </si>
  <si>
    <t>Umerkote</t>
  </si>
  <si>
    <t>Rahul Yadav</t>
  </si>
  <si>
    <t>rahulkumar4160229@gmail.com</t>
  </si>
  <si>
    <t>p:+917091799740</t>
  </si>
  <si>
    <t>Sandeepkumar Ramsagar Sah</t>
  </si>
  <si>
    <t>sandeepkumarsah1985@gmail.com</t>
  </si>
  <si>
    <t>p:+919709677552</t>
  </si>
  <si>
    <t>Begusarai</t>
  </si>
  <si>
    <t>Mahesh</t>
  </si>
  <si>
    <t>mahesh99@gmail.com</t>
  </si>
  <si>
    <t>p:+919553579752</t>
  </si>
  <si>
    <t>Khammam</t>
  </si>
  <si>
    <t>ASHUTOSH KUMAR</t>
  </si>
  <si>
    <t>sweetikumari72302@gmail.com</t>
  </si>
  <si>
    <t>p:+916201901092</t>
  </si>
  <si>
    <t>Lakhisarai</t>
  </si>
  <si>
    <t>Parikhita Saha</t>
  </si>
  <si>
    <t>parikhitasaha@gmail.com</t>
  </si>
  <si>
    <t>p:+919668273373</t>
  </si>
  <si>
    <t>jajapur</t>
  </si>
  <si>
    <t>Firoj Alam Shaikh</t>
  </si>
  <si>
    <t>firojahmedkhan7050@gmail.com</t>
  </si>
  <si>
    <t>p:+919136325750</t>
  </si>
  <si>
    <t>GJ</t>
  </si>
  <si>
    <t>Surat</t>
  </si>
  <si>
    <t>অ জ য়</t>
  </si>
  <si>
    <t>ajoymondal69549@gmail.com</t>
  </si>
  <si>
    <t>p:+918250134315</t>
  </si>
  <si>
    <t>dakshin 24 pargana</t>
  </si>
  <si>
    <t>Bangalore</t>
  </si>
  <si>
    <t>Rishi Khattri</t>
  </si>
  <si>
    <t>khattririshi@gmail.com</t>
  </si>
  <si>
    <t>p:+919706295751</t>
  </si>
  <si>
    <t>Assam</t>
  </si>
  <si>
    <t>Silchar</t>
  </si>
  <si>
    <t>M Balaji Reddy</t>
  </si>
  <si>
    <t>mbalajireddy306@gmail.com</t>
  </si>
  <si>
    <t>p:+917077506190</t>
  </si>
  <si>
    <t>Not Connected</t>
  </si>
  <si>
    <t>Dayaram Singh</t>
  </si>
  <si>
    <t>singhdayaram502@gmail.com</t>
  </si>
  <si>
    <t>p:+919559817708</t>
  </si>
  <si>
    <t>Uttar Pradesh</t>
  </si>
  <si>
    <t>Gorakhpur UTTAR PRADESH</t>
  </si>
  <si>
    <t>MD Ekbal Ekbal</t>
  </si>
  <si>
    <t>mdekbalekbal084@gmail.com</t>
  </si>
  <si>
    <t>p:+917739868791</t>
  </si>
  <si>
    <t>Himanshu Prajapati</t>
  </si>
  <si>
    <t>himanshu.mau1998@gmail.com</t>
  </si>
  <si>
    <t>p:+919125916276</t>
  </si>
  <si>
    <t>Mau</t>
  </si>
  <si>
    <t>Sonu Singh</t>
  </si>
  <si>
    <t>sonushin989@gmail.com</t>
  </si>
  <si>
    <t>p:+919236577509</t>
  </si>
  <si>
    <t>kushinagar</t>
  </si>
  <si>
    <t>Yuvraj Rankawat</t>
  </si>
  <si>
    <t>rankawat5100@gmail.com</t>
  </si>
  <si>
    <t>p:+917073756863</t>
  </si>
  <si>
    <t>Rajasthan</t>
  </si>
  <si>
    <t>Udaipur</t>
  </si>
  <si>
    <t>Ramesh Chandra Patra</t>
  </si>
  <si>
    <t>rameshq789@gmail.com</t>
  </si>
  <si>
    <t>p:+919556499196</t>
  </si>
  <si>
    <t>Berhampur</t>
  </si>
  <si>
    <t>sahil Ansari</t>
  </si>
  <si>
    <t>zafar.ansari20@gmil.com</t>
  </si>
  <si>
    <t>p:+918303227339</t>
  </si>
  <si>
    <t>Maharashtra</t>
  </si>
  <si>
    <t>Pune</t>
  </si>
  <si>
    <t>Sujit Mishra</t>
  </si>
  <si>
    <t>Not intersted to do B.Tech</t>
  </si>
  <si>
    <t>Md.Wasim Raja</t>
  </si>
  <si>
    <t>wa381979@gmail.com</t>
  </si>
  <si>
    <t>p:+919883429561</t>
  </si>
  <si>
    <t>Purulia</t>
  </si>
  <si>
    <t>shiksha jaiswal</t>
  </si>
  <si>
    <t>sikujaiswal11@gmail.com</t>
  </si>
  <si>
    <t>p:+917044571909</t>
  </si>
  <si>
    <t>India</t>
  </si>
  <si>
    <t>Need Online courses</t>
  </si>
  <si>
    <t>Adarsha Sahoo</t>
  </si>
  <si>
    <t>adarshasahoo8144@gmail.com</t>
  </si>
  <si>
    <t>p:+918018170790</t>
  </si>
  <si>
    <t>Bhubaneswar</t>
  </si>
  <si>
    <t>Ranjan kumar Rath</t>
  </si>
  <si>
    <t>ranjankumarrath7@gmail.com</t>
  </si>
  <si>
    <t>p:+919556171920</t>
  </si>
  <si>
    <t>Intersted in Distance Diploma. On job Now</t>
  </si>
  <si>
    <t>ᴛ€J@</t>
  </si>
  <si>
    <t>saiteja.k1025@gmail.com</t>
  </si>
  <si>
    <t>p:+917981350388</t>
  </si>
  <si>
    <t>Andhrapradesh</t>
  </si>
  <si>
    <t>Srilakulam</t>
  </si>
  <si>
    <t>Mehaboob</t>
  </si>
  <si>
    <t>mehaboob@gmail.com</t>
  </si>
  <si>
    <t>p:+919448008785</t>
  </si>
  <si>
    <t>Karnataka</t>
  </si>
  <si>
    <t>Manvi</t>
  </si>
  <si>
    <t>On Job</t>
  </si>
  <si>
    <t>Anil Partab</t>
  </si>
  <si>
    <t>anilpartab90@gmail.com</t>
  </si>
  <si>
    <t>p:+919987738155</t>
  </si>
  <si>
    <t>Balrampur</t>
  </si>
  <si>
    <t>राजेश कुमार यादव</t>
  </si>
  <si>
    <t>rajeshk23421@gmail.com</t>
  </si>
  <si>
    <t>p:+9525548108</t>
  </si>
  <si>
    <t>बिहार</t>
  </si>
  <si>
    <t>पटना</t>
  </si>
  <si>
    <t>Himansu Sekhar Parida</t>
  </si>
  <si>
    <t>himansusekharparida21@gmail.com</t>
  </si>
  <si>
    <t>p:+918249966029</t>
  </si>
  <si>
    <t>Dr. Dukhishyam Sabat</t>
  </si>
  <si>
    <t>Wrong information provided-Already graduated</t>
  </si>
  <si>
    <t>Anil Das</t>
  </si>
  <si>
    <t>28anildas@gmail.com</t>
  </si>
  <si>
    <t>p:+917349568670</t>
  </si>
  <si>
    <t>He is in 2nd year</t>
  </si>
  <si>
    <t>Ashutosh</t>
  </si>
  <si>
    <t>biswalasutosh375@gmail.com</t>
  </si>
  <si>
    <t>p:+918984166904</t>
  </si>
  <si>
    <t>Not responding.</t>
  </si>
  <si>
    <t>A Tirupati Rao</t>
  </si>
  <si>
    <t>raoatripat@gmail.com</t>
  </si>
  <si>
    <t>p:+918895678102</t>
  </si>
  <si>
    <t>koraput</t>
  </si>
  <si>
    <t>Wrong Number</t>
  </si>
  <si>
    <t>Nobody is studying in Science</t>
  </si>
  <si>
    <t>AR kumar</t>
  </si>
  <si>
    <t>mohantayamar180@gimil.com</t>
  </si>
  <si>
    <t>p:+919692644784</t>
  </si>
  <si>
    <t>Not intersted</t>
  </si>
  <si>
    <t>SUMIT SOURAV PATRA</t>
  </si>
  <si>
    <t>sumitpatra119@gmail.com</t>
  </si>
  <si>
    <t>p:+919692156812</t>
  </si>
  <si>
    <t>He told he will call later, I called again he has not responded.</t>
  </si>
  <si>
    <t>S Babiram</t>
  </si>
  <si>
    <t>s.babiram@gmail.com</t>
  </si>
  <si>
    <t>p:+917008630377</t>
  </si>
  <si>
    <t>Failed in Intermediate</t>
  </si>
  <si>
    <t>Priyadarshini Patnaik</t>
  </si>
  <si>
    <t>priyadarshinipatnaik451@gmail.com</t>
  </si>
  <si>
    <t>p:+917735452831</t>
  </si>
  <si>
    <t>Jharsuguda</t>
  </si>
  <si>
    <t>Already graduated.</t>
  </si>
  <si>
    <t>Rangaraju ML</t>
  </si>
  <si>
    <t>rangarajulrs27011999@gmail.com</t>
  </si>
  <si>
    <t>p:+917259802174</t>
  </si>
  <si>
    <t>super</t>
  </si>
  <si>
    <t>Arup Sarkar</t>
  </si>
  <si>
    <t>arupkumar.sarkar@rediffmail.com</t>
  </si>
  <si>
    <t>p:+919376938387</t>
  </si>
  <si>
    <t>Tamilnadu</t>
  </si>
  <si>
    <t>Tirupur</t>
  </si>
  <si>
    <t>Not reachable.</t>
  </si>
  <si>
    <t>Maha Veer Singh</t>
  </si>
  <si>
    <t>mahabirsingh03641@gmail.com</t>
  </si>
  <si>
    <t>p:+918340334750</t>
  </si>
  <si>
    <t>Delhi</t>
  </si>
  <si>
    <t>MOHD. ANIS ANSARI</t>
  </si>
  <si>
    <t>B.Tech Completed in 2018</t>
  </si>
  <si>
    <t>mdirshad</t>
  </si>
  <si>
    <t>faizan352r@gmail.com</t>
  </si>
  <si>
    <t>p:+918918390379</t>
  </si>
  <si>
    <t>asansol</t>
  </si>
  <si>
    <t>Avdhesh Kumar</t>
  </si>
  <si>
    <t>avdhesh5464747474@gmail.com</t>
  </si>
  <si>
    <t>p:+916287929302</t>
  </si>
  <si>
    <t>saharsa</t>
  </si>
  <si>
    <t>Dinesh Kumar Nayak</t>
  </si>
  <si>
    <t>nayaklipu764@gmail.com</t>
  </si>
  <si>
    <t>p:+917003917543</t>
  </si>
  <si>
    <t>Westbengal</t>
  </si>
  <si>
    <t>P. S Rao</t>
  </si>
  <si>
    <t>psrao1234jsr@gmail.com</t>
  </si>
  <si>
    <t>p:+919973659691</t>
  </si>
  <si>
    <t>Jamshedpur</t>
  </si>
  <si>
    <t xml:space="preserve">Intersted in CSE . Local PKD </t>
  </si>
  <si>
    <t>Kaushal Kishor Kumar</t>
  </si>
  <si>
    <t>kk912292@gmail.com</t>
  </si>
  <si>
    <t>p:+917488137595</t>
  </si>
  <si>
    <t>Arwal</t>
  </si>
  <si>
    <t>Rahul Sharma</t>
  </si>
  <si>
    <t>shivbiharisharman@gmail.com</t>
  </si>
  <si>
    <t>p:+919455363861</t>
  </si>
  <si>
    <t>AP</t>
  </si>
  <si>
    <t>Ballia</t>
  </si>
  <si>
    <t>Prabhu Prasad parida</t>
  </si>
  <si>
    <t>prabhuprasadparida2002@gmail.com</t>
  </si>
  <si>
    <t>p:+919438078076</t>
  </si>
  <si>
    <t>kendrapada</t>
  </si>
  <si>
    <t>He done diploma and not intersted for higher studies</t>
  </si>
  <si>
    <t>Pulsar Shiva Raj</t>
  </si>
  <si>
    <t>raju143360@gmail.com</t>
  </si>
  <si>
    <t>p:+919491003926</t>
  </si>
  <si>
    <t>ts</t>
  </si>
  <si>
    <t>Guntur</t>
  </si>
  <si>
    <t>Tapas Deb Nath</t>
  </si>
  <si>
    <t>tanaydebnath1415@gmail.com</t>
  </si>
  <si>
    <t>p:+918795911415</t>
  </si>
  <si>
    <t>Lucknow</t>
  </si>
  <si>
    <t>Omkar Kumar</t>
  </si>
  <si>
    <t>ok2383189@gmail.com</t>
  </si>
  <si>
    <t>p:+917398359093</t>
  </si>
  <si>
    <t>UP</t>
  </si>
  <si>
    <t>Barabanki</t>
  </si>
  <si>
    <t>Thakor Gopalkumar</t>
  </si>
  <si>
    <t>rajavihat1111@gmail.com</t>
  </si>
  <si>
    <t>p:+917990303648</t>
  </si>
  <si>
    <t>Gujrat</t>
  </si>
  <si>
    <t>Will talk with his  brother and decided for his carrier options</t>
  </si>
  <si>
    <t>Lakshyajit Barai</t>
  </si>
  <si>
    <t>barailakshyajit02@gmail.com</t>
  </si>
  <si>
    <t>p:+919365962696</t>
  </si>
  <si>
    <t>assam</t>
  </si>
  <si>
    <t>TEZPUR</t>
  </si>
  <si>
    <t>Mithlesh Kumar Shaarma</t>
  </si>
  <si>
    <t>mithleshsharma3498@gmail.com</t>
  </si>
  <si>
    <t>p:+917739594158</t>
  </si>
  <si>
    <t>Ghar jila Supaul</t>
  </si>
  <si>
    <t>intersted in diploma Mechanical</t>
  </si>
  <si>
    <t>Natha Tudu</t>
  </si>
  <si>
    <t>nathatudu111@gmail.com</t>
  </si>
  <si>
    <t>p:+917894730454</t>
  </si>
  <si>
    <t>Keonjhar</t>
  </si>
  <si>
    <t>Not intersted in studies</t>
  </si>
  <si>
    <t>Dipu Singha</t>
  </si>
  <si>
    <t>dipusingha600@gmail.com</t>
  </si>
  <si>
    <t>p:+917584954696</t>
  </si>
  <si>
    <t>West bengal</t>
  </si>
  <si>
    <t>HARIKRISHNA</t>
  </si>
  <si>
    <t>harikrishnanilurouthu9676@gmail.com</t>
  </si>
  <si>
    <t>p:+918179183579</t>
  </si>
  <si>
    <t>Andhra Pradesh</t>
  </si>
  <si>
    <t>Regidi Amadalavalasa</t>
  </si>
  <si>
    <t>sanjeet paswan</t>
  </si>
  <si>
    <t>sanjeetpaswan3@gmail.com</t>
  </si>
  <si>
    <t>p:+917544085366</t>
  </si>
  <si>
    <t>hazaribag</t>
  </si>
  <si>
    <t>Forizul Hoque</t>
  </si>
  <si>
    <t>forizulh1@gmail.com</t>
  </si>
  <si>
    <t>p:+919395515183</t>
  </si>
  <si>
    <t>nagobera</t>
  </si>
  <si>
    <t>Mohanlal Hansdak</t>
  </si>
  <si>
    <t>mohanlalhansdak6@gmail.com</t>
  </si>
  <si>
    <t>p:+919771330032</t>
  </si>
  <si>
    <t>sahebganj</t>
  </si>
  <si>
    <t>Working as a labouer</t>
  </si>
  <si>
    <t>Rafika Raut</t>
  </si>
  <si>
    <t>rautrafika07@gmail.com</t>
  </si>
  <si>
    <t>p:+918967846170</t>
  </si>
  <si>
    <t>Rajnagar</t>
  </si>
  <si>
    <t>Abhijit Ghosal</t>
  </si>
  <si>
    <t>abhijitghosal98cr2@gmail.com</t>
  </si>
  <si>
    <t>p:+917679094840</t>
  </si>
  <si>
    <t>Spìrãl Đév</t>
  </si>
  <si>
    <t>spiraldev555@gmail.com</t>
  </si>
  <si>
    <t>p:+917326995551</t>
  </si>
  <si>
    <t>Betnoti</t>
  </si>
  <si>
    <t>Pabitra Nahak</t>
  </si>
  <si>
    <t>pabitranahak30@gmail.com</t>
  </si>
  <si>
    <t>p:+919556030216</t>
  </si>
  <si>
    <t>Berhmapur Odisha</t>
  </si>
  <si>
    <t>mb doesnot exist</t>
  </si>
  <si>
    <t>Satyabratabehera</t>
  </si>
  <si>
    <t>satyabratabehera9438@gmail.com</t>
  </si>
  <si>
    <t>p:+919861532401</t>
  </si>
  <si>
    <t>He completed M.Tech with backlog and need Job</t>
  </si>
  <si>
    <t>Rudranarayan Mondal</t>
  </si>
  <si>
    <t>narayanmandalrudra@gmail.com</t>
  </si>
  <si>
    <t>p:+919547483337</t>
  </si>
  <si>
    <t>Haldia</t>
  </si>
  <si>
    <t>akash singh</t>
  </si>
  <si>
    <t>a80627577@gmail.com</t>
  </si>
  <si>
    <t>p:+916386893740</t>
  </si>
  <si>
    <t>Vinod Ganasva</t>
  </si>
  <si>
    <t>bariyaramila4@gmail.com</t>
  </si>
  <si>
    <t>p:+917984329494</t>
  </si>
  <si>
    <t>Gujarat</t>
  </si>
  <si>
    <t>Vadodara</t>
  </si>
  <si>
    <t>Ankit S Negi</t>
  </si>
  <si>
    <t>negiankitnegi64@gmail.com</t>
  </si>
  <si>
    <t>p:+917830903083</t>
  </si>
  <si>
    <t>Uttrakhand</t>
  </si>
  <si>
    <t>Dehradun</t>
  </si>
  <si>
    <t xml:space="preserve">B.Tech completed  </t>
  </si>
  <si>
    <t>Ravindra Xalxo</t>
  </si>
  <si>
    <t>ravindraxalxo742@gmail.com</t>
  </si>
  <si>
    <t>p:+917067318371</t>
  </si>
  <si>
    <t>Chhattisgarh</t>
  </si>
  <si>
    <t>Baikunthpur</t>
  </si>
  <si>
    <t>Lakhan Hembrom</t>
  </si>
  <si>
    <t>lakhanhembrom68@gmail.com</t>
  </si>
  <si>
    <t>p:+918378907868</t>
  </si>
  <si>
    <t>ghatshila</t>
  </si>
  <si>
    <t>~|⟨!₹@π~</t>
  </si>
  <si>
    <t>kirankumarbarad3064@gmail.com</t>
  </si>
  <si>
    <t>p:+919182833064</t>
  </si>
  <si>
    <t>Srikakulam</t>
  </si>
  <si>
    <t xml:space="preserve">Faculty Email Address
</t>
  </si>
  <si>
    <t>Satish Chandra</t>
  </si>
  <si>
    <t>satish04chandra@gmail.com</t>
  </si>
  <si>
    <t>p:+919905356595</t>
  </si>
  <si>
    <t>Paliganj</t>
  </si>
  <si>
    <t>Dr.Prangya Parimita Pradhan</t>
  </si>
  <si>
    <t>prangya.pradhan@cutm.ac.in</t>
  </si>
  <si>
    <t>b,s,y</t>
  </si>
  <si>
    <t>bikkub570@gmail.com</t>
  </si>
  <si>
    <t>p:+919523819448</t>
  </si>
  <si>
    <t>Kalali Gokul Bigha</t>
  </si>
  <si>
    <t>Dr. Prangya Parimita Pradhan</t>
  </si>
  <si>
    <t>Dablu Kumar</t>
  </si>
  <si>
    <t>dablukumar43208@gmail.com</t>
  </si>
  <si>
    <t>p:+917209350606</t>
  </si>
  <si>
    <t>दुकान</t>
  </si>
  <si>
    <t>कुशवाहा ठाकुर</t>
  </si>
  <si>
    <t>praveenkumar69448510@gmail.com</t>
  </si>
  <si>
    <t>p:+917737191872</t>
  </si>
  <si>
    <t>Pk</t>
  </si>
  <si>
    <t xml:space="preserve">prangya.pradhan@cutm.ac.in
</t>
  </si>
  <si>
    <t>Md Jamshed Alam</t>
  </si>
  <si>
    <t>jamshedalamkps786@gmail.com</t>
  </si>
  <si>
    <t>p:+919452217368</t>
  </si>
  <si>
    <t>UTTAR PRADESH</t>
  </si>
  <si>
    <t>deoria</t>
  </si>
  <si>
    <t>by mistake click</t>
  </si>
  <si>
    <t>Arun Kumar</t>
  </si>
  <si>
    <t>arunkumar21383@gmail.com</t>
  </si>
  <si>
    <t>p:+917549736915</t>
  </si>
  <si>
    <t>Sarita Mukhi viral video</t>
  </si>
  <si>
    <t>anjalimukhi16@gmail.com</t>
  </si>
  <si>
    <t>p:+918695777113</t>
  </si>
  <si>
    <t>good morning</t>
  </si>
  <si>
    <t>Bengal Purulia jila Agra</t>
  </si>
  <si>
    <t>सूरज अम्बेडकर बादी</t>
  </si>
  <si>
    <t>storylove2739@gmail.com</t>
  </si>
  <si>
    <t>p:+917061260958</t>
  </si>
  <si>
    <t>Sheikhpura</t>
  </si>
  <si>
    <t>Ravindra Kumar</t>
  </si>
  <si>
    <t>ravindra121yy@gmail.com</t>
  </si>
  <si>
    <t>p:+918899119607</t>
  </si>
  <si>
    <t>Supaul</t>
  </si>
  <si>
    <t>Bikram Suklabaidya</t>
  </si>
  <si>
    <t>bikramsuklabadya635@gmail.com</t>
  </si>
  <si>
    <t>p:+919854108667</t>
  </si>
  <si>
    <t>Yàdàv Bàbu Islàmpùr</t>
  </si>
  <si>
    <t>rajeshraj05122001@gmail.com</t>
  </si>
  <si>
    <t>p:+918678853307</t>
  </si>
  <si>
    <t>Islampur</t>
  </si>
  <si>
    <t>already doing Nursing</t>
  </si>
  <si>
    <t>Murari Kumar1234</t>
  </si>
  <si>
    <t>murarikumar236@gmail.com</t>
  </si>
  <si>
    <t>p:+918051744246</t>
  </si>
  <si>
    <t>by mistake</t>
  </si>
  <si>
    <t>Monalisha Pradhana</t>
  </si>
  <si>
    <t>Chandragiri</t>
  </si>
  <si>
    <t>Satyanarayan Sahu</t>
  </si>
  <si>
    <t>satya.sahu@cutm.ac.in</t>
  </si>
  <si>
    <t>She will discuss with parents and inform</t>
  </si>
  <si>
    <t>Rajani Raita</t>
  </si>
  <si>
    <t>raitadandapani82@gmail.com</t>
  </si>
  <si>
    <t>Switched off</t>
  </si>
  <si>
    <t>Ranjan Mallick</t>
  </si>
  <si>
    <t>MALLICKRANJAN756@GMAIL.COM</t>
  </si>
  <si>
    <t>Adava</t>
  </si>
  <si>
    <t>Not received</t>
  </si>
  <si>
    <t>Rasmita Sabar</t>
  </si>
  <si>
    <t>radheswarsabar21@gmail.com</t>
  </si>
  <si>
    <t>Garabandha</t>
  </si>
  <si>
    <t>Ribika Mallick</t>
  </si>
  <si>
    <t>Karchabadi</t>
  </si>
  <si>
    <t>Rishikapur Limma</t>
  </si>
  <si>
    <t>sanulima887096@gmail.com</t>
  </si>
  <si>
    <t>R Udayagiri</t>
  </si>
  <si>
    <t>Rishma Nayak</t>
  </si>
  <si>
    <t>anishanayak567@gmail.com</t>
  </si>
  <si>
    <t>Rohit Nayak</t>
  </si>
  <si>
    <t>rn4339185@gmail.com</t>
  </si>
  <si>
    <t>Mohana</t>
  </si>
  <si>
    <t>Sahil Kumar Pani</t>
  </si>
  <si>
    <t>paniamas403@gmail.com</t>
  </si>
  <si>
    <t>Saltiel Nayak</t>
  </si>
  <si>
    <t>Saltielnayak154@gmail.com</t>
  </si>
  <si>
    <t>Sambit Ghadei</t>
  </si>
  <si>
    <t>nilachalkarjee1@gmail.com</t>
  </si>
  <si>
    <t>Samuel Mallick</t>
  </si>
  <si>
    <t>Sangita Majhi</t>
  </si>
  <si>
    <t>sangitamajhi2024@gmail.com</t>
  </si>
  <si>
    <t>Sanjaya Sabar</t>
  </si>
  <si>
    <t>Sanjibani Raita</t>
  </si>
  <si>
    <t>lukaraita5@gmail.com</t>
  </si>
  <si>
    <t>Interested for BSc Nurshing</t>
  </si>
  <si>
    <t>Santilata Karjee</t>
  </si>
  <si>
    <t>santilatakarjee44@gmail.com</t>
  </si>
  <si>
    <t>Badakhani</t>
  </si>
  <si>
    <t>Santosi Sahu</t>
  </si>
  <si>
    <t>ssantoshi063@gmail.com</t>
  </si>
  <si>
    <t>Shibani Behera</t>
  </si>
  <si>
    <t>shivanibehera90@gmail.com</t>
  </si>
  <si>
    <t>Shikha Raita</t>
  </si>
  <si>
    <t>Shyam Sundar Mallik</t>
  </si>
  <si>
    <t>mitamallik865@gmail.com</t>
  </si>
  <si>
    <t>Sibaram Nayak</t>
  </si>
  <si>
    <t>SIBARAMNAYAK2025@GMAIL.COM</t>
  </si>
  <si>
    <t>Chandiput</t>
  </si>
  <si>
    <t>Follow up required</t>
  </si>
  <si>
    <t>Sonali Nayak</t>
  </si>
  <si>
    <t>Jasleen Nagar</t>
  </si>
  <si>
    <t>Sriya Bijuli</t>
  </si>
  <si>
    <t>simachalbijuli@gmail.com</t>
  </si>
  <si>
    <t>Sriya Kanhar</t>
  </si>
  <si>
    <t>bardhanrenu7@gmail.com</t>
  </si>
  <si>
    <t>Sruti Nayak</t>
  </si>
  <si>
    <t>nayaksalam348@gmail.com</t>
  </si>
  <si>
    <t>Subham Pradhani</t>
  </si>
  <si>
    <t>subhampradhani2009@gmail.com</t>
  </si>
  <si>
    <t>Subham Prasada Behera</t>
  </si>
  <si>
    <t>subhamprasadbehera6@gmail.com</t>
  </si>
  <si>
    <t>Suchismita Mahankuda</t>
  </si>
  <si>
    <t>suchismita1@gmail.com</t>
  </si>
  <si>
    <t>Sumbana Mandal</t>
  </si>
  <si>
    <t>arundhatimandal48@gmail.com</t>
  </si>
  <si>
    <t>Sumista Ananda</t>
  </si>
  <si>
    <t>Gulam Hasnain Ashrafi</t>
  </si>
  <si>
    <t>gulamhasnain13@gmail.com</t>
  </si>
  <si>
    <t>p:+919334921276</t>
  </si>
  <si>
    <t>Buxar</t>
  </si>
  <si>
    <t>susanta kumar naik</t>
  </si>
  <si>
    <t>susanta.nayak@cutm.ac.in</t>
  </si>
  <si>
    <t>Pawan Kumar</t>
  </si>
  <si>
    <t>pavankumar9771691660@gmail.com</t>
  </si>
  <si>
    <t>p:+919771691660</t>
  </si>
  <si>
    <t>P</t>
  </si>
  <si>
    <t>Akash Basu</t>
  </si>
  <si>
    <t>arunbasu4967@gmail.com</t>
  </si>
  <si>
    <t>p:+919064835460</t>
  </si>
  <si>
    <t>Medinipur</t>
  </si>
  <si>
    <t>need to follow up</t>
  </si>
  <si>
    <t>Munna Kumar</t>
  </si>
  <si>
    <t>mk4227887@gmail.com</t>
  </si>
  <si>
    <t>p:+919725627976</t>
  </si>
  <si>
    <t>R P Vishwakarma</t>
  </si>
  <si>
    <t>vrp6263@gmail.com</t>
  </si>
  <si>
    <t>p:+919473645025</t>
  </si>
  <si>
    <t>bokaro</t>
  </si>
  <si>
    <t>Maunath Bhanjan</t>
  </si>
  <si>
    <t>12th fail</t>
  </si>
  <si>
    <t>Radhika Kumari</t>
  </si>
  <si>
    <t>mchaudhary19364@gmail.com</t>
  </si>
  <si>
    <t>p:+919508106025</t>
  </si>
  <si>
    <t>Garhwa</t>
  </si>
  <si>
    <t>Vanshikha Kumari</t>
  </si>
  <si>
    <t>lalvikram01@gmail.com</t>
  </si>
  <si>
    <t>p:+919064367502</t>
  </si>
  <si>
    <t>Kharagpur</t>
  </si>
  <si>
    <t>Shrawan Kumar</t>
  </si>
  <si>
    <t>s.kumar913523@gmail.com</t>
  </si>
  <si>
    <t>p:+919135236698</t>
  </si>
  <si>
    <t>Kaimur bhabua</t>
  </si>
  <si>
    <t>Ashim K</t>
  </si>
  <si>
    <t>kabiashim@gmail.com</t>
  </si>
  <si>
    <t>p:+919500428268</t>
  </si>
  <si>
    <t>jamshedpur</t>
  </si>
  <si>
    <t>interested in BBSR campus</t>
  </si>
  <si>
    <t>Dinesh Kumar</t>
  </si>
  <si>
    <t>kdinesh4128@gmail.com</t>
  </si>
  <si>
    <t>p:+916207634339</t>
  </si>
  <si>
    <t>need to follow</t>
  </si>
  <si>
    <t>Golu Ahiran</t>
  </si>
  <si>
    <t>goluk34672@gmil.com</t>
  </si>
  <si>
    <t>p:+919934768094</t>
  </si>
  <si>
    <t>Gggg</t>
  </si>
  <si>
    <t>Kggg</t>
  </si>
  <si>
    <t>not lifting the call</t>
  </si>
  <si>
    <t>Nabin Karjee</t>
  </si>
  <si>
    <t>naveenkarji079@gmail.com</t>
  </si>
  <si>
    <t>8093042684</t>
  </si>
  <si>
    <t>Kumari Manswini Padhy</t>
  </si>
  <si>
    <t>Nandigam Goutami</t>
  </si>
  <si>
    <t>nandigamgoutami007@gmail.com</t>
  </si>
  <si>
    <t>7681857714</t>
  </si>
  <si>
    <t>Neelapu Prabhash</t>
  </si>
  <si>
    <t>6370503763</t>
  </si>
  <si>
    <t>Nihimiya Raita</t>
  </si>
  <si>
    <t>8249227380</t>
  </si>
  <si>
    <t>Niranjan Sabar</t>
  </si>
  <si>
    <t>6371166433</t>
  </si>
  <si>
    <t>Parikhita Jena</t>
  </si>
  <si>
    <t>artwithf84@gmail.com</t>
  </si>
  <si>
    <t>9556148738</t>
  </si>
  <si>
    <t>Polaki Raju</t>
  </si>
  <si>
    <t>polakiraju007@gmail.com</t>
  </si>
  <si>
    <t>9668734072</t>
  </si>
  <si>
    <t>Prachita Biswal</t>
  </si>
  <si>
    <t>rachitabiswal75@gmail.com</t>
  </si>
  <si>
    <t>9668498328</t>
  </si>
  <si>
    <t>Purna Chandra Sahu</t>
  </si>
  <si>
    <t>papusahu994@gmail.com</t>
  </si>
  <si>
    <t>9668305578</t>
  </si>
  <si>
    <t>Puspanjali Jena</t>
  </si>
  <si>
    <t>jpuspanjali00@gmail.com</t>
  </si>
  <si>
    <t>8249603123</t>
  </si>
  <si>
    <t>Runku Sudhir</t>
  </si>
  <si>
    <t>raonarayan739@gmail.com</t>
  </si>
  <si>
    <t>7735539773</t>
  </si>
  <si>
    <t>Sambit Singh</t>
  </si>
  <si>
    <t>sanjay.143ips@gmail.com</t>
  </si>
  <si>
    <t>8895948452</t>
  </si>
  <si>
    <t>Sonali Kandalu</t>
  </si>
  <si>
    <t>sureshkondalu410@gmail.com</t>
  </si>
  <si>
    <t>6371461539</t>
  </si>
  <si>
    <t>Sravani Patro</t>
  </si>
  <si>
    <t>lokanathpatro902@gmail.com</t>
  </si>
  <si>
    <t>7077717391</t>
  </si>
  <si>
    <t>Subham Patro</t>
  </si>
  <si>
    <t>7894396130</t>
  </si>
  <si>
    <t>Sulalita Mandal</t>
  </si>
  <si>
    <t>sulalitamandal@gmail.com</t>
  </si>
  <si>
    <t>8249673215</t>
  </si>
  <si>
    <t>Tamada Gayatri</t>
  </si>
  <si>
    <t>9124454553</t>
  </si>
  <si>
    <t>Tamada Neelima</t>
  </si>
  <si>
    <t>tamadaneelama007@gmail.com</t>
  </si>
  <si>
    <t>8658087837</t>
  </si>
  <si>
    <t>Tamada Sanjana</t>
  </si>
  <si>
    <t>tamadalokesh77@gmail.com</t>
  </si>
  <si>
    <t>7077845870</t>
  </si>
  <si>
    <t>Tamarapi Siva Prasad</t>
  </si>
  <si>
    <t>ganirocks156@gmail.com</t>
  </si>
  <si>
    <t>9337290782</t>
  </si>
  <si>
    <t>Tandasi Sneha</t>
  </si>
  <si>
    <t>tandasaaruna@gmail.com</t>
  </si>
  <si>
    <t>7853917668</t>
  </si>
  <si>
    <t>Tatikonda Sravani</t>
  </si>
  <si>
    <t>tatikondasravani007@gmail.com</t>
  </si>
  <si>
    <t>8984430584</t>
  </si>
  <si>
    <t>Williyam Bhuyan</t>
  </si>
  <si>
    <t>CDIGITALSEVA3@GMAIL.COM</t>
  </si>
  <si>
    <t>8114691980</t>
  </si>
  <si>
    <t>Yarra Vanishya</t>
  </si>
  <si>
    <t>yerrachandrarao339@gmail.com</t>
  </si>
  <si>
    <t>9178060973</t>
  </si>
  <si>
    <t>Yerapatili Venkat</t>
  </si>
  <si>
    <t>venkyvignesh06@gmail.com</t>
  </si>
  <si>
    <t>7325818694</t>
  </si>
  <si>
    <t>Yerra Mounika</t>
  </si>
  <si>
    <t>8018727980</t>
  </si>
  <si>
    <t>Chumki Bastarai</t>
  </si>
  <si>
    <t>8895836266</t>
  </si>
  <si>
    <t>Jayanti Majhi</t>
  </si>
  <si>
    <t>7815079095</t>
  </si>
  <si>
    <t>Jharana Parichha</t>
  </si>
  <si>
    <t>7077868271</t>
  </si>
  <si>
    <t>Lipsarani Beero</t>
  </si>
  <si>
    <t>sanathanabeera@gmail.com</t>
  </si>
  <si>
    <t>7848023274</t>
  </si>
  <si>
    <t>Lurdhameri Nayak</t>
  </si>
  <si>
    <t>8144620860</t>
  </si>
  <si>
    <t>Manisha Pal</t>
  </si>
  <si>
    <t>9692527166</t>
  </si>
  <si>
    <t>Pratibha Rani Nayak</t>
  </si>
  <si>
    <t>udayachandrnayak@gmail.com</t>
  </si>
  <si>
    <t>9692973307</t>
  </si>
  <si>
    <t>Priyanka Lima</t>
  </si>
  <si>
    <t>7569089162</t>
  </si>
  <si>
    <t>Rahel Mallick</t>
  </si>
  <si>
    <t>8249096406</t>
  </si>
  <si>
    <t>Saini Dalai</t>
  </si>
  <si>
    <t>9556707405</t>
  </si>
  <si>
    <t>Sephali Nayak</t>
  </si>
  <si>
    <t>8917311490</t>
  </si>
  <si>
    <t>Sailax Parichha</t>
  </si>
  <si>
    <t>sailaxparichha292@gmail.com</t>
  </si>
  <si>
    <t>8984050221</t>
  </si>
  <si>
    <t>Amit Mohanty</t>
  </si>
  <si>
    <t>9937527753</t>
  </si>
  <si>
    <t>Anil Kumar Jena</t>
  </si>
  <si>
    <t>pauljena@gmail.com</t>
  </si>
  <si>
    <t>9438324770</t>
  </si>
  <si>
    <t>Bibhuti Sabar</t>
  </si>
  <si>
    <t>8984635048</t>
  </si>
  <si>
    <t>Bismita Pradhan</t>
  </si>
  <si>
    <t>8144464491</t>
  </si>
  <si>
    <t>Deeptika Sabar</t>
  </si>
  <si>
    <t>8114944969</t>
  </si>
  <si>
    <t>Ebenezer Mandal</t>
  </si>
  <si>
    <t>8895125019</t>
  </si>
  <si>
    <t>Kiran Kumar Nayak</t>
  </si>
  <si>
    <t>8144106001</t>
  </si>
  <si>
    <t>Nihal Bardhan</t>
  </si>
  <si>
    <t>8917333349</t>
  </si>
  <si>
    <t>Punam Rath</t>
  </si>
  <si>
    <t>7077372917</t>
  </si>
  <si>
    <t>Roshan Parichha</t>
  </si>
  <si>
    <t>6371260553</t>
  </si>
  <si>
    <t>Subhashree Nayak</t>
  </si>
  <si>
    <t>SUKANTKUMARNAYAK4@GMAIL.COM</t>
  </si>
  <si>
    <t>8917567458</t>
  </si>
  <si>
    <t>Anil Kumar Patra</t>
  </si>
  <si>
    <t>9438187509</t>
  </si>
  <si>
    <t>Faculty Email Address</t>
  </si>
  <si>
    <t>Column 1</t>
  </si>
  <si>
    <t>Shikanta Naskar</t>
  </si>
  <si>
    <t>shrikantanaskar083@gmail.com</t>
  </si>
  <si>
    <t>p:+919903613226</t>
  </si>
  <si>
    <t>sc</t>
  </si>
  <si>
    <t>Rajbari</t>
  </si>
  <si>
    <t>Rahul Adhikary</t>
  </si>
  <si>
    <t>rahul.adhikary@cutm.ac.in</t>
  </si>
  <si>
    <t>Rounak Biswas</t>
  </si>
  <si>
    <t>rounakbiswas799@gmail.com</t>
  </si>
  <si>
    <t>p:+917908540688</t>
  </si>
  <si>
    <t>westbengal</t>
  </si>
  <si>
    <t>ranaghat</t>
  </si>
  <si>
    <t>Tanmay Behera</t>
  </si>
  <si>
    <t>nibeditab67@gmail.com</t>
  </si>
  <si>
    <t>p:+916371018340</t>
  </si>
  <si>
    <t>Rairangpur</t>
  </si>
  <si>
    <t>Provat Das</t>
  </si>
  <si>
    <t>provatdasdsubrato1234@gmail.com</t>
  </si>
  <si>
    <t>p:+916294621690</t>
  </si>
  <si>
    <t>WB</t>
  </si>
  <si>
    <t>Omprakash mukhiya</t>
  </si>
  <si>
    <t>omprakashkumar67114@gmail.com</t>
  </si>
  <si>
    <t>p:+919507605373</t>
  </si>
  <si>
    <t>Forbesganj</t>
  </si>
  <si>
    <t>Amit Kumar Shrivastava</t>
  </si>
  <si>
    <t>amitkumarshrivastava01@gmail.com</t>
  </si>
  <si>
    <t>p:+918544119420</t>
  </si>
  <si>
    <t>patna</t>
  </si>
  <si>
    <t>Santosh Das</t>
  </si>
  <si>
    <t>santoshdas74949@gmail.com</t>
  </si>
  <si>
    <t>p:+917480989455</t>
  </si>
  <si>
    <t>Madhubani</t>
  </si>
  <si>
    <t>Nrusinghanath Swain</t>
  </si>
  <si>
    <t>nrusinghanath404@gmail.com</t>
  </si>
  <si>
    <t>p:+919124001321</t>
  </si>
  <si>
    <t>wow</t>
  </si>
  <si>
    <t>Jagatsinghpur</t>
  </si>
  <si>
    <t>Rajkumar Ghosh</t>
  </si>
  <si>
    <t>raaj.kumarghosh14@gmail.com</t>
  </si>
  <si>
    <t>Karbi Anglong</t>
  </si>
  <si>
    <t>Ajay Lenka</t>
  </si>
  <si>
    <t>ajay20lenka20@gmail.com</t>
  </si>
  <si>
    <t>Rohtas</t>
  </si>
  <si>
    <t>Amlan Anirudh</t>
  </si>
  <si>
    <t>amlananirudh049@gmail.com</t>
  </si>
  <si>
    <t>Balasore</t>
  </si>
  <si>
    <t>Annem ramakrishna</t>
  </si>
  <si>
    <t>ramakrishnaannem45@gmail.com</t>
  </si>
  <si>
    <t>Jehanabad</t>
  </si>
  <si>
    <t>Aisha Rani Dash</t>
  </si>
  <si>
    <t>aisharanidash68@gmail.com</t>
  </si>
  <si>
    <t>Buxibazar Cuttack Orissa</t>
  </si>
  <si>
    <t>Mangala Ankolekar</t>
  </si>
  <si>
    <t>mangalaankolekar759@gmail.com</t>
  </si>
  <si>
    <t>p:+918880252827</t>
  </si>
  <si>
    <t>KA</t>
  </si>
  <si>
    <t>Yellapur</t>
  </si>
  <si>
    <t>Umeshbhoi Umeshbhoi</t>
  </si>
  <si>
    <t>bhoiumesh454@gmail.com</t>
  </si>
  <si>
    <t>p:+919178978419</t>
  </si>
  <si>
    <t>Thakurgarh</t>
  </si>
  <si>
    <t>मुखिया प्रतिनिधि मचकना</t>
  </si>
  <si>
    <t>rksiwan79039@gmail.com</t>
  </si>
  <si>
    <t>p:+919472520393</t>
  </si>
  <si>
    <t>BIHAR</t>
  </si>
  <si>
    <t>siwan</t>
  </si>
  <si>
    <t>Ashok Patra</t>
  </si>
  <si>
    <t>ashok814410@gmail.com</t>
  </si>
  <si>
    <t>p:+918144107783</t>
  </si>
  <si>
    <t>cuttack</t>
  </si>
  <si>
    <t>Vishnu Sharma</t>
  </si>
  <si>
    <t>vishnusharma5414@gmail.com</t>
  </si>
  <si>
    <t>p:+919993834219</t>
  </si>
  <si>
    <t>madya Pradesh</t>
  </si>
  <si>
    <t>ananya maharana</t>
  </si>
  <si>
    <t>ajitajtk8@gmail.com</t>
  </si>
  <si>
    <t>p:+918763122823</t>
  </si>
  <si>
    <t>phulbani</t>
  </si>
  <si>
    <t>MBBS Gupta</t>
  </si>
  <si>
    <t>dhrkl@gmail.com</t>
  </si>
  <si>
    <t>p:+919439012345</t>
  </si>
  <si>
    <t>aw</t>
  </si>
  <si>
    <t>Harsukh Thummar</t>
  </si>
  <si>
    <t>harsukhthummar80@gmail.com</t>
  </si>
  <si>
    <t>p:+919099725022</t>
  </si>
  <si>
    <t>gujarat</t>
  </si>
  <si>
    <t>jamnagar</t>
  </si>
  <si>
    <t>Daramoni Akhila</t>
  </si>
  <si>
    <t>yadavsatyanarayana681@gmail.com</t>
  </si>
  <si>
    <t>p:+918977203714</t>
  </si>
  <si>
    <t>Madhya Pradesh</t>
  </si>
  <si>
    <t>Shadnagar</t>
  </si>
  <si>
    <t>Pramod Behera</t>
  </si>
  <si>
    <t>pramodkubehera1693@gmail.com</t>
  </si>
  <si>
    <t>p:+919861111363</t>
  </si>
  <si>
    <t>odisa</t>
  </si>
  <si>
    <t>jajpur</t>
  </si>
  <si>
    <t>Murugesan Murugesan</t>
  </si>
  <si>
    <t>gesan7224@gmail.com</t>
  </si>
  <si>
    <t>p:+919786617224</t>
  </si>
  <si>
    <t>தமிழ்நாடு</t>
  </si>
  <si>
    <t>karur</t>
  </si>
  <si>
    <t>Rasmita Sahu</t>
  </si>
  <si>
    <t>rnsahu870@gmail.com</t>
  </si>
  <si>
    <t>p:+918895815388</t>
  </si>
  <si>
    <t>Sambalpur</t>
  </si>
  <si>
    <t>Subhraneel Banerjee</t>
  </si>
  <si>
    <t>sumana81banerjee@gmail.com</t>
  </si>
  <si>
    <t>p:+919635461392</t>
  </si>
  <si>
    <t>WEST BENGAL</t>
  </si>
  <si>
    <t>shalini Raj</t>
  </si>
  <si>
    <t>rk370018@gmail.com7</t>
  </si>
  <si>
    <t>p:+917545826477</t>
  </si>
  <si>
    <t>GAYA</t>
  </si>
  <si>
    <t>Chandrasekhar Kakali Sadhukhan</t>
  </si>
  <si>
    <t>kakalisadhukhan384@gmail.com</t>
  </si>
  <si>
    <t>p:+919733539841</t>
  </si>
  <si>
    <t>Howrah</t>
  </si>
  <si>
    <t>Akash Ungur</t>
  </si>
  <si>
    <t>akashungur97@gmail.com</t>
  </si>
  <si>
    <t>p:7975808299</t>
  </si>
  <si>
    <t>Sindhanur</t>
  </si>
  <si>
    <t>Subham</t>
  </si>
  <si>
    <t>subudhisubham962@gmail.com</t>
  </si>
  <si>
    <t>p:+917008103561</t>
  </si>
  <si>
    <t>Nayagarh</t>
  </si>
  <si>
    <t>Partha Das</t>
  </si>
  <si>
    <t>ppd9475@gmail.com</t>
  </si>
  <si>
    <t>p:+919475257245</t>
  </si>
  <si>
    <t>Midnapur</t>
  </si>
  <si>
    <t>sribhakti Radha Devi dasi</t>
  </si>
  <si>
    <t>susmitahalder9505@gmail.com</t>
  </si>
  <si>
    <t>p:+917679155472</t>
  </si>
  <si>
    <t>Illambazar</t>
  </si>
  <si>
    <t>Bharat Bomble</t>
  </si>
  <si>
    <t>bharatbomble0@gmail.com</t>
  </si>
  <si>
    <t>p:+917038324851</t>
  </si>
  <si>
    <t>Pusad</t>
  </si>
  <si>
    <t>Navya</t>
  </si>
  <si>
    <t>pm8341153@gmail.com</t>
  </si>
  <si>
    <t>p:+919036479289</t>
  </si>
  <si>
    <t>Bengaluru</t>
  </si>
  <si>
    <t>neha neha</t>
  </si>
  <si>
    <t>babuamankumar9@gmail.com</t>
  </si>
  <si>
    <t>p:+918210243738</t>
  </si>
  <si>
    <t>Akankshya Patel</t>
  </si>
  <si>
    <t>jamunapandey1978@gmail.com</t>
  </si>
  <si>
    <t>p:+919938976985</t>
  </si>
  <si>
    <t>Sundargarh</t>
  </si>
  <si>
    <t>Nagaraju N Nayana</t>
  </si>
  <si>
    <t>n51102489@gmail.com</t>
  </si>
  <si>
    <t>p:+919964595181</t>
  </si>
  <si>
    <t>kRPET</t>
  </si>
  <si>
    <t>Kangres Kumar</t>
  </si>
  <si>
    <t>kangreskumar747@gmail.com</t>
  </si>
  <si>
    <t>p:+919905941081</t>
  </si>
  <si>
    <t>Muzaffarpur</t>
  </si>
  <si>
    <t>Sharique-3184845</t>
  </si>
  <si>
    <t>shariqueshop84@gmail.com</t>
  </si>
  <si>
    <t>p:+916202067350</t>
  </si>
  <si>
    <t>Aurangabad</t>
  </si>
  <si>
    <t>Hirak Maiti</t>
  </si>
  <si>
    <t>hirakmaiti05@gmail.com</t>
  </si>
  <si>
    <t>Susanta Rout</t>
  </si>
  <si>
    <t>susant8989@gmail.com</t>
  </si>
  <si>
    <t>GOLU ?</t>
  </si>
  <si>
    <t>gk3281867@gmail.com</t>
  </si>
  <si>
    <t>Swaroop Kumar Dodda</t>
  </si>
  <si>
    <t>swaroopkumardodda@gmail.com</t>
  </si>
  <si>
    <t>Sneha m belal</t>
  </si>
  <si>
    <t>bharatibelalbb@gmail.com</t>
  </si>
  <si>
    <t>Haveri</t>
  </si>
  <si>
    <t>Aryan Anand</t>
  </si>
  <si>
    <t>aryana063@gmail.com</t>
  </si>
  <si>
    <t>Anisha Dash</t>
  </si>
  <si>
    <t>anisha19dash@gmail.com</t>
  </si>
  <si>
    <t>Amitava Paria</t>
  </si>
  <si>
    <t>amitavaparia015@gmail.com</t>
  </si>
  <si>
    <t>Jayrajsinh Jadeja</t>
  </si>
  <si>
    <t>jayrajsinh.jadeja790@gmail.com</t>
  </si>
  <si>
    <t>Himadri ??</t>
  </si>
  <si>
    <t>himadrigiri559@gmail.com</t>
  </si>
  <si>
    <t>Jharkhand</t>
  </si>
  <si>
    <t>Pratik Padhi</t>
  </si>
  <si>
    <t>pratikpadhi6@gmail.com</t>
  </si>
  <si>
    <t>Suriyan</t>
  </si>
  <si>
    <t>suriyanga202004@gmail.com</t>
  </si>
  <si>
    <t>Sorry yyy t qqwb</t>
  </si>
  <si>
    <t>nn3136099@gmail.com</t>
  </si>
  <si>
    <t>Harsh Sonwane</t>
  </si>
  <si>
    <t>harshsonwane9.9@gmail.com</t>
  </si>
  <si>
    <t>Pradip jotangiya</t>
  </si>
  <si>
    <t>pradip.jotanagiya@gmail.com</t>
  </si>
  <si>
    <t>Ravikumar Alajangi</t>
  </si>
  <si>
    <t>ravikumar01061970@gmail.com</t>
  </si>
  <si>
    <t>andhrapradesh</t>
  </si>
  <si>
    <t>Manikandan Kppandian</t>
  </si>
  <si>
    <t>kpn135@yahoo.in</t>
  </si>
  <si>
    <t>tamilnadu</t>
  </si>
  <si>
    <t>Karthik Sekar</t>
  </si>
  <si>
    <t>karthickchem85@gmail.com</t>
  </si>
  <si>
    <t>Tamil Nadu</t>
  </si>
  <si>
    <t>dhanraj shivdas jagtap</t>
  </si>
  <si>
    <t>rekhasunil23994@gmail.com</t>
  </si>
  <si>
    <t>maharashtra</t>
  </si>
  <si>
    <t>Rohanth L J</t>
  </si>
  <si>
    <t>janardhanajjanardhana759@gmail.com</t>
  </si>
  <si>
    <t>Md Sarfuddin</t>
  </si>
  <si>
    <t>mds330346@gmail.com</t>
  </si>
  <si>
    <t>Puspendu Jana</t>
  </si>
  <si>
    <t>puspendujana704@gmail.com</t>
  </si>
  <si>
    <t>Pranaya Rai</t>
  </si>
  <si>
    <t>srai24200@gmail.com</t>
  </si>
  <si>
    <t>Didin Baba</t>
  </si>
  <si>
    <t>bijaydidin@gmail.com</t>
  </si>
  <si>
    <t>Kamal Debsharma</t>
  </si>
  <si>
    <t>kamaldebsharma1987@gmail.com</t>
  </si>
  <si>
    <t>Tankadhar Barik</t>
  </si>
  <si>
    <t>priajaj@gmail.com</t>
  </si>
  <si>
    <t>Palani Kpm</t>
  </si>
  <si>
    <t>pgi.kpm@gmail.com</t>
  </si>
  <si>
    <t>Manas Ranjan Pani</t>
  </si>
  <si>
    <t>manassathingo@gmail.com</t>
  </si>
  <si>
    <t>Nikhil Pandey</t>
  </si>
  <si>
    <t>np9616396120@gmil.com</t>
  </si>
  <si>
    <t>uttar pradesh</t>
  </si>
  <si>
    <t>Bhujadi Laxman Madhukar</t>
  </si>
  <si>
    <t>bhujadilaxman111@gmail.com</t>
  </si>
  <si>
    <t>Pandu Lokam</t>
  </si>
  <si>
    <t>pandurangaaraw46@gmail.com</t>
  </si>
  <si>
    <t>????????????</t>
  </si>
  <si>
    <t>Dayashaankar Singh Dr</t>
  </si>
  <si>
    <t>dssingh.dr@gmail.com</t>
  </si>
  <si>
    <t>Uttar pradesh</t>
  </si>
  <si>
    <t>Neeraj Chaurasiya</t>
  </si>
  <si>
    <t>nirajkumar805162@gmail.com</t>
  </si>
  <si>
    <t>sanha purav</t>
  </si>
  <si>
    <t>Guljar Ali</t>
  </si>
  <si>
    <t>guljarali78678612@gmail.com</t>
  </si>
  <si>
    <t>mamataranimalik</t>
  </si>
  <si>
    <t>malikbulu13@gmail.com</t>
  </si>
  <si>
    <t>basudevpurbhadrak</t>
  </si>
  <si>
    <t>Pradeep Kumar Jagat Jagat</t>
  </si>
  <si>
    <t>pj982467@gmail.com</t>
  </si>
  <si>
    <t>c.g</t>
  </si>
  <si>
    <t>mithlesh yadav</t>
  </si>
  <si>
    <t>mithleshyadavpar@gmail.com</t>
  </si>
  <si>
    <t>Sushil Soren</t>
  </si>
  <si>
    <t>sushilsoren216@gmail.com</t>
  </si>
  <si>
    <t>w/b</t>
  </si>
  <si>
    <t>Anchar Mallick</t>
  </si>
  <si>
    <t>ancharmallick27@gmail.com</t>
  </si>
  <si>
    <t>AncharMallick</t>
  </si>
  <si>
    <t>JIBAN MANDAL</t>
  </si>
  <si>
    <t>jibanmandal700@gmail.com</t>
  </si>
  <si>
    <t>Walchang Mk Mk</t>
  </si>
  <si>
    <t>walchangmarakwalchangmarak4@gmail.com</t>
  </si>
  <si>
    <t>Meghalaya</t>
  </si>
  <si>
    <t>Sanjay Kumar</t>
  </si>
  <si>
    <t>sanjaykmehta01@gmail.com</t>
  </si>
  <si>
    <t>Shaktipada Maji</t>
  </si>
  <si>
    <t>shaktipadamaji724@gmail.com</t>
  </si>
  <si>
    <t>w b</t>
  </si>
  <si>
    <t>Basudev Sandh</t>
  </si>
  <si>
    <t>basudevsandh06@gmail.com</t>
  </si>
  <si>
    <t>Samin Mondal</t>
  </si>
  <si>
    <t>mondalsamin752@gmail.com</t>
  </si>
  <si>
    <t>chayanika Bhunia</t>
  </si>
  <si>
    <t>debasishbhunia69@gmail.com</t>
  </si>
  <si>
    <t>Basanta Das</t>
  </si>
  <si>
    <t>dbasantakumar631@gmail.com</t>
  </si>
  <si>
    <t>Rachhul Mandal</t>
  </si>
  <si>
    <t>rijuonmondal12346@gmail.com</t>
  </si>
  <si>
    <t>karimpur.</t>
  </si>
  <si>
    <t>Gyandeep Srivastava</t>
  </si>
  <si>
    <t>gyandeep.srivastava1982@gmail.com</t>
  </si>
  <si>
    <t>Nurul Islam</t>
  </si>
  <si>
    <t>nooruli685@gmail.com</t>
  </si>
  <si>
    <t>Md Manower Alam</t>
  </si>
  <si>
    <t>mdmanower00786@gmail.com</t>
  </si>
  <si>
    <t>Utpal Ghosh</t>
  </si>
  <si>
    <t>ghoshutpal2203@gmail.com</t>
  </si>
  <si>
    <t>Subrata Mondal</t>
  </si>
  <si>
    <t>subratamondal648864@gmail.com</t>
  </si>
  <si>
    <t>Shahnawaz Alam</t>
  </si>
  <si>
    <t>mdshahnawaz6575455@gmail.com</t>
  </si>
  <si>
    <t>Kishanganj</t>
  </si>
  <si>
    <t>Ashok Gangadhar Kamble</t>
  </si>
  <si>
    <t>kambleashok68@gmail.com</t>
  </si>
  <si>
    <t>Pandav Kumar</t>
  </si>
  <si>
    <t>pandavkumar7172@gmail.com</t>
  </si>
  <si>
    <t>Khagarai</t>
  </si>
  <si>
    <t>Chagu Likha</t>
  </si>
  <si>
    <t>Chagulikha6@gmail.com</t>
  </si>
  <si>
    <t>arunachal pradesh</t>
  </si>
  <si>
    <t>Nirbhay Singh</t>
  </si>
  <si>
    <t>n92645478@gmail.com</t>
  </si>
  <si>
    <t>MD Firose Uddin</t>
  </si>
  <si>
    <t>firoseuddin08@gmail.com</t>
  </si>
  <si>
    <t>W.B</t>
  </si>
  <si>
    <t>Santosh Naik</t>
  </si>
  <si>
    <t>subratmajhi569@gmail.com</t>
  </si>
  <si>
    <t>Asraful Hoque</t>
  </si>
  <si>
    <t>ah297387@gmail.com</t>
  </si>
  <si>
    <t>Wali</t>
  </si>
  <si>
    <t>mdwaliullahansarimdwaliullah@gmail.com</t>
  </si>
  <si>
    <t>Panjab</t>
  </si>
  <si>
    <t>MD Tosif Raja</t>
  </si>
  <si>
    <t>mdtosifraja2000@gmail.com</t>
  </si>
  <si>
    <t>fosif</t>
  </si>
  <si>
    <t>Arashad Ali</t>
  </si>
  <si>
    <t>arashadali012345@gmail.com</t>
  </si>
  <si>
    <t>manipur</t>
  </si>
  <si>
    <t>SUBHODIP SEN</t>
  </si>
  <si>
    <t>Jui Ray</t>
  </si>
  <si>
    <t>jui.ray@cutm.ac.in</t>
  </si>
  <si>
    <t>Debanjan Mondal</t>
  </si>
  <si>
    <t>AYAN KUMAR PAUL</t>
  </si>
  <si>
    <t>KANKANA ROY</t>
  </si>
  <si>
    <t>RITWAJA GHOSH</t>
  </si>
  <si>
    <t>SNEHA SADHUKHAN</t>
  </si>
  <si>
    <t>DEBOSRITA DAS</t>
  </si>
  <si>
    <t>ARONI SAHA</t>
  </si>
  <si>
    <t>ANUBHAB LALA</t>
  </si>
  <si>
    <t>ARITRA MITRA</t>
  </si>
  <si>
    <t>SUTIRTHA DUTTA</t>
  </si>
  <si>
    <t>VIBHANSHU SARKAR</t>
  </si>
  <si>
    <t>ATIQUE AHMED WARSI</t>
  </si>
  <si>
    <t>FARHA PARVIN</t>
  </si>
  <si>
    <t>SOFIA ALAM</t>
  </si>
  <si>
    <t>ANKUR BISWAS</t>
  </si>
  <si>
    <t>SOUMILI GHOSH</t>
  </si>
  <si>
    <t>DRIPTA DAS</t>
  </si>
  <si>
    <t>SANGITA PAL</t>
  </si>
  <si>
    <t>MEGHNA MAITI</t>
  </si>
  <si>
    <t>AMAN KUMAR</t>
  </si>
  <si>
    <t>RIK SAREN</t>
  </si>
  <si>
    <t>ISHWARI ISHITA MISHRA</t>
  </si>
  <si>
    <t>USHASHI CHAKRABARTI</t>
  </si>
  <si>
    <t>KUSH KUMAR PANDEY</t>
  </si>
  <si>
    <t>JEET BISWAS</t>
  </si>
  <si>
    <t>SOUVAGYA MAITRA</t>
  </si>
  <si>
    <t>PARNIKA DE</t>
  </si>
  <si>
    <t>SHOVANA PARVIN</t>
  </si>
  <si>
    <t>BONHOMIE ADHIKARY</t>
  </si>
  <si>
    <t>SNEHA BISWAS</t>
  </si>
  <si>
    <t>DEBMITRA DATTA</t>
  </si>
  <si>
    <t>SANIA SINGH</t>
  </si>
  <si>
    <t>TANMAY HAZRA</t>
  </si>
  <si>
    <t>NIBEDITA MANDAL</t>
  </si>
  <si>
    <t>PROKASH CHANDRA GHOSH</t>
  </si>
  <si>
    <t>SOHAM TARAFDAR</t>
  </si>
  <si>
    <t>DIPAN ROY</t>
  </si>
  <si>
    <t>SANA AKHTAR</t>
  </si>
  <si>
    <t>RIVU</t>
  </si>
  <si>
    <t>MAINAK PAL</t>
  </si>
  <si>
    <t>SAMPURNA SEN</t>
  </si>
  <si>
    <t>RUKSAR NAJ</t>
  </si>
  <si>
    <t>MD REHAN</t>
  </si>
  <si>
    <t>SHANIA PARVEZ</t>
  </si>
  <si>
    <t>ADRIJA MANDAL</t>
  </si>
  <si>
    <t>SANJID HOSSAIN</t>
  </si>
  <si>
    <t>MRINAL DEBNATH</t>
  </si>
  <si>
    <t>AVIJNAN CHAKARBARTI</t>
  </si>
  <si>
    <t>PARNA MANDAL</t>
  </si>
  <si>
    <t>SAPTARSHI GHOSH</t>
  </si>
  <si>
    <t>ANUSHKA GUPTA</t>
  </si>
  <si>
    <t>KEYA MANDAL</t>
  </si>
  <si>
    <t>ASMITA GIRI</t>
  </si>
  <si>
    <t>BIDISHA ROY SARDAR</t>
  </si>
  <si>
    <t>KARINA SULTANA</t>
  </si>
  <si>
    <t>ANIK KHAN</t>
  </si>
  <si>
    <t>AALIYA PARVEEN</t>
  </si>
  <si>
    <t>SOUMITRA DAS</t>
  </si>
  <si>
    <t>ISHIKA GUPTA</t>
  </si>
  <si>
    <t>SANCHITA MAITY</t>
  </si>
  <si>
    <t>ANKITA SAU</t>
  </si>
  <si>
    <t>MUKTAR HOSSAIN</t>
  </si>
  <si>
    <t>NASRIN KHATUN</t>
  </si>
  <si>
    <t>MD ZAHIN TANVIR</t>
  </si>
  <si>
    <t>ADITI SAHA</t>
  </si>
  <si>
    <t>ANUSHA ISLAM</t>
  </si>
  <si>
    <t>SAFIHA NOORIE</t>
  </si>
  <si>
    <t>MANISH DUFTRY</t>
  </si>
  <si>
    <t>PAYEL SANTRA</t>
  </si>
  <si>
    <t>NILANJANA MAITY</t>
  </si>
  <si>
    <t>POOJA KUMARI</t>
  </si>
  <si>
    <t>HINDOL MAJUMDER</t>
  </si>
  <si>
    <t>ADWITIYA BARMAN</t>
  </si>
  <si>
    <t>SHREYANJANA MONDAL</t>
  </si>
  <si>
    <t>SHRIJITA SARKAR</t>
  </si>
  <si>
    <t>PRIYA GAYEN</t>
  </si>
  <si>
    <t>SURAJ DEBNATH</t>
  </si>
  <si>
    <t>SAAMVAB MUKHERJEE</t>
  </si>
  <si>
    <t>DYUTI SAMANTA</t>
  </si>
  <si>
    <t>DIPAYAN KARMAKAR</t>
  </si>
  <si>
    <t>MANUSHREE ROY</t>
  </si>
  <si>
    <t>SHRUTI MURMU</t>
  </si>
  <si>
    <t>MOUSUMI BERA</t>
  </si>
  <si>
    <t>ISHIKA PAUL</t>
  </si>
  <si>
    <t>RITIKA PRASAD</t>
  </si>
  <si>
    <t>SWIKRITI DUTTA</t>
  </si>
  <si>
    <t>DISHA BAG</t>
  </si>
  <si>
    <t>DEBOSMITA DUTTA</t>
  </si>
  <si>
    <t>TIYASA BANIK</t>
  </si>
  <si>
    <t>SOUMODEEP MAJI</t>
  </si>
  <si>
    <t>TASHMIA SHAMS</t>
  </si>
  <si>
    <t>MEHIDI HASAN SHAIKH</t>
  </si>
  <si>
    <t>SWASTIKA DAS</t>
  </si>
  <si>
    <t>ANISHA BISWAS</t>
  </si>
  <si>
    <t>JOSHIKA GUPTA</t>
  </si>
  <si>
    <t>SHREYA GIRI</t>
  </si>
  <si>
    <t>FAUQIA RAZIQ</t>
  </si>
  <si>
    <t>ARIF MONDAL</t>
  </si>
  <si>
    <t>ANISHA KHATUN</t>
  </si>
  <si>
    <t>RAMANANDA MONDAL</t>
  </si>
  <si>
    <t>MD FARDAN FIROZ</t>
  </si>
  <si>
    <t>ABU RAYHAN</t>
  </si>
  <si>
    <t>PRITHVIRAJ BISWAS</t>
  </si>
  <si>
    <t>MAINAK NEOGY</t>
  </si>
  <si>
    <t>MARUF RAUNAK</t>
  </si>
  <si>
    <t>PRIYANSHU CHAKRABORTY</t>
  </si>
  <si>
    <t>ANKITA BISWAS</t>
  </si>
  <si>
    <t>KOYEL DEY</t>
  </si>
  <si>
    <t>MADHURIMA KONAR</t>
  </si>
  <si>
    <t>SAMPURNA KARMAKAR</t>
  </si>
  <si>
    <t>RICHA KUMARI THAKUR</t>
  </si>
  <si>
    <t>MEHERUNNISA MONDAL</t>
  </si>
  <si>
    <t>SRIJA ROY</t>
  </si>
  <si>
    <t>UDDIPAN YADAV</t>
  </si>
  <si>
    <t>KOENA ASHRAFA</t>
  </si>
  <si>
    <t>PRATTOY BHADRA</t>
  </si>
  <si>
    <t>ARNAB DAS</t>
  </si>
  <si>
    <t>HALIMA YEASMIN</t>
  </si>
  <si>
    <t>SOUMADEEP SARDAR</t>
  </si>
  <si>
    <t>RIMA SARKAR</t>
  </si>
  <si>
    <t>ANUSMITA DAS</t>
  </si>
  <si>
    <t>ARIJIT SAHA</t>
  </si>
  <si>
    <t>KOUSHANI DAW</t>
  </si>
  <si>
    <t>RAHUL SARKAR</t>
  </si>
  <si>
    <t>NACHIKETA BANERJEE</t>
  </si>
  <si>
    <t>SAJID AHAMMED</t>
  </si>
  <si>
    <t>ANGEL JAISWAL</t>
  </si>
  <si>
    <t>ARYAN SRIVASTAVA</t>
  </si>
  <si>
    <t>SAMIM MAHMOOD</t>
  </si>
  <si>
    <t>SOUKARJA KUNDU</t>
  </si>
  <si>
    <t>HIMADRI TANAY JENA</t>
  </si>
  <si>
    <t>SANGHITA ROY</t>
  </si>
  <si>
    <t>SOMPRIYA GHOSH</t>
  </si>
  <si>
    <t>SHAHNOWAZ HOSSAIN</t>
  </si>
  <si>
    <t>SWASTIKA PAL</t>
  </si>
  <si>
    <t>MEHTAB HOSSAIN</t>
  </si>
  <si>
    <t>RUPKATHA BHATTACHARYA</t>
  </si>
  <si>
    <t>APURVA SINGH</t>
  </si>
  <si>
    <t>JAYESH KUMAR GUPTA</t>
  </si>
  <si>
    <t>SAGNIK SAMANTA</t>
  </si>
  <si>
    <t>AATIF UZ ZAMAN</t>
  </si>
  <si>
    <t>NANDINI ADHIKARY</t>
  </si>
  <si>
    <t>ANUSMRITI BISWAS</t>
  </si>
  <si>
    <t>TUHINA SARDAR</t>
  </si>
  <si>
    <t>RISHIKA MANNA</t>
  </si>
  <si>
    <t>AHANA NASKAR</t>
  </si>
  <si>
    <t>TANISA MOLLA</t>
  </si>
  <si>
    <t>SWARUP BAULDAS</t>
  </si>
  <si>
    <t>ADRIZA HALDAR</t>
  </si>
  <si>
    <t>SOURAV MALAKAR</t>
  </si>
  <si>
    <t>SK HASANUR ZAMAN</t>
  </si>
  <si>
    <t>NOORY KHATUN</t>
  </si>
  <si>
    <t>NIRMALYA SAHA</t>
  </si>
  <si>
    <t>DEBLINA DAS</t>
  </si>
  <si>
    <t>ADRIJA KUNDU</t>
  </si>
  <si>
    <t>SWAPNADEEP SARKAR</t>
  </si>
  <si>
    <t>SHIVANI SINGH</t>
  </si>
  <si>
    <t>DIBYANGSU DAS</t>
  </si>
  <si>
    <t>PAYEL HRISHI DAS</t>
  </si>
  <si>
    <t>MUSKAN PRAVEEN</t>
  </si>
  <si>
    <t>MD AMMAR RAZA</t>
  </si>
  <si>
    <t>RAIHAN ZAMAN</t>
  </si>
  <si>
    <t>ANINDITA PRAMANIK</t>
  </si>
  <si>
    <t>DINESH BERA</t>
  </si>
  <si>
    <t>SOMDATTA RAY</t>
  </si>
  <si>
    <t>SAMREDDHA GHOSH</t>
  </si>
  <si>
    <t>TRAYEE CHATTERJEE</t>
  </si>
  <si>
    <t>SARTHAK GHOSH</t>
  </si>
  <si>
    <t>MD KABATULLA MIYA</t>
  </si>
  <si>
    <t>TOTA PRAMANIK</t>
  </si>
  <si>
    <t>SNEHA GHOSH</t>
  </si>
  <si>
    <t>SWAGTAM SOREN</t>
  </si>
  <si>
    <t>ARPITA KANU</t>
  </si>
  <si>
    <t>SONGYA MAHAPATRA</t>
  </si>
  <si>
    <t>SAMADRITA RAY</t>
  </si>
  <si>
    <t>AGNI GHOSH</t>
  </si>
  <si>
    <t>PRIYA BERA</t>
  </si>
  <si>
    <t>SOUMYAJIT KUNDU</t>
  </si>
  <si>
    <t>SHIFA ZAMAN</t>
  </si>
  <si>
    <t>AMITESH BISWAS</t>
  </si>
  <si>
    <t>AJITESH MUDULI</t>
  </si>
  <si>
    <t>SK AWABIN</t>
  </si>
  <si>
    <t>ASHMITA DEY</t>
  </si>
  <si>
    <t>SRISTI PAUL</t>
  </si>
  <si>
    <t>RUPSA SINHA</t>
  </si>
  <si>
    <t>ARNI MONDAL</t>
  </si>
  <si>
    <t>MD SAHIL AKHTER MOLLAH</t>
  </si>
  <si>
    <t>SIMRAN KUMARI</t>
  </si>
  <si>
    <t>TOWSIFA</t>
  </si>
  <si>
    <t>USHASI MANDAL</t>
  </si>
  <si>
    <t>SUBHO KUMAR KUNDU</t>
  </si>
  <si>
    <t>RIDDHIMA PATHAK</t>
  </si>
  <si>
    <t>SUKRITI MANDAL</t>
  </si>
  <si>
    <t>SRIJITA MONDAL</t>
  </si>
  <si>
    <t>SMRITIKANA SAMADDAR</t>
  </si>
  <si>
    <t>ANUSHKA GHOSH</t>
  </si>
  <si>
    <t>TAREFA FATMA</t>
  </si>
  <si>
    <t>TRIDEEP BIT</t>
  </si>
  <si>
    <t>ARMAN RAHAMAN</t>
  </si>
  <si>
    <t>SANIYA DAS</t>
  </si>
  <si>
    <t>KOYEL BISWAS</t>
  </si>
  <si>
    <t>SHAYAD GOLDER</t>
  </si>
  <si>
    <t>BHAGYALAKSHMI SARKAR</t>
  </si>
  <si>
    <t>RAHUL SHAW</t>
  </si>
  <si>
    <t>NIKHARIKA NIRALA</t>
  </si>
  <si>
    <t>SAMIYA SIDDIKA</t>
  </si>
  <si>
    <t>PARTHIV DAS</t>
  </si>
  <si>
    <t>TUSHAR MEHBUB SHAIKH</t>
  </si>
  <si>
    <t>RAJARSHI MUKHOPADHYAY</t>
  </si>
  <si>
    <t>ADRIZA ROY CHOWDHURY</t>
  </si>
  <si>
    <t>SUBHAJOTI BISWAS</t>
  </si>
  <si>
    <t>SANA IQBAL</t>
  </si>
  <si>
    <t>WASIM AMAN</t>
  </si>
  <si>
    <t>TAHURA FIRDOS</t>
  </si>
  <si>
    <t>AMBITAMA DUTTA</t>
  </si>
  <si>
    <t>RAJNANDINI DE</t>
  </si>
  <si>
    <t>MANDIRA KUNDU</t>
  </si>
  <si>
    <t>RISHITA DAS</t>
  </si>
  <si>
    <t>SUBHADEEP MONDAL</t>
  </si>
  <si>
    <t>SHEIKH FARHAN ALI</t>
  </si>
  <si>
    <t>SHIRSHENDU SAHA</t>
  </si>
  <si>
    <t>SOUMILI DEY</t>
  </si>
  <si>
    <t>SHIRSHARAJ ROY</t>
  </si>
  <si>
    <t>ARITRA KAYAL</t>
  </si>
  <si>
    <t>RITABRATA ROY</t>
  </si>
  <si>
    <t>SOUVIK SARKAR</t>
  </si>
  <si>
    <t>DEBODIPAN GARU</t>
  </si>
  <si>
    <t>ANISHA ANJUM</t>
  </si>
  <si>
    <t>INDRASISH CHAKRABARTI</t>
  </si>
  <si>
    <t>JAYA MONDAL</t>
  </si>
  <si>
    <t>SOVAN MONDAL</t>
  </si>
  <si>
    <t>TASKEEN ZARA KHAN</t>
  </si>
  <si>
    <t>ISHIKA BARIK</t>
  </si>
  <si>
    <t>SRABANI PATI</t>
  </si>
  <si>
    <t>SAKIL SK</t>
  </si>
  <si>
    <t>ABIR PANDA</t>
  </si>
  <si>
    <t>SUPRITA CHAKRABORTY</t>
  </si>
  <si>
    <t>BIMAN ROY</t>
  </si>
  <si>
    <t>MD NUREHAQ</t>
  </si>
  <si>
    <t>TORSHA DAS</t>
  </si>
  <si>
    <t>JISHA AHMED</t>
  </si>
  <si>
    <t>DIPANJAN MAJUMDAR</t>
  </si>
  <si>
    <t>SUNITA BERA</t>
  </si>
  <si>
    <t>SUTAPA DAS</t>
  </si>
  <si>
    <t>SANIA AFROZ HASSAN</t>
  </si>
  <si>
    <t>ANANYA CHOUDHURY</t>
  </si>
  <si>
    <t>SHIVAM SUNDAR DUTTA</t>
  </si>
  <si>
    <t>SALONI KAMAL</t>
  </si>
  <si>
    <t>SURAIYA PARVEEN</t>
  </si>
  <si>
    <t>VIDYA SINGHA ROY</t>
  </si>
  <si>
    <t>ARITRA KUMAR CHAKRABORTY</t>
  </si>
  <si>
    <t>ANIRBAN BARUA</t>
  </si>
  <si>
    <t>DEBASMITA BISWAS</t>
  </si>
  <si>
    <t>JISHNU SENGUPTA</t>
  </si>
  <si>
    <t>AYUSH DAS SINHA</t>
  </si>
  <si>
    <t>TANVI ARJUMAN</t>
  </si>
  <si>
    <t>ARPAN SEN BARMAN</t>
  </si>
  <si>
    <t>SIMRAN SULTANA</t>
  </si>
  <si>
    <t>SAYANTIKA MONDAL</t>
  </si>
  <si>
    <t>DIPESH PANJA</t>
  </si>
  <si>
    <t>YUVRAJ SINGH</t>
  </si>
  <si>
    <t>NIPOSREE ROY MAJUMDER</t>
  </si>
  <si>
    <t>PORSITA SARKAR</t>
  </si>
  <si>
    <t>RUPCHHANA PARVIN</t>
  </si>
  <si>
    <t>MAMATA DAS</t>
  </si>
  <si>
    <t>SEMANTI KHANRA</t>
  </si>
  <si>
    <t>PUJA MONDAL</t>
  </si>
  <si>
    <t>SANGITA MONDAL</t>
  </si>
  <si>
    <t>ARNATRI KAR</t>
  </si>
  <si>
    <t>AADISH SAHU</t>
  </si>
  <si>
    <t>USHOSHI DAS</t>
  </si>
  <si>
    <t>MDMOQEEM ANSARI</t>
  </si>
  <si>
    <t>SUJATA BHOWMIK</t>
  </si>
  <si>
    <t>MAISURA PARVIN</t>
  </si>
  <si>
    <t>MUSKAN TEWARI</t>
  </si>
  <si>
    <t>SAMAPRIYA BHUIYA</t>
  </si>
  <si>
    <t>SOUMODIP KARMAKAR</t>
  </si>
  <si>
    <t>ISHITA SHAW</t>
  </si>
  <si>
    <t>SUCHANDRIMA DUTTA</t>
  </si>
  <si>
    <t>MEDHASHREE MANDAL</t>
  </si>
  <si>
    <t>ANIKET CHATTOPADHYAY</t>
  </si>
  <si>
    <t>ABDUL BASIT</t>
  </si>
  <si>
    <t>MD TAKIMUDDIN</t>
  </si>
  <si>
    <t>ANKITA JAISWAL</t>
  </si>
  <si>
    <t>MOHAMMAD IRFAN KHAN</t>
  </si>
  <si>
    <t>WARISHA BIN SHAMSHAD</t>
  </si>
  <si>
    <t>ANIRBAN CHAKRABORTY</t>
  </si>
  <si>
    <t>AVINANDAN GHOSHAL</t>
  </si>
  <si>
    <t>FARHANA YASMIN</t>
  </si>
  <si>
    <t>TANIA PARVIN</t>
  </si>
  <si>
    <t>TARFIA ANAM</t>
  </si>
  <si>
    <t>ADITI S NAIR</t>
  </si>
  <si>
    <t>ROHIT SAU</t>
  </si>
  <si>
    <t>M BHARGAV NAIK</t>
  </si>
  <si>
    <t>vramalakshmi@cutm.ac.in</t>
  </si>
  <si>
    <t>M TEJA SRINIVAS</t>
  </si>
  <si>
    <t>PAGADALA SAI SREE</t>
  </si>
  <si>
    <t>B RAJESH</t>
  </si>
  <si>
    <t>R NAESTHA MANVITHA</t>
  </si>
  <si>
    <t>P DHIREN</t>
  </si>
  <si>
    <t>B SAI VIKAS</t>
  </si>
  <si>
    <t>CHERUKUTHOTA KARTHIK NAGA VENKAT</t>
  </si>
  <si>
    <t>M MONALIKA</t>
  </si>
  <si>
    <t>SHAIK FAZAL BASHA</t>
  </si>
  <si>
    <t>M VISHNU SWARAJ NAIK</t>
  </si>
  <si>
    <t>G PRASANTH SRINIVAS</t>
  </si>
  <si>
    <t>N SOWMYA</t>
  </si>
  <si>
    <t>KUNALISHA T S C</t>
  </si>
  <si>
    <t>PUNNAKU VARSHITHA PRIYA DHARSHINI</t>
  </si>
  <si>
    <t>K KRISHNA PRIYA</t>
  </si>
  <si>
    <t>ABHISHEK REDDY</t>
  </si>
  <si>
    <t>MUDE ANURADHA</t>
  </si>
  <si>
    <t>J V PRUDHVI TEJ</t>
  </si>
  <si>
    <t>M GOWTHAM</t>
  </si>
  <si>
    <t>K NAVYA SRI</t>
  </si>
  <si>
    <t>PILAPALEM SAILEESWARI</t>
  </si>
  <si>
    <t>S JHANSI</t>
  </si>
  <si>
    <t>U SIDDIQ</t>
  </si>
  <si>
    <t>THRUSHNA</t>
  </si>
  <si>
    <t>C V CHARITHA</t>
  </si>
  <si>
    <t>KAMMUKUTTI HIMAJA</t>
  </si>
  <si>
    <t>K LOHITHA</t>
  </si>
  <si>
    <t>D HRISHIKESH</t>
  </si>
  <si>
    <t>C LAKSHMI</t>
  </si>
  <si>
    <t>V JYOTHIKA</t>
  </si>
  <si>
    <t>M THANMAI</t>
  </si>
  <si>
    <t>A KARTHIK VARMA</t>
  </si>
  <si>
    <t>V DHARMIKA REDDY</t>
  </si>
  <si>
    <t>SHAIK SUHANA AZIZ</t>
  </si>
  <si>
    <t>D YOSHITHA RATHANA</t>
  </si>
  <si>
    <t>DINDU SRI RAGHAVENDRA</t>
  </si>
  <si>
    <t>K VENKATA SUJANALATHA</t>
  </si>
  <si>
    <t>V SUGNANA SHESHADRIVAS</t>
  </si>
  <si>
    <t>MOHAMMED RIYANUDDIN</t>
  </si>
  <si>
    <t>A SURYA CHANDRA</t>
  </si>
  <si>
    <t>SAANVI SAI NALLA</t>
  </si>
  <si>
    <t>UMA MAHESWARI TANNERU</t>
  </si>
  <si>
    <t>MADDIPATI NIYATHI</t>
  </si>
  <si>
    <t>GUGGILAM SAHASRA</t>
  </si>
  <si>
    <t>AKKANSHA SINGH</t>
  </si>
  <si>
    <t>SAMANVITHA</t>
  </si>
  <si>
    <t>GONAAY ARPITA</t>
  </si>
  <si>
    <t>MUNIMANDA MANISH EPHRAIM</t>
  </si>
  <si>
    <t>K JOYCE ANGEL</t>
  </si>
  <si>
    <t>A PRANEETHA</t>
  </si>
  <si>
    <t>Y BHAVANIKA GOUD</t>
  </si>
  <si>
    <t>ZAARA KHAN</t>
  </si>
  <si>
    <t>NEHA RAJESH BAGDE</t>
  </si>
  <si>
    <t>CHETANA</t>
  </si>
  <si>
    <t>B ASMITHA</t>
  </si>
  <si>
    <t>SANGATI DEENA</t>
  </si>
  <si>
    <t>V LICCHAVI</t>
  </si>
  <si>
    <t>URJITHA BURMA</t>
  </si>
  <si>
    <t>SYED REHMAN</t>
  </si>
  <si>
    <t>MD AYESHA TAHNIYATH</t>
  </si>
  <si>
    <t>ZOONIA FALAK</t>
  </si>
  <si>
    <t>SMRUTI REKHA</t>
  </si>
  <si>
    <t>CH SAMHITHA</t>
  </si>
  <si>
    <t>S HASINI</t>
  </si>
  <si>
    <t>SOGHRA MIRZA</t>
  </si>
  <si>
    <t>MEET SHARMA</t>
  </si>
  <si>
    <t>PAIDIPALLI PREETHIKA</t>
  </si>
  <si>
    <t>YASHWITHA SAI</t>
  </si>
  <si>
    <t>K AKSHITHA</t>
  </si>
  <si>
    <t>VANDANA GOSWAMI</t>
  </si>
  <si>
    <t>ALGOLE SOWJANYA</t>
  </si>
  <si>
    <t>PERUMALLA SHAKANYA RIMONA</t>
  </si>
  <si>
    <t>ZOYA TARANNUM</t>
  </si>
  <si>
    <t>RUKHSAR PARVIN</t>
  </si>
  <si>
    <t>AVINASH REDDY TATIPARTI</t>
  </si>
  <si>
    <t>ANJALI KUMARI</t>
  </si>
  <si>
    <t>SOBIYA FATIMA</t>
  </si>
  <si>
    <t>Y SRUJANI</t>
  </si>
  <si>
    <t>SRISHANTH KUMAR</t>
  </si>
  <si>
    <t>VIBHA VIMAL KHIRAIYA</t>
  </si>
  <si>
    <t>SOMARAJU SAI BHAVYA</t>
  </si>
  <si>
    <t>SHAIK ABDUR RAHMAN</t>
  </si>
  <si>
    <t>RUKHSANA FAREEN</t>
  </si>
  <si>
    <t>R RISHISRI REDDY</t>
  </si>
  <si>
    <t>PAYAL KURRE</t>
  </si>
  <si>
    <t>BANGARI HARNIKA</t>
  </si>
  <si>
    <t>PRAVALIKA B</t>
  </si>
  <si>
    <t>HARSHITHA DHOTRE</t>
  </si>
  <si>
    <t>AMGOTH VIKAS SANTOSH</t>
  </si>
  <si>
    <t>AFEEFAH FATHIMA</t>
  </si>
  <si>
    <t>ABUBAKAR KHAN</t>
  </si>
  <si>
    <t>PARLAPALLYMOUNITHAREDDY</t>
  </si>
  <si>
    <t>NEELESH REDDY</t>
  </si>
  <si>
    <t>KOTE SATHWIKA</t>
  </si>
  <si>
    <t>PADDANI KIRAN</t>
  </si>
  <si>
    <t>ZOHA FATIMA ZAKI</t>
  </si>
  <si>
    <t>KOVURI BHASKAR</t>
  </si>
  <si>
    <t>TALARI SINDHU</t>
  </si>
  <si>
    <t>M NIYATI</t>
  </si>
  <si>
    <t>RUHI GULNAZ</t>
  </si>
  <si>
    <t>SHITAL SINGH</t>
  </si>
  <si>
    <t>K M ROSHINI</t>
  </si>
  <si>
    <t>MOHMMAD SOHAIB</t>
  </si>
  <si>
    <t>NABILA FATIMA</t>
  </si>
  <si>
    <t>PRAVALIKA SAWANT</t>
  </si>
  <si>
    <t>CH UDAYASRIBAI</t>
  </si>
  <si>
    <t>SINDHU THODETI</t>
  </si>
  <si>
    <t>K V GAYATHRI</t>
  </si>
  <si>
    <t>MANASVINI J</t>
  </si>
  <si>
    <t>E AMRUTHA VARSHINI</t>
  </si>
  <si>
    <t>V CHARAN</t>
  </si>
  <si>
    <t>U JOSEPH BENNY</t>
  </si>
  <si>
    <t>K SAI VIJAY</t>
  </si>
  <si>
    <t>MADDI ANJALI PRIYA</t>
  </si>
  <si>
    <t>MOTHE HASINI RAJ</t>
  </si>
  <si>
    <t>VINITH PATEL</t>
  </si>
  <si>
    <t>MD SUMAYYA</t>
  </si>
  <si>
    <t>S C KARTHIKEYAN</t>
  </si>
  <si>
    <t>GOLI SRI TANVI</t>
  </si>
  <si>
    <t>V SUNANDA</t>
  </si>
  <si>
    <t>MOHD ZAID</t>
  </si>
  <si>
    <t>RISHI PRANAV NAKKA</t>
  </si>
  <si>
    <t>KARIMULLA KHAN</t>
  </si>
  <si>
    <t>MOHAMMED NADEEM PASHA</t>
  </si>
  <si>
    <t>BANGARU CHANDANA</t>
  </si>
  <si>
    <t>VALAPA MEGHANA</t>
  </si>
  <si>
    <t>SYED MOIN UDDIN</t>
  </si>
  <si>
    <t>NANDINI ROHIT THAKUR</t>
  </si>
  <si>
    <t>TATA PRAGYA SRI</t>
  </si>
  <si>
    <t>A V PADMA SRI SHARANYA</t>
  </si>
  <si>
    <t>ANISHA ANINDITA PATTANAYAK</t>
  </si>
  <si>
    <t>MANDAVA THANISHKA</t>
  </si>
  <si>
    <t>SRILASYA CHAVALI</t>
  </si>
  <si>
    <t>PARNITA ENAGANTI</t>
  </si>
  <si>
    <t>SHANIZA IRAM</t>
  </si>
  <si>
    <t>JUHII NARESH</t>
  </si>
  <si>
    <t>POOJA BAYYA</t>
  </si>
  <si>
    <t>ADLA GREESHMA</t>
  </si>
  <si>
    <t>KUSHAL SHARMA</t>
  </si>
  <si>
    <t>RAMARAM TANMAYEE SAHITYA</t>
  </si>
  <si>
    <t>BANGARI AKSHAYA</t>
  </si>
  <si>
    <t>TARUNI ANSHULA VISWANADHA</t>
  </si>
  <si>
    <t>D KEERTHANA</t>
  </si>
  <si>
    <t>UMMADI DHIKSHITHA REDDY</t>
  </si>
  <si>
    <t>SABERA TABASSUM</t>
  </si>
  <si>
    <t>GANDE JAGADEESWAR</t>
  </si>
  <si>
    <t>DYAMAKKA SHASHANK</t>
  </si>
  <si>
    <t>SWETHA PRAJAPATHI</t>
  </si>
  <si>
    <t>KOTA RAM CHARAN</t>
  </si>
  <si>
    <t>SV RISHIKESH</t>
  </si>
  <si>
    <t>SHIVANI YADAV</t>
  </si>
  <si>
    <t>AKHIL SUNDAR</t>
  </si>
  <si>
    <t>LAKSHA PARIHAR</t>
  </si>
  <si>
    <t>P SANJANA REDDY</t>
  </si>
  <si>
    <t>ANUSHA PRADHAN</t>
  </si>
  <si>
    <t>BORGAVE ASHWINI</t>
  </si>
  <si>
    <t>TILEWALE ANWITA</t>
  </si>
  <si>
    <t>MUTTANGI KUSUMANJALI</t>
  </si>
  <si>
    <t>E ANANYA</t>
  </si>
  <si>
    <t>KANDHARE GUNAIKYA</t>
  </si>
  <si>
    <t>DEEPIKA</t>
  </si>
  <si>
    <t>HANSIKA SAHU</t>
  </si>
  <si>
    <t>KATRAVATH CHARAN NAYAK</t>
  </si>
  <si>
    <t>ADIKSHA</t>
  </si>
  <si>
    <t>NANDANAVENI SPOORTHI</t>
  </si>
  <si>
    <t>HAFSA TASNEEM</t>
  </si>
  <si>
    <t>GORANTLA AKSHAYA</t>
  </si>
  <si>
    <t>JITESH REDDY</t>
  </si>
  <si>
    <t>AASHRITHA REDDY V</t>
  </si>
  <si>
    <t>CH NAGA LAKSHMI SHASHI PRIYA</t>
  </si>
  <si>
    <t>SILVERI SAI KEERTHANA</t>
  </si>
  <si>
    <t>K POOJA GOUD</t>
  </si>
  <si>
    <t>VAISHNAVI KOMPALLY</t>
  </si>
  <si>
    <t>SYED MAHABOOB ALI</t>
  </si>
  <si>
    <t>G ADITYA RAJU</t>
  </si>
  <si>
    <t>MANIKANTA SAI MOTHUKURI</t>
  </si>
  <si>
    <t>SOWMITHRI SRI VENKATA SRIVASTSA</t>
  </si>
  <si>
    <t>DASARI HIMA HARSHITHA</t>
  </si>
  <si>
    <t>SIDRA SADAF</t>
  </si>
  <si>
    <t>MURARI PRIYANANDAN</t>
  </si>
  <si>
    <t>YASHASWINI GILLELLA</t>
  </si>
  <si>
    <t>ELLURI SRIHANSITHA REDDY</t>
  </si>
  <si>
    <t>SNEHITH MANIKANTA KANDARPA</t>
  </si>
  <si>
    <t>MOHAMMED ABDUL NAVEED UR RAHMAN</t>
  </si>
  <si>
    <t>G J KUNDANA</t>
  </si>
  <si>
    <t>N RAKSHITHA</t>
  </si>
  <si>
    <t>SARANSH</t>
  </si>
  <si>
    <t>MD ARAFAT HOSSAIN</t>
  </si>
  <si>
    <t>B GREESHMA</t>
  </si>
  <si>
    <t>M BHAVISH</t>
  </si>
  <si>
    <t>SAFOORAH AAFREEN</t>
  </si>
  <si>
    <t>SAI ANKITH</t>
  </si>
  <si>
    <t>SANIYA LALANI</t>
  </si>
  <si>
    <t>SYED NADEEM ULLAH</t>
  </si>
  <si>
    <t>NUNEMUNTHALA ABHIGNA GOUD</t>
  </si>
  <si>
    <t>KETHAVATH RAMYA SRI</t>
  </si>
  <si>
    <t>LOKESH VALKI</t>
  </si>
  <si>
    <t>B PUNEETH SAI SRINIVAS</t>
  </si>
  <si>
    <t>CH NIKHIL NAIDU</t>
  </si>
  <si>
    <t>M AMULYA</t>
  </si>
  <si>
    <t>SAIPRIYA</t>
  </si>
  <si>
    <t>K DEEPIKA</t>
  </si>
  <si>
    <t>TASLEEM BEGUM</t>
  </si>
  <si>
    <t>GADDAM CHAITANYA SRI</t>
  </si>
  <si>
    <t>GOUNI BHANU PRAKASH</t>
  </si>
  <si>
    <t>AMRITA GOSWAMI</t>
  </si>
  <si>
    <t>K VAISHNAVI</t>
  </si>
  <si>
    <t>VINJAMURI SAI LAXMI</t>
  </si>
  <si>
    <t>JUVERIA MAIMOONA</t>
  </si>
  <si>
    <t>CATHERINE BENEDICT</t>
  </si>
  <si>
    <t>NEHAL MISHRA</t>
  </si>
  <si>
    <t>R SUDHEER KUMAR</t>
  </si>
  <si>
    <t>MANDAL HASMITHA</t>
  </si>
  <si>
    <t>VANGAPANDU THRIVENI</t>
  </si>
  <si>
    <t>thriveni.vangapandu@cutm.ac.in</t>
  </si>
  <si>
    <t>Not Interested</t>
  </si>
  <si>
    <t>PRIYA MEENA</t>
  </si>
  <si>
    <t>Interested</t>
  </si>
  <si>
    <t>MADEMONI HARI TEJA</t>
  </si>
  <si>
    <t>T SRI CHAITRA</t>
  </si>
  <si>
    <t>CH GUNA SAHITHI</t>
  </si>
  <si>
    <t>KAUSAR UNNISA</t>
  </si>
  <si>
    <t>KANTEKAR SREEJA</t>
  </si>
  <si>
    <t>ANJI SHIVARATRI</t>
  </si>
  <si>
    <t>BABLI KUMARI</t>
  </si>
  <si>
    <t>SILVIA BHATTACHARYA</t>
  </si>
  <si>
    <t>MOHAMMED AYANUDDIN</t>
  </si>
  <si>
    <t>RUQAIYYA FATIMA</t>
  </si>
  <si>
    <t>S AKSHAJA</t>
  </si>
  <si>
    <t>T PRABHANJAN</t>
  </si>
  <si>
    <t>TALAKOKULA ALEKHYA</t>
  </si>
  <si>
    <t>MD AAKIF REYAZ</t>
  </si>
  <si>
    <t>MOHAMMAD ALZEB SAIFI</t>
  </si>
  <si>
    <t>VAISHNAV KANCHI</t>
  </si>
  <si>
    <t>J ANUSHKA</t>
  </si>
  <si>
    <t>K SAMRAT</t>
  </si>
  <si>
    <t>RAJIV LOCHANA VARMA</t>
  </si>
  <si>
    <t>KAUMUDI TALLAM</t>
  </si>
  <si>
    <t>BADRINATH PONNATOTA</t>
  </si>
  <si>
    <t>KUSHAL YADAV</t>
  </si>
  <si>
    <t>KAREENA KAPOOR KHATRI</t>
  </si>
  <si>
    <t>PRAMOJ</t>
  </si>
  <si>
    <t>SPOORTHY GOLANUKONDA</t>
  </si>
  <si>
    <t>ADITI KUMARI</t>
  </si>
  <si>
    <t>P ABHISHEK</t>
  </si>
  <si>
    <t>MANTHAPURAM VENNELA</t>
  </si>
  <si>
    <t>KODURU NAGA LOCHANA SREE</t>
  </si>
  <si>
    <t>SHAIK ISMAIL</t>
  </si>
  <si>
    <t>AFREEN SULTANA</t>
  </si>
  <si>
    <t>DANAVATH ADITYA</t>
  </si>
  <si>
    <t>K RAHUL</t>
  </si>
  <si>
    <t>MODALI VAISHNAVI</t>
  </si>
  <si>
    <t>VALABHOJU TEJASWI</t>
  </si>
  <si>
    <t>ANIRUDH CHERUKUPALLI</t>
  </si>
  <si>
    <t>GOLI SIDDHARTHA</t>
  </si>
  <si>
    <t>SANWI SRIVASTAVA</t>
  </si>
  <si>
    <t>CHANDRAKANTH</t>
  </si>
  <si>
    <t>SUSHRITA SARKAR</t>
  </si>
  <si>
    <t>HUGAR RUSHAB</t>
  </si>
  <si>
    <t>ADITHYA YADAV</t>
  </si>
  <si>
    <t>JOSHIKA SRI KAMATHAM</t>
  </si>
  <si>
    <t>MADDELA MOHANA PRIYA</t>
  </si>
  <si>
    <t>K AKSHITHA REDDY</t>
  </si>
  <si>
    <t>VATTIPALLY SHARANYA</t>
  </si>
  <si>
    <t>SRISHTY RAJ</t>
  </si>
  <si>
    <t>VAGMARI SHOBHA</t>
  </si>
  <si>
    <t>DHANAVATH POOJA</t>
  </si>
  <si>
    <t>SANINA ZAFIR</t>
  </si>
  <si>
    <t>SONIA THAKUR</t>
  </si>
  <si>
    <t>G ANUSHA</t>
  </si>
  <si>
    <t>T NAVYA</t>
  </si>
  <si>
    <t>CHERUKURI SUBBARAVAMMA</t>
  </si>
  <si>
    <t>CHERUKURI UMA MAHESWARI</t>
  </si>
  <si>
    <t>NAZIYA SHAIK</t>
  </si>
  <si>
    <t>L SREE VALLI</t>
  </si>
  <si>
    <t>SUMEDHA DAS</t>
  </si>
  <si>
    <t>ROHIT CHOUDHARY</t>
  </si>
  <si>
    <t>KAPIL CHOUDHARY</t>
  </si>
  <si>
    <t>SOUMYA SREE</t>
  </si>
  <si>
    <t>SANIYA BEGUM</t>
  </si>
  <si>
    <t>KARNAKOTI GOPIKA</t>
  </si>
  <si>
    <t>MEDHA REDDY K</t>
  </si>
  <si>
    <t>ARYA MITTAL</t>
  </si>
  <si>
    <t>GANASHARI VAISHNAVI</t>
  </si>
  <si>
    <t>SHAIK ALAINA</t>
  </si>
  <si>
    <t>POOJITHA</t>
  </si>
  <si>
    <t>ARKA HANSINI KRISH</t>
  </si>
  <si>
    <t>N JHEEL JAIN</t>
  </si>
  <si>
    <t>B HARSHITHA SRI</t>
  </si>
  <si>
    <t>N PRANU SREE POOJITHA</t>
  </si>
  <si>
    <t>B PAVITRA</t>
  </si>
  <si>
    <t>AMITOJ KAUR</t>
  </si>
  <si>
    <t>P SHRAVANA GLORY</t>
  </si>
  <si>
    <t>M MALLIKA</t>
  </si>
  <si>
    <t>BANA BHUVANA KARTHIKA</t>
  </si>
  <si>
    <t>MOHAMMAD MIFAZAAL</t>
  </si>
  <si>
    <t>M SHUSHANTH KOUSHIK</t>
  </si>
  <si>
    <t>AHANA SINGH BISHT</t>
  </si>
  <si>
    <t>ANANNYA DWIVEDI</t>
  </si>
  <si>
    <t>V SWETHIKA</t>
  </si>
  <si>
    <t>PULI MOUNIKA DEVI</t>
  </si>
  <si>
    <t>NIDHI ANANTHA VIDYASAGAR KULKARNI</t>
  </si>
  <si>
    <t>MEHAR FATIMA</t>
  </si>
  <si>
    <t>ALURI SHIVA SHANKARA VARAPRASAD</t>
  </si>
  <si>
    <t>CHENNAIAHGARI BHARATBABU PRACHITHA</t>
  </si>
  <si>
    <t>GOPALA ANVI</t>
  </si>
  <si>
    <t>BARI ARAVIND</t>
  </si>
  <si>
    <t>MAHABOOB SYED REHAN</t>
  </si>
  <si>
    <t>A SAICHARAN</t>
  </si>
  <si>
    <t>CH ARAVIND</t>
  </si>
  <si>
    <t>BELLAM ADITYA</t>
  </si>
  <si>
    <t>AASVINII SINGH</t>
  </si>
  <si>
    <t>PABBALA SUSMA</t>
  </si>
  <si>
    <t>NADIMINTI LAKSHMI NAGA SAI RUPEKSHA</t>
  </si>
  <si>
    <t>NISHA SALUNKE</t>
  </si>
  <si>
    <t>VAGOLU HARINI</t>
  </si>
  <si>
    <t>POREDDY VEEKSHITHA REEDY</t>
  </si>
  <si>
    <t>PRANAV DIKSHIT</t>
  </si>
  <si>
    <t>BONDA RENU SAI</t>
  </si>
  <si>
    <t>AMEENA NASREEN</t>
  </si>
  <si>
    <t>CHANDRASHEKAR</t>
  </si>
  <si>
    <t>BHARGAV SINGH</t>
  </si>
  <si>
    <t>G SARAH JESSICA ALBERT</t>
  </si>
  <si>
    <t>SUDDALA RUPA</t>
  </si>
  <si>
    <t>AAKANKSHA CHIVUKULA</t>
  </si>
  <si>
    <t>VYSHNAVI</t>
  </si>
  <si>
    <t>S N JAHNAVI</t>
  </si>
  <si>
    <t>N AKSHAYA</t>
  </si>
  <si>
    <t>ANUSHA</t>
  </si>
  <si>
    <t>BLS MANOGNA</t>
  </si>
  <si>
    <t>KALLURY SRI LAASYA</t>
  </si>
  <si>
    <t>SAKSHI WAGH</t>
  </si>
  <si>
    <t>CHARITA</t>
  </si>
  <si>
    <t>PAGIDIPALLI SATHWIKA</t>
  </si>
  <si>
    <t>SRI YASASWINI</t>
  </si>
  <si>
    <t>K SURAJ SRI KARTHIKEYA</t>
  </si>
  <si>
    <t>PARTH SANTOSH SUTAR</t>
  </si>
  <si>
    <t>HANSHITHA ALAPATI</t>
  </si>
  <si>
    <t>APRAJITA</t>
  </si>
  <si>
    <t>LAXMI RAGHAV</t>
  </si>
  <si>
    <t>SPURTHY SHARON</t>
  </si>
  <si>
    <t>KAVADI NIHARIKA</t>
  </si>
  <si>
    <t>KUMBHAM JETHIN GOUD</t>
  </si>
  <si>
    <t>SANNUTHI</t>
  </si>
  <si>
    <t>AKKI VENKATA LAHARI SINDHURI</t>
  </si>
  <si>
    <t>RAGINI CHAUHAN</t>
  </si>
  <si>
    <t>ESLAVATH RASHWINI</t>
  </si>
  <si>
    <t>NIDHI CHAUHAN</t>
  </si>
  <si>
    <t>V HASINI</t>
  </si>
  <si>
    <t>B SHREYA</t>
  </si>
  <si>
    <t>SINDHU SAI</t>
  </si>
  <si>
    <t>SURYA CHANDRA</t>
  </si>
  <si>
    <t>VANDHANA</t>
  </si>
  <si>
    <t>SAYYAD AMAN NOOR</t>
  </si>
  <si>
    <t>SYED HASEENA BEGUM</t>
  </si>
  <si>
    <t>SRIVARSHINI</t>
  </si>
  <si>
    <t>MALISETTY PURNA TEJA</t>
  </si>
  <si>
    <t>SHIVANI KUMARI</t>
  </si>
  <si>
    <t>M V ABHIRAM</t>
  </si>
  <si>
    <t>KEERTHANA V</t>
  </si>
  <si>
    <t>NAYAK OMSRI</t>
  </si>
  <si>
    <t>SUHANA AMEEREN</t>
  </si>
  <si>
    <t>GEDDAM INDHU</t>
  </si>
  <si>
    <t>VAISHNAVI</t>
  </si>
  <si>
    <t>VARRE CHANASYA</t>
  </si>
  <si>
    <t>ABHINAYA</t>
  </si>
  <si>
    <t>MANINI MANASWI LOLUGU</t>
  </si>
  <si>
    <t>G SRIVANI</t>
  </si>
  <si>
    <t>R SRREE VARRSHA</t>
  </si>
  <si>
    <t>MUNGI KARTHIK</t>
  </si>
  <si>
    <t>T SAMANVITHA</t>
  </si>
  <si>
    <t>REVAN</t>
  </si>
  <si>
    <t>MOHD WAHEED UDDIN</t>
  </si>
  <si>
    <t>P SRI MOHANA</t>
  </si>
  <si>
    <t>SAUMYA SONI</t>
  </si>
  <si>
    <t>BOMMIDI NAGA NANDINI</t>
  </si>
  <si>
    <t>MOHD TALHA</t>
  </si>
  <si>
    <t>P BHAVYA SREE</t>
  </si>
  <si>
    <t>INDOOR ABHIGNA</t>
  </si>
  <si>
    <t>SOBIA SIMRAH IFTEKHAR</t>
  </si>
  <si>
    <t>K HARSHA VARDHAN</t>
  </si>
  <si>
    <t>DIANA AISHWARYA DAYA</t>
  </si>
  <si>
    <t>BUDIGA SHARANYA</t>
  </si>
  <si>
    <t>AQSA FATHIMA</t>
  </si>
  <si>
    <t>RITESH RAJ</t>
  </si>
  <si>
    <t>KODANDA SRAVANTHI</t>
  </si>
  <si>
    <t>DHANA SRI</t>
  </si>
  <si>
    <t>SAMYUKTHA</t>
  </si>
  <si>
    <t>UMMERUMAANKAUSER</t>
  </si>
  <si>
    <t>V SAI CHARAN REDDY</t>
  </si>
  <si>
    <t>SANDHYA RANI</t>
  </si>
  <si>
    <t>TANVI NARMETA</t>
  </si>
  <si>
    <t>ADIL SHAREEF</t>
  </si>
  <si>
    <t>GUJJALA MANASA</t>
  </si>
  <si>
    <t>VANGAPATI SAI CHARAN REDDY</t>
  </si>
  <si>
    <t>AITHAN SAI SRUTHIKA</t>
  </si>
  <si>
    <t>MIDDI KARTHIK</t>
  </si>
  <si>
    <t>BONDALAPATI KOMAL</t>
  </si>
  <si>
    <t>GUGULOTH ROHITH</t>
  </si>
  <si>
    <t>THAKUR SAANVEE SINGH</t>
  </si>
  <si>
    <t>NIKSHITHA</t>
  </si>
  <si>
    <t>DARLA LOKSHITHA</t>
  </si>
  <si>
    <t>POGAKU SUSAN CHRYSOLITE</t>
  </si>
  <si>
    <t>TRISHNA SANTOSH RATHOD</t>
  </si>
  <si>
    <t>B THANISHA</t>
  </si>
  <si>
    <t>TALASAMUDRAM JYOSHNA</t>
  </si>
  <si>
    <t>ZUBIN MODY</t>
  </si>
  <si>
    <t>VUTUKURU PAVAN SIDDARTHA</t>
  </si>
  <si>
    <t>DADDAM VISWANATH</t>
  </si>
  <si>
    <t>VARADA P</t>
  </si>
  <si>
    <t>L SWOMYASHREE MOHANTY</t>
  </si>
  <si>
    <t>AVHYUDITYA TRIPATHI</t>
  </si>
  <si>
    <t>ISHAN SINGH</t>
  </si>
  <si>
    <t>MOLKALA NIKITHA RAJ</t>
  </si>
  <si>
    <t>HARSHIKA</t>
  </si>
  <si>
    <t>K GAYATHRI</t>
  </si>
  <si>
    <t>AMLAN ANIRUDH</t>
  </si>
  <si>
    <t>Dr. Ajay Kumar Prusty</t>
  </si>
  <si>
    <t>prusty.ajay@cutm.ac.in</t>
  </si>
  <si>
    <t>Meta AI</t>
  </si>
  <si>
    <t>PRATIKSHYA BEHERA</t>
  </si>
  <si>
    <t>DIPTI REKHA SETHY</t>
  </si>
  <si>
    <t>NUPUR DASH</t>
  </si>
  <si>
    <t>SONALI MAJHI</t>
  </si>
  <si>
    <t>DIBYAJYOTI DEVIPRASAD SAMANTARAY</t>
  </si>
  <si>
    <t>TUSARKANT TRIPATHY</t>
  </si>
  <si>
    <t>JYOTIRMAYEE PADHAN</t>
  </si>
  <si>
    <t>MAHIMA PRASAD BEHERA</t>
  </si>
  <si>
    <t>ADVIK RAI KANTA</t>
  </si>
  <si>
    <t>SARINA RAHMAN</t>
  </si>
  <si>
    <t>ABHISEK PADHI</t>
  </si>
  <si>
    <t>ARMINTAA PATRA</t>
  </si>
  <si>
    <t>SAYANIKA PRADHAN</t>
  </si>
  <si>
    <t>STHITAPRAGNA SAMANTARAY</t>
  </si>
  <si>
    <t>SUBHASHISH MOHANTY</t>
  </si>
  <si>
    <t>SHIBANANDA SAHU</t>
  </si>
  <si>
    <t>JAYASHREE PRIYADARSINI SHARMA</t>
  </si>
  <si>
    <t>OMKAR NANDA</t>
  </si>
  <si>
    <t>NITIN KUMAR SAHOO</t>
  </si>
  <si>
    <t>SUBHALAXMI SAHOO</t>
  </si>
  <si>
    <t>KHITESH BAG</t>
  </si>
  <si>
    <t>TOSHALINA BEHERA</t>
  </si>
  <si>
    <t>SEPHALIKA DANI</t>
  </si>
  <si>
    <t>PADMAJA PRADHAN</t>
  </si>
  <si>
    <t>SHUBHENDU SHEKHAR PANIGRAHI</t>
  </si>
  <si>
    <t>HIMESH BASANTIA</t>
  </si>
  <si>
    <t>SWAYAMSHRI SARANGI</t>
  </si>
  <si>
    <t>MD FARID ANSARI</t>
  </si>
  <si>
    <t>SANIA SAMAL</t>
  </si>
  <si>
    <t>RAJESWARI BARIK</t>
  </si>
  <si>
    <t>SOUMYA SURABHI DURIA</t>
  </si>
  <si>
    <t>AISHWARYA KHAN</t>
  </si>
  <si>
    <t>DIPTIMAI KUSHADEBA PRADHAN</t>
  </si>
  <si>
    <t>Not Called</t>
  </si>
  <si>
    <t>PUJASHREE MALLIK</t>
  </si>
  <si>
    <t>SANCHITA SAHU</t>
  </si>
  <si>
    <t>JAMES EKKA</t>
  </si>
  <si>
    <t>ALINA PRIYADARSHANI PANDA</t>
  </si>
  <si>
    <t>SITISARAJ BADAMALI</t>
  </si>
  <si>
    <t>SHOVAN RAJ MOHANTY</t>
  </si>
  <si>
    <t>ANUSKA PRIYADARSHINI SWAIN</t>
  </si>
  <si>
    <t>TANUSHKA SAHOO</t>
  </si>
  <si>
    <t>SUBHAM NAYAK</t>
  </si>
  <si>
    <t>INTISAM AFSHIN</t>
  </si>
  <si>
    <t>RAKHI SUBHADRA SASMAL</t>
  </si>
  <si>
    <t>JAGANNATH PRADHAN</t>
  </si>
  <si>
    <t>SUBHASHREE BEURA</t>
  </si>
  <si>
    <t>SRABANI MAUDI</t>
  </si>
  <si>
    <t>MAYANK SAHU</t>
  </si>
  <si>
    <t>SUBHASHREE PRIYADARSHINI PATI</t>
  </si>
  <si>
    <t>RASHMITA SAHOO</t>
  </si>
  <si>
    <t>AVANTIKA CHOUDHURY</t>
  </si>
  <si>
    <t>KAMLESH SAHU</t>
  </si>
  <si>
    <t>SUSMITA PRADHAN</t>
  </si>
  <si>
    <t>CHINMAYEE NAYAK</t>
  </si>
  <si>
    <t>MANYATA PATRA</t>
  </si>
  <si>
    <t>ABHIJEET SAHOO</t>
  </si>
  <si>
    <t>JEEVAN GADNAYAK</t>
  </si>
  <si>
    <t>PRITIPRAGYAN NAYAK</t>
  </si>
  <si>
    <t>ABHINANDAN BEHERA</t>
  </si>
  <si>
    <t>NILANGSHU BISWAS</t>
  </si>
  <si>
    <t>ABINASH BEHERA</t>
  </si>
  <si>
    <t>DEEPA SIKA</t>
  </si>
  <si>
    <t>PRATEEK PRIYADARSHI PATRA</t>
  </si>
  <si>
    <t>BHUJAL PAL</t>
  </si>
  <si>
    <t>ATHAR PARWEZ</t>
  </si>
  <si>
    <t>DEV SHAKTI PRASAD KAR</t>
  </si>
  <si>
    <t>ARYA KUMARI MOHANTY</t>
  </si>
  <si>
    <t>SUBHASMITA ROUT</t>
  </si>
  <si>
    <t>AYUSH KUMBHAR</t>
  </si>
  <si>
    <t>ATASI PANDA</t>
  </si>
  <si>
    <t>MANASMITA PRIYADARSHINI</t>
  </si>
  <si>
    <t>HARAM SAYEMA</t>
  </si>
  <si>
    <t>LAXMIPRIYA BEURA</t>
  </si>
  <si>
    <t>RAJ SEKHAR TRIPATHY</t>
  </si>
  <si>
    <t>PRATISTHA PRADHAN</t>
  </si>
  <si>
    <t>SUBASIS SAHOO</t>
  </si>
  <si>
    <t>KIRAN PATRA</t>
  </si>
  <si>
    <t>KIRAN MANISHA NAYAK</t>
  </si>
  <si>
    <t>PURNIMA SAHOO</t>
  </si>
  <si>
    <t>SWAYAMPRAGYAN PANDA</t>
  </si>
  <si>
    <t>DINESH MISHRA</t>
  </si>
  <si>
    <t>DEBASISH MOHANTY</t>
  </si>
  <si>
    <t>JIGYANSA LENKA</t>
  </si>
  <si>
    <t>DIBYAJYOTI PARIDA</t>
  </si>
  <si>
    <t>KRISH AGRAWAL</t>
  </si>
  <si>
    <t>PRATIKSHYA JENA</t>
  </si>
  <si>
    <t>SUYANSHIKHA BEHERA</t>
  </si>
  <si>
    <t>SWATI SAGARIKA MOHAPATRA</t>
  </si>
  <si>
    <t>P ISHAN KUMAR SUBUDHI</t>
  </si>
  <si>
    <t>KAJAL SAHU</t>
  </si>
  <si>
    <t>AKANKHYA PANDA</t>
  </si>
  <si>
    <t>AMRITA VERMA</t>
  </si>
  <si>
    <t>SUDESHNA NAYAK</t>
  </si>
  <si>
    <t>VISHAL KUMAR MEHER</t>
  </si>
  <si>
    <t>ANANYA DASH</t>
  </si>
  <si>
    <t>OMKAR PRADHAN</t>
  </si>
  <si>
    <t>AKANKSHYA MAHARANA</t>
  </si>
  <si>
    <t>ABINASH DASH</t>
  </si>
  <si>
    <t>SARTHAK BARAL</t>
  </si>
  <si>
    <t>ADIETYA VICKRAM SAMANT</t>
  </si>
  <si>
    <t>PRITI PRIYADARSANI BEHERA</t>
  </si>
  <si>
    <t>PRANGYA PARIMITA BARIK</t>
  </si>
  <si>
    <t>SHRIYA SIMRON NAYAK</t>
  </si>
  <si>
    <t>PRABHU PRASAD SAHOO</t>
  </si>
  <si>
    <t>SOUBHAGYA RANJAN SINGH</t>
  </si>
  <si>
    <t>MAYANKA KUMAR SETHI</t>
  </si>
  <si>
    <t>DIBYANSHI SWAIN</t>
  </si>
  <si>
    <t>ANWESHA DALAI</t>
  </si>
  <si>
    <t>SUBHLAXMI SINGH</t>
  </si>
  <si>
    <t>ABHISHEK JENA</t>
  </si>
  <si>
    <t>SUSHREE SUBHRANJALI</t>
  </si>
  <si>
    <t>ADITYA KUMAR MALLICK</t>
  </si>
  <si>
    <t>CHIRANJEEB PATTANAIK</t>
  </si>
  <si>
    <t>JITENDRA SAHU</t>
  </si>
  <si>
    <t>REETANJALI PALEI</t>
  </si>
  <si>
    <t>ANKITA ROUT</t>
  </si>
  <si>
    <t>ESHAN KHUNTIA</t>
  </si>
  <si>
    <t>NANDITA PATTNAIK</t>
  </si>
  <si>
    <t>NIKHILESH KUMAR</t>
  </si>
  <si>
    <t>ADITYA SAHOO</t>
  </si>
  <si>
    <t>SACHIN KUMAR SAMAL</t>
  </si>
  <si>
    <t>SATYA RANJAN PARIDA</t>
  </si>
  <si>
    <t>ANJALI PRITIPARNA</t>
  </si>
  <si>
    <t>OM KUMAR NAIK</t>
  </si>
  <si>
    <t>OMM PRAKASH PUHAN</t>
  </si>
  <si>
    <t>STUTEE RANI SASMAL</t>
  </si>
  <si>
    <t>PRIYANSU PANI</t>
  </si>
  <si>
    <t>SUSIL KUMAR SWIAN</t>
  </si>
  <si>
    <t>B ALIVE ALINE</t>
  </si>
  <si>
    <t>BISWAJEET PATTANAIK</t>
  </si>
  <si>
    <t>SALONI AGARWAL</t>
  </si>
  <si>
    <t>NAMRATA SWAIN</t>
  </si>
  <si>
    <t>SMRUTI SATABDI ROUL</t>
  </si>
  <si>
    <t>SWATISHREE PRIYADARSHINI</t>
  </si>
  <si>
    <t>DHRUV MEHER</t>
  </si>
  <si>
    <t>SANSKRUTI PRUSTY</t>
  </si>
  <si>
    <t>JAHNAVI PANDA</t>
  </si>
  <si>
    <t>BARSHA PRIYADARSINI SAHOO</t>
  </si>
  <si>
    <t>ARPITA JOSHI</t>
  </si>
  <si>
    <t>TANVEE TANAYA PAL</t>
  </si>
  <si>
    <t>HIMANSHU JENA</t>
  </si>
  <si>
    <t>SUSHREE PRIYADARSHANI</t>
  </si>
  <si>
    <t>SASWATI SAMPADA</t>
  </si>
  <si>
    <t>BAJRANG MEHER</t>
  </si>
  <si>
    <t>ADYA UPASANA</t>
  </si>
  <si>
    <t>SOUMYA SARTHAK AGASTI</t>
  </si>
  <si>
    <t>RUPAM SARGHARIA</t>
  </si>
  <si>
    <t>KASHMIRA SAHOO</t>
  </si>
  <si>
    <t>BABITA MEHER</t>
  </si>
  <si>
    <t>DEBIPARNA DAS</t>
  </si>
  <si>
    <t>BISHNUDEB PADHI</t>
  </si>
  <si>
    <t>SUBHASMITA JENA</t>
  </si>
  <si>
    <t>SOUMYA RANJAN PANDA</t>
  </si>
  <si>
    <t>SANCHITA MOHAPATRA</t>
  </si>
  <si>
    <t>DEBASHIS GIRI</t>
  </si>
  <si>
    <t>PIYUSH RATH</t>
  </si>
  <si>
    <t>BISWANATH PARIDA</t>
  </si>
  <si>
    <t>ASHUTOSH SAHOO</t>
  </si>
  <si>
    <t>ABHISHEK MOHANTY</t>
  </si>
  <si>
    <t>RUDRA NARAYANA MISHRA</t>
  </si>
  <si>
    <t>SANSKAR SAHU</t>
  </si>
  <si>
    <t>SAMIKSHYA SANSKRUTI SAMAL</t>
  </si>
  <si>
    <t>SOURAV NATH</t>
  </si>
  <si>
    <t>DROUPADI DABAR</t>
  </si>
  <si>
    <t>PALAK BARAD</t>
  </si>
  <si>
    <t>SULAGNA SATAPATHY</t>
  </si>
  <si>
    <t>ARMAN SINGH</t>
  </si>
  <si>
    <t>ADYAM KUMAR PANDA</t>
  </si>
  <si>
    <t>SWAYAMBHU DAS</t>
  </si>
  <si>
    <t>DINESH KUMAR BARIK</t>
  </si>
  <si>
    <t>ABHIJEET PADHI</t>
  </si>
  <si>
    <t>BEAUTY DAS</t>
  </si>
  <si>
    <t>SUBHRANSU PARIDA</t>
  </si>
  <si>
    <t>CHINMAY CHOUDHARY</t>
  </si>
  <si>
    <t>ADITYA PARIDA</t>
  </si>
  <si>
    <t>CHARCHEET JENA</t>
  </si>
  <si>
    <t>BAISAKHI HALDAR</t>
  </si>
  <si>
    <t>TANISHA PATI</t>
  </si>
  <si>
    <t>SARADINDU SRICHANDAN</t>
  </si>
  <si>
    <t>JENNY NAIK</t>
  </si>
  <si>
    <t>MONALISA JENA</t>
  </si>
  <si>
    <t>ANKITA PATTANAIK</t>
  </si>
  <si>
    <t>SHREYASHA DAS</t>
  </si>
  <si>
    <t>BIBHU RANJAN SENAPATI</t>
  </si>
  <si>
    <t>SAI KRISHNA DAS</t>
  </si>
  <si>
    <t>ADARSH RANJAN NAYAK</t>
  </si>
  <si>
    <t>SHREYASH AMBARISH</t>
  </si>
  <si>
    <t>ANKIT PUJARI</t>
  </si>
  <si>
    <t>PAWAN PRITAM HOTA</t>
  </si>
  <si>
    <t>MITALI LAXMAN DAS</t>
  </si>
  <si>
    <t>ABHISHEK KUMAR BHAINA</t>
  </si>
  <si>
    <t>KAMAL LOCHAN MOHANTA</t>
  </si>
  <si>
    <t>ANSHUMAN KIRAN PRADHAN</t>
  </si>
  <si>
    <t>ADITYA KUMAR PATRA</t>
  </si>
  <si>
    <t>ARPITA PANDA</t>
  </si>
  <si>
    <t>ANKIT KUMAR BARAL</t>
  </si>
  <si>
    <t>SAI SURAJ BEHERA</t>
  </si>
  <si>
    <t>PRAYASH RANJAN KHUNTIA</t>
  </si>
  <si>
    <t>SOUMYA RANJAN PRADHAN</t>
  </si>
  <si>
    <t>MONALISHA PRIYADARSHINI SAHOO</t>
  </si>
  <si>
    <t>PRISHA DUBE</t>
  </si>
  <si>
    <t>PRIYANKA PRIYADARSINI ACHARYA</t>
  </si>
  <si>
    <t>DHARMANIRANJAN SWAIN</t>
  </si>
  <si>
    <t>SATYAJIT GIRI</t>
  </si>
  <si>
    <t>SAHOO ANIMESH AKSHAY</t>
  </si>
  <si>
    <t>PRIYARANJAN SAHU</t>
  </si>
  <si>
    <t>PRATIKSHYA PRIYADARSINI</t>
  </si>
  <si>
    <t>BAISAKHI PRIYADARSHINI PRADHAN</t>
  </si>
  <si>
    <t>AMISHA PATRA</t>
  </si>
  <si>
    <t>SUHANA SAMANTARAY</t>
  </si>
  <si>
    <t>SOUMYA RANJAN SAHOO</t>
  </si>
  <si>
    <t>AVILIPSHA NAYAK</t>
  </si>
  <si>
    <t>ANSHIKA SHIBANI</t>
  </si>
  <si>
    <t>MONALISA PATI</t>
  </si>
  <si>
    <t>OMSHREE SAHU</t>
  </si>
  <si>
    <t>SATYA SWAGAT SATAPATHY</t>
  </si>
  <si>
    <t>PRIYANKA PRIYADARSHINI ROUT</t>
  </si>
  <si>
    <t>SOUBHAGYA SUMAN SAHOO</t>
  </si>
  <si>
    <t>SHANTANU KUMAR PANDA</t>
  </si>
  <si>
    <t>BIJAYINI PANDA</t>
  </si>
  <si>
    <t>MRIDULA MOHANTY</t>
  </si>
  <si>
    <t>RAMA KRUSHNA SWAIN</t>
  </si>
  <si>
    <t>PRIYANSU MALLICK</t>
  </si>
  <si>
    <t>SUBHASHREE PUJHARI</t>
  </si>
  <si>
    <t>PRATYUSH KUMAR PRADHAN</t>
  </si>
  <si>
    <t>GOURAV SAHU</t>
  </si>
  <si>
    <t>OMSAI SWARAJ BEHERA</t>
  </si>
  <si>
    <t>TAJ RITURAJ JAGAT</t>
  </si>
  <si>
    <t>SAMIKSHYA BARAL</t>
  </si>
  <si>
    <t>ANURAG PRADHAN</t>
  </si>
  <si>
    <t>AMRITA PRIYADARSINI</t>
  </si>
  <si>
    <t>HANSIKA BHUYAN</t>
  </si>
  <si>
    <t>SATYAM PRIYADARSHAN</t>
  </si>
  <si>
    <t>SWAYAM PRAGNYA SAHOO</t>
  </si>
  <si>
    <t>DIBYADISHA PARIDA</t>
  </si>
  <si>
    <t>AMIT KUMAR PATI</t>
  </si>
  <si>
    <t>SANJHVI JYOTI NAYAK</t>
  </si>
  <si>
    <t>SAI PRARTHANA NAYAK</t>
  </si>
  <si>
    <t>ARYAN NAIK</t>
  </si>
  <si>
    <t>SOMYA SMARANIKA SAHOO</t>
  </si>
  <si>
    <t>SHRUTI SUBHABRATA SENAPATI</t>
  </si>
  <si>
    <t>ANMOL PATTANAIK</t>
  </si>
  <si>
    <t>DEVI SUDESHNA GIRI</t>
  </si>
  <si>
    <t>ANSHUMAN SETHI</t>
  </si>
  <si>
    <t>ISHITA PRADHAN</t>
  </si>
  <si>
    <t>BIBHUTI BHUSAN PRADHAN</t>
  </si>
  <si>
    <t>PRAJNYA PARIMITA MOHAPATRA</t>
  </si>
  <si>
    <t>TANMAY BAIDYA</t>
  </si>
  <si>
    <t>SURAJ MOHANTA</t>
  </si>
  <si>
    <t>M ADITYA SAI</t>
  </si>
  <si>
    <t>PRIYANSU PATNAIK</t>
  </si>
  <si>
    <t>ANSUMAN JURIA</t>
  </si>
  <si>
    <t>SUBRATA SARAB</t>
  </si>
  <si>
    <t>PRATYASU SREYAM SETH</t>
  </si>
  <si>
    <t>SAI SWETA NANDA</t>
  </si>
  <si>
    <t>SUBHRA SWAGAT</t>
  </si>
  <si>
    <t>GYANESWAR SAHU</t>
  </si>
  <si>
    <t>SUHANA PARWIN</t>
  </si>
  <si>
    <t>KAIBALYA KUMAR DAS</t>
  </si>
  <si>
    <t>LAMBODAR SAHU</t>
  </si>
  <si>
    <t>RASMI RANJAN RATHA</t>
  </si>
  <si>
    <t>JYOTISHREE PRADHAN</t>
  </si>
  <si>
    <t>DEBADUTTA PUHAN</t>
  </si>
  <si>
    <t>SHNEHATMA SWAIN</t>
  </si>
  <si>
    <t>MAHIMA CHETTY</t>
  </si>
  <si>
    <t>SUBRAT SAHU</t>
  </si>
  <si>
    <t>SOUMYARANJAN PRATAP CHHATRIA</t>
  </si>
  <si>
    <t>CHANDAN GIRI</t>
  </si>
  <si>
    <t>ANSUMAN DAS</t>
  </si>
  <si>
    <t>JITU MEHER</t>
  </si>
  <si>
    <t>SITAL OTTA</t>
  </si>
  <si>
    <t>SASWAT SARANGI</t>
  </si>
  <si>
    <t>DEEPTANSHU PATTANAIK</t>
  </si>
  <si>
    <t>VIVEKANANDA RATH</t>
  </si>
  <si>
    <t>ADYASHA RATH</t>
  </si>
  <si>
    <t>SMARIKA PRAHARAJ</t>
  </si>
  <si>
    <t>BARSHA PRADHAN</t>
  </si>
  <si>
    <t>ASHOK DASH</t>
  </si>
  <si>
    <t>SALINI SIPRA</t>
  </si>
  <si>
    <t>SUBHAM BISWAL</t>
  </si>
  <si>
    <t>BHABANI SANKAR SAHOO</t>
  </si>
  <si>
    <t>SAROJ DAS</t>
  </si>
  <si>
    <t>S AISHWARYA PRIYADARSHINI</t>
  </si>
  <si>
    <t>GURUPRASAD PARIDA</t>
  </si>
  <si>
    <t>SUBHASURYA MOHAPATRA</t>
  </si>
  <si>
    <t>SOUMYA RANJAN PUROHIT</t>
  </si>
  <si>
    <t>DIBYANSHU SEKHAR NAYAK</t>
  </si>
  <si>
    <t>ADYASHA SAHU</t>
  </si>
  <si>
    <t>KUNJABIHARI SAHOO</t>
  </si>
  <si>
    <t>TANMAY RANJAN BEHERA</t>
  </si>
  <si>
    <t>PRACHI PRATYASA DASH</t>
  </si>
  <si>
    <t>KARISHMA BAHLA</t>
  </si>
  <si>
    <t>BIBHU PRAKASH PANDA</t>
  </si>
  <si>
    <t>SHIBA SANKAR BHUYAN</t>
  </si>
  <si>
    <t>PRAYUSHI PRIYADARSHINI PANDEY</t>
  </si>
  <si>
    <t>PAPAN BEHERA</t>
  </si>
  <si>
    <t>POONAM PRIYADARSHINI</t>
  </si>
  <si>
    <t>SHREYANSHU MOHANTY</t>
  </si>
  <si>
    <t>JIVAN KUMAR PRUSTY</t>
  </si>
  <si>
    <t>SIDHARTHA SANKAR SAHOO</t>
  </si>
  <si>
    <t>NABYA NAVELI</t>
  </si>
  <si>
    <t>SUBHRANSHU BAL</t>
  </si>
  <si>
    <t>AARUSHI JOSHI</t>
  </si>
  <si>
    <t>E OM PRASAD PATRO</t>
  </si>
  <si>
    <t>PRATIKSHYA NANDA TRIPATHY</t>
  </si>
  <si>
    <t>ANWESHA PRIYADARSHINI</t>
  </si>
  <si>
    <t>NISITH KUMAR MISHRA</t>
  </si>
  <si>
    <t>MOHAMMED ADNAN ANIS</t>
  </si>
  <si>
    <t>BHABANI BHARATI SAHOO</t>
  </si>
  <si>
    <t>MANISH BEHERA</t>
  </si>
  <si>
    <t>SUTANU DUTTA</t>
  </si>
  <si>
    <t>RISHABH DUTTA</t>
  </si>
  <si>
    <t>AYUSH GARTIA</t>
  </si>
  <si>
    <t>MOHAK MAHESHWARI</t>
  </si>
  <si>
    <t>AYUSH BHOL</t>
  </si>
  <si>
    <t>ASHIRBAD MOHAKUD</t>
  </si>
  <si>
    <t>KRISHNA RANI BEHERA</t>
  </si>
  <si>
    <t>ASHISH RANJAN KAR</t>
  </si>
  <si>
    <t>PIYUSH NAIK</t>
  </si>
  <si>
    <t>ARPITA KHUNTIA</t>
  </si>
  <si>
    <t>DUDUL MOHANTY</t>
  </si>
  <si>
    <t>QURRETUL AYEN</t>
  </si>
  <si>
    <t>SUBHASMITA DAS</t>
  </si>
  <si>
    <t>SURYAKANTA PRADHAN</t>
  </si>
  <si>
    <t>BALADITYA SAHU</t>
  </si>
  <si>
    <t>RONIT ROY</t>
  </si>
  <si>
    <t>SIDDHIMAYEE SAHU</t>
  </si>
  <si>
    <t>SHREEMAYEE MRUNALINEE MEHER</t>
  </si>
  <si>
    <t>SWARIT PRIYAM MAHAPATRA</t>
  </si>
  <si>
    <t>AFIYA RAHMAN</t>
  </si>
  <si>
    <t>DEEPIKA SAHU</t>
  </si>
  <si>
    <t>ADITYA PRAKASH NAYAK</t>
  </si>
  <si>
    <t>AYUSH MAHANA</t>
  </si>
  <si>
    <t>PARTHA SARATHI BHUYAN</t>
  </si>
  <si>
    <t>SAI SANKAR MUDULI</t>
  </si>
  <si>
    <t>SUSHREE SUPRIYA DEHURY</t>
  </si>
  <si>
    <t>GYANA RANJAN JENA</t>
  </si>
  <si>
    <t>Debasrita Priyadarshni Pati</t>
  </si>
  <si>
    <t>KHYATIPRAVA DAS</t>
  </si>
  <si>
    <t>SOURAV PARIDA</t>
  </si>
  <si>
    <t>PRITISH KUMAR JENA</t>
  </si>
  <si>
    <t>DOLLY MEHER</t>
  </si>
  <si>
    <t>HITESH NANDA</t>
  </si>
  <si>
    <t>ANUSHKA JAGATDEV</t>
  </si>
  <si>
    <t>MAHESH RANJAN SAMAL</t>
  </si>
  <si>
    <t>MOHIT KUMAR NAYAK</t>
  </si>
  <si>
    <t>SRITIK SANGAM</t>
  </si>
  <si>
    <t>SONALI MOHAPATRA</t>
  </si>
  <si>
    <t>ASHISH NAIK</t>
  </si>
  <si>
    <t>SUJIT KUMAR MEHER</t>
  </si>
  <si>
    <t>BHAGYASHREE MALLIK</t>
  </si>
  <si>
    <t>SIBANI SAHOO</t>
  </si>
  <si>
    <t>ATITHI MISHRA</t>
  </si>
  <si>
    <t>SRUTI MEHER</t>
  </si>
  <si>
    <t>SANJUKTA DAS</t>
  </si>
  <si>
    <t>ASHTHA PATTNAIK</t>
  </si>
  <si>
    <t>ASHUTOSH BARIK</t>
  </si>
  <si>
    <t>PRALIPSA PRIYADARSINI</t>
  </si>
  <si>
    <t>ARPITA TARAI</t>
  </si>
  <si>
    <t>MAHENDRA PRATAP BEHERA</t>
  </si>
  <si>
    <t>RUDRANARAYAN PRADHAN</t>
  </si>
  <si>
    <t>PRITISH RANJAN SAHOO</t>
  </si>
  <si>
    <t>MILONEE MOHANTY</t>
  </si>
  <si>
    <t>SUBHAM SANKHUA</t>
  </si>
  <si>
    <t>DIPTI PRADHAN</t>
  </si>
  <si>
    <t>PRAJNANEE SAHOO</t>
  </si>
  <si>
    <t>SUBHALAXMI SAHU</t>
  </si>
  <si>
    <t>N VEDIKA</t>
  </si>
  <si>
    <t>DEEPTI RANI SAHOO</t>
  </si>
  <si>
    <t>ASHUTOSH SAHU</t>
  </si>
  <si>
    <t>SWAGAT KUMAR MISHRA</t>
  </si>
  <si>
    <t>PREM SAGAR SAHU</t>
  </si>
  <si>
    <t>ANKIT PATTJOSHI</t>
  </si>
  <si>
    <t>PRIYANKA PRIYADARSHINI MUDULI</t>
  </si>
  <si>
    <t>NAFISHA PARWEEN</t>
  </si>
  <si>
    <t>ELISHA BEHERA</t>
  </si>
  <si>
    <t>BAISALI SAHOO</t>
  </si>
  <si>
    <t>PIYUSH KHAMARI</t>
  </si>
  <si>
    <t>AMAN ANUPREET PANDA</t>
  </si>
  <si>
    <t>OM PRAKASH JENA</t>
  </si>
  <si>
    <t>ANSUMAN SAHOO</t>
  </si>
  <si>
    <t>ARUNAV SAHOO</t>
  </si>
  <si>
    <t>DIBYADARSHAN PRADHAN</t>
  </si>
  <si>
    <t>RAJALAXMI TRIPATHY</t>
  </si>
  <si>
    <t>AYEESANI MAHAPATRA</t>
  </si>
  <si>
    <t>SHIVAM AGRAWAL</t>
  </si>
  <si>
    <t>SPANDAN DASH</t>
  </si>
  <si>
    <t>SUBHASISH NAYAK</t>
  </si>
  <si>
    <t>IPSITA PRIYADARSINI SAMAL</t>
  </si>
  <si>
    <t>DEEPAN KUMAR SAHOO</t>
  </si>
  <si>
    <t>SMRUTI SAMRIDDHI</t>
  </si>
  <si>
    <t>SUBHRANSU SEKHAR BISWAL</t>
  </si>
  <si>
    <t>SUBHRA PRATAP SAHOO</t>
  </si>
  <si>
    <t>VANDANA JUJHARSINGH</t>
  </si>
  <si>
    <t>ASHUTOSH PANDA</t>
  </si>
  <si>
    <t>SUBHASHREE SINGH</t>
  </si>
  <si>
    <t>BARSHA MOHAPATRA</t>
  </si>
  <si>
    <t>BANDANA BARIK</t>
  </si>
  <si>
    <t>MRUTUNJAY SWAIN</t>
  </si>
  <si>
    <t>ADITI MOHAPATRA</t>
  </si>
  <si>
    <t>DIBYAJYOTI MANDAL</t>
  </si>
  <si>
    <t>SATYABRATA PRADHAN</t>
  </si>
  <si>
    <t>BIBEK BHUSHAN NAYAK</t>
  </si>
  <si>
    <t>SAISWARI DALAI</t>
  </si>
  <si>
    <t>SMARAN SATWIK SWAIN</t>
  </si>
  <si>
    <t>GYANENDRA KUMAR MISHRA</t>
  </si>
  <si>
    <t>BISWARANJAN PATRA</t>
  </si>
  <si>
    <t>CHANDRA PRASAD BEHERA</t>
  </si>
  <si>
    <t>SWAYAM RAJ BISWAL</t>
  </si>
  <si>
    <t>ANUBHAV SAHOO</t>
  </si>
  <si>
    <t>SANDHYARANI BEHERA</t>
  </si>
  <si>
    <t>KUSUMA NAYAK</t>
  </si>
  <si>
    <t>SUBHA LAXMI PRIYADARSHINI</t>
  </si>
  <si>
    <t>RAJESH SAHU</t>
  </si>
  <si>
    <t>MOHAMMED AATIF</t>
  </si>
  <si>
    <t>KRITIK SA</t>
  </si>
  <si>
    <t>PRATIK BAL</t>
  </si>
  <si>
    <t>HEMALATA MISHRA</t>
  </si>
  <si>
    <t>SHRUTISHREE SAHOO</t>
  </si>
  <si>
    <t>RAKESH SWAIN</t>
  </si>
  <si>
    <t>SMRUTIREKHA PRATIHARY</t>
  </si>
  <si>
    <t>DHRUBI CHHAYA SAHU</t>
  </si>
  <si>
    <t>SIDDHIKA PATRA</t>
  </si>
  <si>
    <t>SATYAJEET MOHAPATRA</t>
  </si>
  <si>
    <t>SAYED ZEESHAN RAZAA</t>
  </si>
  <si>
    <t>ROHIT KUMAR NAYAK</t>
  </si>
  <si>
    <t>TULASI ROUT</t>
  </si>
  <si>
    <t>RAJAT KUMAR NANDY</t>
  </si>
  <si>
    <t>MAHAMMED AZIZAN ABAD</t>
  </si>
  <si>
    <t>AYUSH KUMAR PRUSTY</t>
  </si>
  <si>
    <t>SUSHREE MANYATA MISHRA</t>
  </si>
  <si>
    <t>DIVYAKALYANI PANDA</t>
  </si>
  <si>
    <t>MONALISA MAHAPATRA</t>
  </si>
  <si>
    <t>JYOTSNA NIBEDITA RAY</t>
  </si>
  <si>
    <t>SHREYASHREE PANDA</t>
  </si>
  <si>
    <t>MAYANK CHAKRABORTY</t>
  </si>
  <si>
    <t>RITU MISTRY</t>
  </si>
  <si>
    <t>PRASAD KUMAR ACHARYA</t>
  </si>
  <si>
    <t>HIMANGSHU SINHA</t>
  </si>
  <si>
    <t>SASWAT MOHALIK</t>
  </si>
  <si>
    <t>DIVYANSHU KUMAR PRADHAN</t>
  </si>
  <si>
    <t>PRITINANDA BEHERA</t>
  </si>
  <si>
    <t>OMMKRISHNA ROUT</t>
  </si>
  <si>
    <t>PRATYUSH RANJAN BARIK</t>
  </si>
  <si>
    <t>SAMBIT MOHAPATRA</t>
  </si>
  <si>
    <t>BINOD MEHER</t>
  </si>
  <si>
    <t>ABHRANT NAIK</t>
  </si>
  <si>
    <t>MAHIMA CHOUDHARY</t>
  </si>
  <si>
    <t>SHAKTI PRASAD BAJRANGI</t>
  </si>
  <si>
    <t>SATYAM BHAL</t>
  </si>
  <si>
    <t>PRIYANSHI BARIK</t>
  </si>
  <si>
    <t>SUSHREE RANI NAG</t>
  </si>
  <si>
    <t>PRAJAKTA DAS</t>
  </si>
  <si>
    <t>PRIYA DARSINI RAUTA</t>
  </si>
  <si>
    <t>RUTUPARNA BARIK</t>
  </si>
  <si>
    <t>DEVI PRASAD PARIDA</t>
  </si>
  <si>
    <t>SURAKHYA STITIPRANGYA NAYAK</t>
  </si>
  <si>
    <t>KASTURI PRIYAMBADA</t>
  </si>
  <si>
    <t>RAJVEER ADITYA</t>
  </si>
  <si>
    <t>KRISHNA PRIYADARSHINI PRADHAN</t>
  </si>
  <si>
    <t>SUPRIYA KHOSLA</t>
  </si>
  <si>
    <t>OMM PRAKASH KHUNTIA</t>
  </si>
  <si>
    <t>SHUSHREE SANGITA SWAIN</t>
  </si>
  <si>
    <t>SOUMYA RANJAN BARIK</t>
  </si>
  <si>
    <t>KIRTI RANJAN PATRA</t>
  </si>
  <si>
    <t>SACHIN ROUT</t>
  </si>
  <si>
    <t>ANANYA PRUSTY</t>
  </si>
  <si>
    <t>SUBHRAJIT BARICK</t>
  </si>
  <si>
    <t>SUBHAM KUMAR MOHAPATRA</t>
  </si>
  <si>
    <t>ADYASA PRIYADARSINI</t>
  </si>
  <si>
    <t>AYUSHMAN MOHAPATRA</t>
  </si>
  <si>
    <t>SREYAM PRADHAN</t>
  </si>
  <si>
    <t>TEJASWINI MISHRA</t>
  </si>
  <si>
    <t>RITIKA RATH</t>
  </si>
  <si>
    <t>RUDRA RAMAN PRADHAN</t>
  </si>
  <si>
    <t>SHREEMARANI DASH</t>
  </si>
  <si>
    <t>AKANKSHYA MOHAPATRA</t>
  </si>
  <si>
    <t>MANISH PRADHAN</t>
  </si>
  <si>
    <t>BISWA PRAKASH JENA</t>
  </si>
  <si>
    <t>SWIKRUTI MOHANTY</t>
  </si>
  <si>
    <t>ADITYA YADAV</t>
  </si>
  <si>
    <t>SATYAJIT ROUT</t>
  </si>
  <si>
    <t>SOMESH KUMAR PARIDA</t>
  </si>
  <si>
    <t>SUNIT PRADHAN</t>
  </si>
  <si>
    <t>AYASHKANT GURU</t>
  </si>
  <si>
    <t>ARNAB RAJ</t>
  </si>
  <si>
    <t>KRISHNA DASH</t>
  </si>
  <si>
    <t>SAISHREE PRADHAN</t>
  </si>
  <si>
    <t>ARYAN PARIDA</t>
  </si>
  <si>
    <t>DIBYAJYOTI JENA</t>
  </si>
  <si>
    <t>SUBHAM MOHANTA</t>
  </si>
  <si>
    <t>SNEHA BEHERA</t>
  </si>
  <si>
    <t>BAJRAJYOTI SWAIN</t>
  </si>
  <si>
    <t>SHUBHRANSHU PANDA</t>
  </si>
  <si>
    <t>SUDIPTA PANDA</t>
  </si>
  <si>
    <t>SUBHASREE NANDA</t>
  </si>
  <si>
    <t>SOUMIL ROUT RAY</t>
  </si>
  <si>
    <t>S HIMANSU DORA</t>
  </si>
  <si>
    <t>SASTHITA SUBHALAXMI BEHERA</t>
  </si>
  <si>
    <t>DEBASIS MARNDI</t>
  </si>
  <si>
    <t>YUVRAJ SINGH MAHANTA</t>
  </si>
  <si>
    <t>SURAJ KUMAR MEHER</t>
  </si>
  <si>
    <t>ARUN PRASAD GURU</t>
  </si>
  <si>
    <t>DIBYANSU DEEP</t>
  </si>
  <si>
    <t>ANKITA JENA</t>
  </si>
  <si>
    <t>ANWESH KUMAR BEDBAK</t>
  </si>
  <si>
    <t>GYANARANJAN MALLICK</t>
  </si>
  <si>
    <t>LAXMIPRIYA JENA</t>
  </si>
  <si>
    <t>SATYA SUBHANKAR NAYAK</t>
  </si>
  <si>
    <t>SAGNIKA SIMRON</t>
  </si>
  <si>
    <t>SAKTIPRAVA PANI</t>
  </si>
  <si>
    <t>RAHUL KHILAI</t>
  </si>
  <si>
    <t>LIPSARANI SAHOO</t>
  </si>
  <si>
    <t>PRIYANSHA DASH</t>
  </si>
  <si>
    <t>ABHAS RANJAN SAHOO</t>
  </si>
  <si>
    <t>HITANKSHI MAHAPATRA</t>
  </si>
  <si>
    <t>SOYAM PRATIK MALLICK</t>
  </si>
  <si>
    <t>YASHASWI AGRAWAL</t>
  </si>
  <si>
    <t>SOURASIM RAY</t>
  </si>
  <si>
    <t>SILVA PRADHAN</t>
  </si>
  <si>
    <t>SOUMYASHREE DHAL</t>
  </si>
  <si>
    <t>ABHIJIT MOHANTY</t>
  </si>
  <si>
    <t>PRATYUSH KUMAR SAHOO</t>
  </si>
  <si>
    <t>TUSHAR DASH</t>
  </si>
  <si>
    <t>JYOTI RANJAN PAL</t>
  </si>
  <si>
    <t>SHRADHA PRIYADARSHINI PATRA</t>
  </si>
  <si>
    <t>AYUSHMAN CHAINI</t>
  </si>
  <si>
    <t>SUBHASHREE PRIYADARSHINI</t>
  </si>
  <si>
    <t>LOKANATH BEHERA</t>
  </si>
  <si>
    <t>FARHAN AKHTAR FARIDI</t>
  </si>
  <si>
    <t>ANJALI SENAPATI</t>
  </si>
  <si>
    <t>SUBHANGI PRAHARAJ</t>
  </si>
  <si>
    <t>PRINCE ARYAN G</t>
  </si>
  <si>
    <t>PRATYUSH P PRADHAN</t>
  </si>
  <si>
    <t>NEETISH KUMAR HOTA</t>
  </si>
  <si>
    <t>RAKESH ROSHAN SAHU</t>
  </si>
  <si>
    <t>ARMAN PANDA</t>
  </si>
  <si>
    <t>ARYAN AYUSHKANT LENKA</t>
  </si>
  <si>
    <t>SOUBHAGYA RANJAN</t>
  </si>
  <si>
    <t>MANORANJAN PATRA</t>
  </si>
  <si>
    <t>MIRZA SOREN</t>
  </si>
  <si>
    <t>SUDIPTA SANKAR SAU</t>
  </si>
  <si>
    <t>ARYA ANURAG DASH</t>
  </si>
  <si>
    <t>ALOK MEHER</t>
  </si>
  <si>
    <t>SK ASHIQUR RAHEMAN</t>
  </si>
  <si>
    <t>PARAMARTHA BEHERA</t>
  </si>
  <si>
    <t>PRANGYA DEHURY</t>
  </si>
  <si>
    <t>RAJALAXMI JENA</t>
  </si>
  <si>
    <t>BAIVAB SWAIN</t>
  </si>
  <si>
    <t>RIKIN RANI KASHYAP</t>
  </si>
  <si>
    <t>SHRADHANJALI NAYAK</t>
  </si>
  <si>
    <t>RAKESH PATEL</t>
  </si>
  <si>
    <t>SHRISH SASWAT SAHOO</t>
  </si>
  <si>
    <t>PRAGATI PANDA</t>
  </si>
  <si>
    <t>AAYUSH KUMAR GUPTA</t>
  </si>
  <si>
    <t>AASTHA AGRAWAL</t>
  </si>
  <si>
    <t>ARCHIT PATTANAYAK</t>
  </si>
  <si>
    <t>SOUMYA MARANDI</t>
  </si>
  <si>
    <t>PRIYABRAT PRADHAN</t>
  </si>
  <si>
    <t>ANIRUDHA BARADA</t>
  </si>
  <si>
    <t>NIKHIL SAMAL</t>
  </si>
  <si>
    <t>ANSHUMAN BARIK</t>
  </si>
  <si>
    <t>AYUSH MISHRA</t>
  </si>
  <si>
    <t>GARGEE PRADHAN</t>
  </si>
  <si>
    <t>KUPESWAR BISWAL</t>
  </si>
  <si>
    <t>SHREEYANS SAMPURNA MOHANTY</t>
  </si>
  <si>
    <t>SAI SONUM MOHANTY</t>
  </si>
  <si>
    <t>DIVYA AGRAWAL</t>
  </si>
  <si>
    <t>BIVASH RANJAN GOPAL</t>
  </si>
  <si>
    <t>BISWAJIT ROUT</t>
  </si>
  <si>
    <t>PANKAJ KUMAR MAHTO</t>
  </si>
  <si>
    <t>DEBRAJ MONDAL</t>
  </si>
  <si>
    <t>SHIBANI DASH</t>
  </si>
  <si>
    <t>REBANANDA SAHU</t>
  </si>
  <si>
    <t>AMYA ANUPAM</t>
  </si>
  <si>
    <t>SURAJ KUMAR</t>
  </si>
  <si>
    <t>SAMIKSHYA RATH</t>
  </si>
  <si>
    <t>HITESWARI SAHU</t>
  </si>
  <si>
    <t>MRUNALAKANTA BARAL</t>
  </si>
  <si>
    <t>AISHWARYA PATTANAIK</t>
  </si>
  <si>
    <t>DEBASMITA BISWAL</t>
  </si>
  <si>
    <t>SANJANA RANI GIRI</t>
  </si>
  <si>
    <t>KINJAL DASH</t>
  </si>
  <si>
    <t>ABHIPSA SAMANTARAY</t>
  </si>
  <si>
    <t>MRINAL PANDA</t>
  </si>
  <si>
    <t>AMRIT MOHANTY</t>
  </si>
  <si>
    <t>ADYASHA SAIPRAGYAN</t>
  </si>
  <si>
    <t>PRIYA MOHANTY</t>
  </si>
  <si>
    <t>JAGRITI SAO</t>
  </si>
  <si>
    <t>VIJAYITA RATH</t>
  </si>
  <si>
    <t>ESHA BASYAM</t>
  </si>
  <si>
    <t>PABITRA BISWAS</t>
  </si>
  <si>
    <t>SWAYANSIDHA SAHU</t>
  </si>
  <si>
    <t>BISWARANJITA BARIK</t>
  </si>
  <si>
    <t>GEETANJALI ROUT</t>
  </si>
  <si>
    <t>ABILIPSA PATI</t>
  </si>
  <si>
    <t>TANISHA NANDA</t>
  </si>
  <si>
    <t>CHARVEE PATEL</t>
  </si>
  <si>
    <t>AYUSH KUMAR SAMAL</t>
  </si>
  <si>
    <t>PRITI PRAJUKTA MISHRA</t>
  </si>
  <si>
    <t>ARADHYA NAYAK</t>
  </si>
  <si>
    <t>SWABHIMAN BARIK</t>
  </si>
  <si>
    <t>DHANANJAY ROUT</t>
  </si>
  <si>
    <t>JANMEJAYA DASH</t>
  </si>
  <si>
    <t>DHARMANANDA SETHI</t>
  </si>
  <si>
    <t>SWASTIK BEHERA</t>
  </si>
  <si>
    <t>PRATIK BISWAL</t>
  </si>
  <si>
    <t>PRASANTA KUMAR BISWAS</t>
  </si>
  <si>
    <t>SWETANKHI DAS</t>
  </si>
  <si>
    <t>SOUMYADIP HAIT</t>
  </si>
  <si>
    <t>ARPITA PRIYADARSHINI</t>
  </si>
  <si>
    <t>SALONEE PRADHAN</t>
  </si>
  <si>
    <t>OMM PRAKASH KAR</t>
  </si>
  <si>
    <t>SOUMYASHREE PRIYADARSHINI</t>
  </si>
  <si>
    <t>RUDRA PRASAD SAMANTARAY</t>
  </si>
  <si>
    <t>DIPTI RANJAN BHOLA</t>
  </si>
  <si>
    <t>ASHLESHA BADHAI</t>
  </si>
  <si>
    <t>PRABHU PRASAD PANDA</t>
  </si>
  <si>
    <t>ETISHREE BEHERA</t>
  </si>
  <si>
    <t>ARYA ANSHUMAN</t>
  </si>
  <si>
    <t>SAHIL A ROUT</t>
  </si>
  <si>
    <t>AVINASH ROUT</t>
  </si>
  <si>
    <t>SOURAV KUMAR NAYAK</t>
  </si>
  <si>
    <t>ANSHUMAN BHATTA</t>
  </si>
  <si>
    <t>JASMIN JAGATI</t>
  </si>
  <si>
    <t>JYOTISHREE BHUIAN</t>
  </si>
  <si>
    <t>MIHIR RANJAN SAHOO</t>
  </si>
  <si>
    <t>AMRITA PRIYADARSHINI</t>
  </si>
  <si>
    <t>ABHILASHKUMARI MOHANTY</t>
  </si>
  <si>
    <t>RUDRAKSH PRADHAN</t>
  </si>
  <si>
    <t>SUCHARITA KAR</t>
  </si>
  <si>
    <t>SMRUTI AMRUTA PATRA</t>
  </si>
  <si>
    <t>SUMIT KUMAR PANDA</t>
  </si>
  <si>
    <t>BHAGYALAXMI PRADHAN</t>
  </si>
  <si>
    <t>SUBHANSHU RANJAN PATI</t>
  </si>
  <si>
    <t>BIBHU BHAKTI MAJHI</t>
  </si>
  <si>
    <t>RAJ KISHORE SAA</t>
  </si>
  <si>
    <t>TRUPTI RANJAN SAHU</t>
  </si>
  <si>
    <t>NEHA MEHETA</t>
  </si>
  <si>
    <t>SAMBIT MISHRA</t>
  </si>
  <si>
    <t>GOURAV KUMAR DANDPAT</t>
  </si>
  <si>
    <t>RAJASHREE BARIK</t>
  </si>
  <si>
    <t>TAPAN MAHANANDA</t>
  </si>
  <si>
    <t>SUBHAM MOHAPATRA</t>
  </si>
  <si>
    <t>ANKITA RANI SAHU</t>
  </si>
  <si>
    <t>SULAGNA SETHI</t>
  </si>
  <si>
    <t>Follow-up Required</t>
  </si>
  <si>
    <t>SASWATI NAYAK</t>
  </si>
  <si>
    <t>OMPRAKASH SARANGI</t>
  </si>
  <si>
    <t>RITESH MAHARANA</t>
  </si>
  <si>
    <t>BISHAL CHOURASIA</t>
  </si>
  <si>
    <t>BISWENDU KUMAR GIRI</t>
  </si>
  <si>
    <t>ARYAN ROUT</t>
  </si>
  <si>
    <t>PRIYANKA MOHANTY</t>
  </si>
  <si>
    <t>SOURJIT MOHAPATRA</t>
  </si>
  <si>
    <t>SONASKSI DAS</t>
  </si>
  <si>
    <t>SUBHAM DANDAPAT</t>
  </si>
  <si>
    <t>SOUMYA SHREE SAHU</t>
  </si>
  <si>
    <t>ASMI APURBA NAYAK</t>
  </si>
  <si>
    <t>USHARANI KAR</t>
  </si>
  <si>
    <t>RAJALAXMI SAMAL</t>
  </si>
  <si>
    <t>TAMANNA PATTANAYAK</t>
  </si>
  <si>
    <t>SHASHANKA SEKHAR SAHOO</t>
  </si>
  <si>
    <t>DHRUV TEJAS SINKU</t>
  </si>
  <si>
    <t>MANAS NAYAK</t>
  </si>
  <si>
    <t>SIDDHI PANIGRAHI</t>
  </si>
  <si>
    <t>SALKHAN HEMBRAM</t>
  </si>
  <si>
    <t>KRUSHNA KUMAR DASH</t>
  </si>
  <si>
    <t>S AGNEE PRASAD REDDY</t>
  </si>
  <si>
    <t>SARUN SAGAR</t>
  </si>
  <si>
    <t>SUKANYA NAIK</t>
  </si>
  <si>
    <t>SAI IPSITA PRADHAN</t>
  </si>
  <si>
    <t>ANSUMAN MAHAPATRA</t>
  </si>
  <si>
    <t>SAKCHYAM SETH</t>
  </si>
  <si>
    <t>SUBHASHREE ROUT</t>
  </si>
  <si>
    <t>SMITARANI KARMI</t>
  </si>
  <si>
    <t>PRIYANSHU DAS</t>
  </si>
  <si>
    <t>OMM PRAKASH PATTANAYAK</t>
  </si>
  <si>
    <t>SUBHASHREE BISWAL</t>
  </si>
  <si>
    <t>DIVYARANI ROUT</t>
  </si>
  <si>
    <t>SOURAKANTA NANDA</t>
  </si>
  <si>
    <t>GYANENDU KUMAR DIXIT</t>
  </si>
  <si>
    <t>PRACHI PRAJNA JENA</t>
  </si>
  <si>
    <t>PRATIK SANKAR NAYAK</t>
  </si>
  <si>
    <t>SUSHREE SANGEETA PANDA</t>
  </si>
  <si>
    <t>SOUMYA RANJAN ROUT</t>
  </si>
  <si>
    <t>AU AYUSMAN DAS</t>
  </si>
  <si>
    <t>SAMIKSHYA NAYAK</t>
  </si>
  <si>
    <t>AAYUSH MOHANTA</t>
  </si>
  <si>
    <t>HRITWIKA PRADHAN</t>
  </si>
  <si>
    <t>SARTHAK SAMARPIT</t>
  </si>
  <si>
    <t>SHREYA ANAND</t>
  </si>
  <si>
    <t>SHIBANI BEHERA</t>
  </si>
  <si>
    <t>NAYAN RANJAN DAS</t>
  </si>
  <si>
    <t>SWATEELAGNA PATTANAIK</t>
  </si>
  <si>
    <t>SUDHAMA KABIRAJ</t>
  </si>
  <si>
    <t>SIBRAM KRUSHNA MANTRY</t>
  </si>
  <si>
    <t>SANCHITA PRIYADARSHINI</t>
  </si>
  <si>
    <t>AKHIL KUMAR NAYAK</t>
  </si>
  <si>
    <t>SUSHREE SUCHISMITA NISHANK</t>
  </si>
  <si>
    <t>PUJASHREE SWAIN</t>
  </si>
  <si>
    <t>SUMIT SAHU</t>
  </si>
  <si>
    <t>SHUBHAJIT SAHOO</t>
  </si>
  <si>
    <t>AYUSHI DAS</t>
  </si>
  <si>
    <t>ABHAY GUPTA</t>
  </si>
  <si>
    <t>STHITI PRAGYAN SAMANTARAY</t>
  </si>
  <si>
    <t>SWATI SUNANDA DAS</t>
  </si>
  <si>
    <t>BISHWAJITA JENA</t>
  </si>
  <si>
    <t>SWATI SULAGNA DALPATI</t>
  </si>
  <si>
    <t>AAFRIN PRADHAN</t>
  </si>
  <si>
    <t>ANANYA</t>
  </si>
  <si>
    <t>KOMAL SETHI</t>
  </si>
  <si>
    <t>SUMEDHA KUMARI</t>
  </si>
  <si>
    <t>LUCKY SAHU</t>
  </si>
  <si>
    <t>PARITOSH SA</t>
  </si>
  <si>
    <t>PRAGYAN PRIYADARSHANI SAHOO</t>
  </si>
  <si>
    <t>DIBYA JYOTI SAHU</t>
  </si>
  <si>
    <t>MANISHA KUMARI</t>
  </si>
  <si>
    <t>ANANNYA PATRA</t>
  </si>
  <si>
    <t>SMRUTIREKHA PARIDA</t>
  </si>
  <si>
    <t>SANTOSH KUMAR MOHANTA</t>
  </si>
  <si>
    <t>SMRUTI SUNAINA</t>
  </si>
  <si>
    <t>SWAYAM PATNAIK</t>
  </si>
  <si>
    <t>HARISH CHANDRA JENA</t>
  </si>
  <si>
    <t>SNEHA SARDAR</t>
  </si>
  <si>
    <t>AMLAN AMRIT SAHU</t>
  </si>
  <si>
    <t>SOMYA PRIYADARSINI JENA</t>
  </si>
  <si>
    <t>LAREN KUMAR SAHOO</t>
  </si>
  <si>
    <t>ASHUTOSH DAS MOHAPATRA</t>
  </si>
  <si>
    <t>SABYASACHI DALEI</t>
  </si>
  <si>
    <t>PAYAL MOHANTY</t>
  </si>
  <si>
    <t>ARUP NANDA ROUT</t>
  </si>
  <si>
    <t>SIDHI SUMAN ROUT</t>
  </si>
  <si>
    <t>AYESHA PARWEEN</t>
  </si>
  <si>
    <t>PRIYANK SAHU</t>
  </si>
  <si>
    <t>ARCHISMAN BEHURA</t>
  </si>
  <si>
    <t>KRISHNANSHU ROUTRAY</t>
  </si>
  <si>
    <t>DYANSI MOHANTY</t>
  </si>
  <si>
    <t>SUSHREE SWAYAM SAMPURNA</t>
  </si>
  <si>
    <t>AKANKSHYA PRIYADARSINI MEHER</t>
  </si>
  <si>
    <t>PRAGNYA PARIMITA CHHURA</t>
  </si>
  <si>
    <t>LARENYA DAS</t>
  </si>
  <si>
    <t>SUBHAM SWARUP SWAIN</t>
  </si>
  <si>
    <t>MONALISA EKKA</t>
  </si>
  <si>
    <t>SAIKRISHNA NANDA</t>
  </si>
  <si>
    <t>PRANGYA P SATPATHY</t>
  </si>
  <si>
    <t>PRATABIDYA MISHRA</t>
  </si>
  <si>
    <t>PRIYANKA MEHER</t>
  </si>
  <si>
    <t>SURYAKANTA SWAIN</t>
  </si>
  <si>
    <t>SANDEEP MUJUMDAR</t>
  </si>
  <si>
    <t>D ANIKET RAO</t>
  </si>
  <si>
    <t>PRATIK KUMAR MALLIK</t>
  </si>
  <si>
    <t>B PALLAVI</t>
  </si>
  <si>
    <t>MANNAT THAKUR</t>
  </si>
  <si>
    <t>SURYA PRAKASH PADHIARY</t>
  </si>
  <si>
    <t>NARASINGHA DUTTA PATTNAIK</t>
  </si>
  <si>
    <t>ARUSH KUMAR DASH</t>
  </si>
  <si>
    <t>PUSPA SETHI</t>
  </si>
  <si>
    <t>RAUNAK PRADHAN</t>
  </si>
  <si>
    <t>AJIT KUMAR SAHOO</t>
  </si>
  <si>
    <t>SANDEEP PRADHAN</t>
  </si>
  <si>
    <t>SUPRIYA DHAL</t>
  </si>
  <si>
    <t>SUMAN SEKHAR JENA</t>
  </si>
  <si>
    <t>OM PRAKASH SENAPATI</t>
  </si>
  <si>
    <t>SWARNIKA DORA</t>
  </si>
  <si>
    <t>SURAJ PRADHAN</t>
  </si>
  <si>
    <t>OMISHA TRIPATHY</t>
  </si>
  <si>
    <t>SRIYA SUBUDHI</t>
  </si>
  <si>
    <t>SAMBIT MEHER</t>
  </si>
  <si>
    <t>SOUMYA RANJAN DEHERI</t>
  </si>
  <si>
    <t>TAPAS KUMAR MALLIK</t>
  </si>
  <si>
    <t>SWAYAM PRAKASH PARIDA</t>
  </si>
  <si>
    <t>AYUSHMAN DAS</t>
  </si>
  <si>
    <t>CHANDAN SAHOO</t>
  </si>
  <si>
    <t>AMRITA SATPATHY</t>
  </si>
  <si>
    <t>VIVEK KUMAR</t>
  </si>
  <si>
    <t>ANIRUDH SAHU</t>
  </si>
  <si>
    <t>DEBASISH SAHOO</t>
  </si>
  <si>
    <t>PRATEEK SAHOO</t>
  </si>
  <si>
    <t>PRATYUSH SARANGI</t>
  </si>
  <si>
    <t>RAJESH KUMAR UTTARKABAT</t>
  </si>
  <si>
    <t>REETIKA BEHERA</t>
  </si>
  <si>
    <t>DHRUTIKANTA NATH</t>
  </si>
  <si>
    <t>GYANADA BARIK</t>
  </si>
  <si>
    <t>ABISPA PRIYADARSANI</t>
  </si>
  <si>
    <t>SUBHANKITA KHATUA</t>
  </si>
  <si>
    <t>DURGASISH PANDA</t>
  </si>
  <si>
    <t>ADITYA SWAIN</t>
  </si>
  <si>
    <t>SATYAPRAKASH MAHALIK</t>
  </si>
  <si>
    <t>OM PRAKASH NAYAK</t>
  </si>
  <si>
    <t>DIPTESH SWAIN</t>
  </si>
  <si>
    <t>JAMES NATHAN BEHERA</t>
  </si>
  <si>
    <t>JAYDEEP DAS</t>
  </si>
  <si>
    <t>AKASH NAIK</t>
  </si>
  <si>
    <t>SUPRAGNYANESWAR PANDA</t>
  </si>
  <si>
    <t>KRISHNAKANT DASH</t>
  </si>
  <si>
    <t>ANISH KUMAR DAS</t>
  </si>
  <si>
    <t>KRIPA KATYAYINI</t>
  </si>
  <si>
    <t>TEJOSWINI MAHAPATRA</t>
  </si>
  <si>
    <t>KARAN KUMAR NAYAK</t>
  </si>
  <si>
    <t>RUTUPARNA RANA</t>
  </si>
  <si>
    <t>ATAYE RASUL</t>
  </si>
  <si>
    <t>ARNAB MOHANTY</t>
  </si>
  <si>
    <t>PRIYADARSHINI JENA</t>
  </si>
  <si>
    <t>PRATIBHA VARATI</t>
  </si>
  <si>
    <t>BHABNA BISOI</t>
  </si>
  <si>
    <t>SHIVANSH SHARMA</t>
  </si>
  <si>
    <t>JYOTIRMAYEE BEHERA</t>
  </si>
  <si>
    <t>SIBANI PATRA</t>
  </si>
  <si>
    <t>SAMBIT KUMAR SATHUA</t>
  </si>
  <si>
    <t>SAI PRASAD NANDA</t>
  </si>
  <si>
    <t>BINAYAK PRASAD NAYAK</t>
  </si>
  <si>
    <t>PRIYANSHU KUMAR</t>
  </si>
  <si>
    <t>SUSRI SRIMANI SAHU</t>
  </si>
  <si>
    <t>PRANGYA PARIMITA SAHOO</t>
  </si>
  <si>
    <t>NIKHIL TRIPATHY</t>
  </si>
  <si>
    <t>AMIT KUMAR PANDA</t>
  </si>
  <si>
    <t>SUBHASMIN PARIDA</t>
  </si>
  <si>
    <t>ROHAN PANDA</t>
  </si>
  <si>
    <t>SUMAN PRIYADARSHI</t>
  </si>
  <si>
    <t>SWAYANSHU SATYAPRAGNYA</t>
  </si>
  <si>
    <t>ARPIT NAIK</t>
  </si>
  <si>
    <t>PRATIK ROUT</t>
  </si>
  <si>
    <t>JHANO HANSDA</t>
  </si>
  <si>
    <t>SHARMISTHA BEHERA</t>
  </si>
  <si>
    <t>VAISHNAVI PANIGRAHI</t>
  </si>
  <si>
    <t>OMMPRAKASH ROUT</t>
  </si>
  <si>
    <t>ABHIPSA</t>
  </si>
  <si>
    <t>ASHISH KUMAR DAS</t>
  </si>
  <si>
    <t>DEBASIS MOHANTY</t>
  </si>
  <si>
    <t>SUNALI ROUT</t>
  </si>
  <si>
    <t>OMPRAKASH BEHERA</t>
  </si>
  <si>
    <t>SHREYA SWIKRUTI MOHANTY</t>
  </si>
  <si>
    <t>PRAYAS HOTA</t>
  </si>
  <si>
    <t>SHREELEKHA ROUT</t>
  </si>
  <si>
    <t>JYOTIRMAYA PARIDA</t>
  </si>
  <si>
    <t>ANSUMAN DASH</t>
  </si>
  <si>
    <t>ARPITA MAHAPATRA</t>
  </si>
  <si>
    <t>SHEIKH REHAN MOHAMMOD</t>
  </si>
  <si>
    <t>SMRUTI RANJAN JENA</t>
  </si>
  <si>
    <t>ANKITA SAMAL</t>
  </si>
  <si>
    <t>ADWAIT DASH</t>
  </si>
  <si>
    <t>SUKANYA SWAIN</t>
  </si>
  <si>
    <t>KINJAL SINGH</t>
  </si>
  <si>
    <t>DAVID PAL</t>
  </si>
  <si>
    <t>MIMOSA SETHY</t>
  </si>
  <si>
    <t>BISWARUPA GADAPAL</t>
  </si>
  <si>
    <t>SEM MARTIN NAG</t>
  </si>
  <si>
    <t>JEEVANJYOTI MALLICK</t>
  </si>
  <si>
    <t>PRIYANKA PRIYADARSHINI BHUYAN</t>
  </si>
  <si>
    <t>SAKET KUMAR BANUA</t>
  </si>
  <si>
    <t>PRIYANSU PANDA</t>
  </si>
  <si>
    <t>SIDDHARTH SOUMYA JENA</t>
  </si>
  <si>
    <t>NITISH KUMAR NAYAK</t>
  </si>
  <si>
    <t>SOUMYA RANJAN RAUTRA</t>
  </si>
  <si>
    <t>MUKESH KUMAR SAHOO</t>
  </si>
  <si>
    <t>PRAKASH DAS</t>
  </si>
  <si>
    <t>ALOK KUMAR PATRA</t>
  </si>
  <si>
    <t>JYOTIPRAKASH PRUSTY</t>
  </si>
  <si>
    <t>DINESH SAHOO</t>
  </si>
  <si>
    <t>AGNIV DAS</t>
  </si>
  <si>
    <t>SAI IPSHITA PRADHAN</t>
  </si>
  <si>
    <t>AYUSHA SWAIN</t>
  </si>
  <si>
    <t>BHOUMI KRISHNAA</t>
  </si>
  <si>
    <t>ANKIT ARMAN</t>
  </si>
  <si>
    <t>ASHIKA</t>
  </si>
  <si>
    <t>SUJIT KUMAR BHUYAN</t>
  </si>
  <si>
    <t>BHOLASANKAR PRADHAN</t>
  </si>
  <si>
    <t>GULLAFSHAA</t>
  </si>
  <si>
    <t>DEEPAK KUMAR JENA</t>
  </si>
  <si>
    <t>ANKIT MEHER</t>
  </si>
  <si>
    <t>SHREYA SINHA</t>
  </si>
  <si>
    <t>CHARCHEET KUMAR BEHERA</t>
  </si>
  <si>
    <t>JAGANATH PANIGRAHI</t>
  </si>
  <si>
    <t>SUDHANSHU PRADHAN</t>
  </si>
  <si>
    <t>PRIYANKA SAHU</t>
  </si>
  <si>
    <t>CHINMAYEE SAHOO</t>
  </si>
  <si>
    <t>RAJ BISWAS</t>
  </si>
  <si>
    <t>BISWAJIT PANIGRAHI</t>
  </si>
  <si>
    <t>JAJNASENI BEHURA</t>
  </si>
  <si>
    <t>CHANDAN KUMAR MOHANTA</t>
  </si>
  <si>
    <t>KANHA BISWAL</t>
  </si>
  <si>
    <t>BANSHIKA SAHOO</t>
  </si>
  <si>
    <t>AVISHI PANDA</t>
  </si>
  <si>
    <t>BARSHA PRIYADARSHINI NAYAK</t>
  </si>
  <si>
    <t>AMAN KUMAR MAJHI</t>
  </si>
  <si>
    <t>SWAYAM SHREE DASH</t>
  </si>
  <si>
    <t>SAMIKSHA MISHRA</t>
  </si>
  <si>
    <t>ALIV SNEHA KUJUR</t>
  </si>
  <si>
    <t>ALISHA PADHY</t>
  </si>
  <si>
    <t>M R PRITAM</t>
  </si>
  <si>
    <t>ARCHITA PADHI</t>
  </si>
  <si>
    <t>SHEYALI SAMAL</t>
  </si>
  <si>
    <t>AYUSHMAN AMEEYANSHU BEHERA</t>
  </si>
  <si>
    <t>SHAKEEB AKHTAR</t>
  </si>
  <si>
    <t>LIPSA ABHILASA</t>
  </si>
  <si>
    <t>JIGYANSA PATTNAIK</t>
  </si>
  <si>
    <t>SOUMYADEEP SAMAL</t>
  </si>
  <si>
    <t>ANKITA PRIYADARSHINI</t>
  </si>
  <si>
    <t>IPSITA SINGH</t>
  </si>
  <si>
    <t>ABADAN SAMAL</t>
  </si>
  <si>
    <t>ABHISIKTA SENAPATTY</t>
  </si>
  <si>
    <t>PRINCE KHAMARI</t>
  </si>
  <si>
    <t>BALLABI RANA</t>
  </si>
  <si>
    <t>SUBHALAXMI BEHERA</t>
  </si>
  <si>
    <t>SRIYANSHU SWETA PRAGYAN SAHU</t>
  </si>
  <si>
    <t>DEBABRAT PANDA</t>
  </si>
  <si>
    <t>KUNDAN KUMAR MAHANANDIA</t>
  </si>
  <si>
    <t>ADYASHREE DAS</t>
  </si>
  <si>
    <t>SATYA CHIRANTANA SWAIN</t>
  </si>
  <si>
    <t>SUBHASHREE MEHER</t>
  </si>
  <si>
    <t>SHRESTH AGARWAL</t>
  </si>
  <si>
    <t>SUSHRI SUKANYA RAYBABU</t>
  </si>
  <si>
    <t>NIRANJAN SIDAR</t>
  </si>
  <si>
    <t>ANANYA NARAYAN CHAND</t>
  </si>
  <si>
    <t>SUJATA ROUT</t>
  </si>
  <si>
    <t>KIRTI ANAND</t>
  </si>
  <si>
    <t>PRANGYA PARIMEETA SWAIN</t>
  </si>
  <si>
    <t>SUBHAJIT SAHOO</t>
  </si>
  <si>
    <t>ARYAN MOHANTY</t>
  </si>
  <si>
    <t>SATYABRAT ROUT</t>
  </si>
  <si>
    <t>ASEEMA BEHERA</t>
  </si>
  <si>
    <t>ANANYA PATRA</t>
  </si>
  <si>
    <t>SAI KRISHNA PRIYADARSINI ROY</t>
  </si>
  <si>
    <t>PRATYUSH PUNYASLOK</t>
  </si>
  <si>
    <t>OMSAI SANATH KUMAR ACHARYA</t>
  </si>
  <si>
    <t>LORINA NAYAK</t>
  </si>
  <si>
    <t>PRAYAGRAJ MALLICK</t>
  </si>
  <si>
    <t>SUBHABRATA ROUT</t>
  </si>
  <si>
    <t>ARMAN KUMAR SAHU</t>
  </si>
  <si>
    <t>ADYASHA MISHRA</t>
  </si>
  <si>
    <t>LAXMIPRIYA SAHOO</t>
  </si>
  <si>
    <t>TANISHA PANIGRAHI</t>
  </si>
  <si>
    <t>SHREYASHREE MOHAPATRA</t>
  </si>
  <si>
    <t>ASWINI KUMAR SARANGI</t>
  </si>
  <si>
    <t>ANUSKA JENA</t>
  </si>
  <si>
    <t>BHAGYAJIT PRADHAN</t>
  </si>
  <si>
    <t>ABHIRAM RANA</t>
  </si>
  <si>
    <t>BIBUDHANANDA PANIGRAHI</t>
  </si>
  <si>
    <t>SIVANII PATRA</t>
  </si>
  <si>
    <t>ABHIPSA MOHAPATRA</t>
  </si>
  <si>
    <t>ADITYA PRAKASH DHAL</t>
  </si>
  <si>
    <t>KAJAL MISHRA</t>
  </si>
  <si>
    <t>PRIYANKA PATI</t>
  </si>
  <si>
    <t>DIPTISH MARDARAJ BHUYAN</t>
  </si>
  <si>
    <t>M ANMOL</t>
  </si>
  <si>
    <t>DIBYANKA CHAND</t>
  </si>
  <si>
    <t>SIDDHANTA SHEKHAR KUSUM</t>
  </si>
  <si>
    <t>SIBANI DASH</t>
  </si>
  <si>
    <t>PRATIVA PRUSTY</t>
  </si>
  <si>
    <t>KHUSHI TABITA EKKA</t>
  </si>
  <si>
    <t>BISHNU PRASAD SAHU</t>
  </si>
  <si>
    <t>SIPRA RANI NAIK</t>
  </si>
  <si>
    <t>SOURAV KUMAR SAHU</t>
  </si>
  <si>
    <t>SUDEEPTA GHOSH</t>
  </si>
  <si>
    <t>BHUMI BANJARE</t>
  </si>
  <si>
    <t>AKANKSHYA RAY</t>
  </si>
  <si>
    <t>A SWASTI PRASAD ACHARY</t>
  </si>
  <si>
    <t>PRAGNYA PRIYADARSHINI GOMANGO</t>
  </si>
  <si>
    <t>DIBYESH KUMAR SAHOO</t>
  </si>
  <si>
    <t>KAMALAKANTA SETHY</t>
  </si>
  <si>
    <t>ASHUTOSH DAS</t>
  </si>
  <si>
    <t>LAXMI AGARWAL</t>
  </si>
  <si>
    <t>KUMAR AYUSH RANJAN SAHOO</t>
  </si>
  <si>
    <t>SNIGDHA SWORUPA SAMAL</t>
  </si>
  <si>
    <t>ANINDITA MAHATO</t>
  </si>
  <si>
    <t>ARPITA MOHANTY</t>
  </si>
  <si>
    <t>JIGISHA DASH</t>
  </si>
  <si>
    <t>ISHA AGRAWAL</t>
  </si>
  <si>
    <t>ASHRITA BEURA</t>
  </si>
  <si>
    <t>S GEETA NANDINI</t>
  </si>
  <si>
    <t>MEGHA ROY</t>
  </si>
  <si>
    <t>SAKTI SWARUPA SAHOO</t>
  </si>
  <si>
    <t>SAROJALAXMI BISWAL</t>
  </si>
  <si>
    <t>JIGYANSINEE BARIK</t>
  </si>
  <si>
    <t>ROHAN KUMAR BARIK</t>
  </si>
  <si>
    <t>MAHIMA GIRI</t>
  </si>
  <si>
    <t>ABINASH PATTNAYAK</t>
  </si>
  <si>
    <t>SUBHASHREE PATI</t>
  </si>
  <si>
    <t>SOMANATH BINDHANI</t>
  </si>
  <si>
    <t>JIVITESH SWAIN</t>
  </si>
  <si>
    <t>VIVEKANANDA RAUDIA</t>
  </si>
  <si>
    <t>AYUSHMAN MAHAPATRA</t>
  </si>
  <si>
    <t>ABHIPSA SAHU</t>
  </si>
  <si>
    <t>KAUSHIK KUMAR GOUDA</t>
  </si>
  <si>
    <t>vikram@gmail.com</t>
  </si>
  <si>
    <t>NELSON GIRI</t>
  </si>
  <si>
    <t>Priya Patel</t>
  </si>
  <si>
    <t>priya@yahoo.com</t>
  </si>
  <si>
    <t>Vizianagaram</t>
  </si>
  <si>
    <t>rahul@gmail.com</t>
  </si>
  <si>
    <t>PRIYANKA PRIYADARSHINI BEHERA</t>
  </si>
  <si>
    <t>ARPIT ANSHUMAN</t>
  </si>
  <si>
    <t>KALPITA PANDA</t>
  </si>
  <si>
    <t>SAHASRANSHU NANDA</t>
  </si>
  <si>
    <t>BIGHNESH KUMAR BISOI</t>
  </si>
  <si>
    <t>MADHUSMITA NAYAK</t>
  </si>
  <si>
    <t>PRACHI MOHALICK</t>
  </si>
  <si>
    <t>SAI PRATIKSHYA MOHAPATRA</t>
  </si>
  <si>
    <t>SUBHRANSHU SEKHAR SAHOO</t>
  </si>
  <si>
    <t>PAMMI CHAUDHARY</t>
  </si>
  <si>
    <t>AMIT PATRA</t>
  </si>
  <si>
    <t>PRIYA CHOUDHARY</t>
  </si>
  <si>
    <t>RUDRA PRAKASH DASH</t>
  </si>
  <si>
    <t>SATYAJEET BEHERA</t>
  </si>
  <si>
    <t>MANJIL BHOI</t>
  </si>
  <si>
    <t>UNNATI JHA</t>
  </si>
  <si>
    <t>SUBHAM HARIPAL</t>
  </si>
  <si>
    <t>SUBHALAXMI SAMAL</t>
  </si>
  <si>
    <t>RIYANKA JOSHI</t>
  </si>
  <si>
    <t>KIRANMAYEE DASH</t>
  </si>
  <si>
    <t>S K MUSRATULLAH</t>
  </si>
  <si>
    <t>ARPAN MUND</t>
  </si>
  <si>
    <t>SUBHASISH SINGH BAG</t>
  </si>
  <si>
    <t>BISWA BIJAYINEE SWAIN</t>
  </si>
  <si>
    <t>S ARIYAN ANSHUMAN</t>
  </si>
  <si>
    <t>ANUP KUMAR SAHOO</t>
  </si>
  <si>
    <t>SWASTIK PRADHAN</t>
  </si>
  <si>
    <t>PAVITRA PATNAIK</t>
  </si>
  <si>
    <t>MONALISHA PANDA</t>
  </si>
  <si>
    <t>AKASH MEHER</t>
  </si>
  <si>
    <t>KEZIAH SHARON</t>
  </si>
  <si>
    <t>SIDDHI SANKALP PATI</t>
  </si>
  <si>
    <t>JIJNASHA BEHERA</t>
  </si>
  <si>
    <t>SNEHANSHU MISHRA</t>
  </si>
  <si>
    <t>SHAKYA SUNDAR PATTNAYAK</t>
  </si>
  <si>
    <t>SWASTIK PARIDA</t>
  </si>
  <si>
    <t>SIBANSU BHAGAT</t>
  </si>
  <si>
    <t>ANIKET ROUT</t>
  </si>
  <si>
    <t>SHREYA DUTTA</t>
  </si>
  <si>
    <t>RASHMI REKHA SAHOO</t>
  </si>
  <si>
    <t>ANEESH MUDULI</t>
  </si>
  <si>
    <t>BISWAJIT PARIDA</t>
  </si>
  <si>
    <t>ANIRUDDHA PANDA</t>
  </si>
  <si>
    <t>LALIT KUMAR MAJHI</t>
  </si>
  <si>
    <t>ASMITA MOHANTY</t>
  </si>
  <si>
    <t>Hara Ashrit Pradhan</t>
  </si>
  <si>
    <t>PRINCE SAHU</t>
  </si>
  <si>
    <t>ANANYA NAYAK</t>
  </si>
  <si>
    <t>ABHILOVE MOHANTY</t>
  </si>
  <si>
    <t>SIDDARTH DEHURI</t>
  </si>
  <si>
    <t>RIDHI SHARMA</t>
  </si>
  <si>
    <t>ANANYA PATTNAIK</t>
  </si>
  <si>
    <t>OMM PARIDA</t>
  </si>
  <si>
    <t>PRACHEE PADMA SAMANTARAY</t>
  </si>
  <si>
    <t>HITESH KUMAR SAHU</t>
  </si>
  <si>
    <t>ADITYA CHOWDHRY</t>
  </si>
  <si>
    <t>CHINMAYA SWAIN</t>
  </si>
  <si>
    <t>BEAU PALAI</t>
  </si>
  <si>
    <t>ANSHITA PATTNAYAK</t>
  </si>
  <si>
    <t>H PRIYANSH BESHRA</t>
  </si>
  <si>
    <t>NIHARIKA RANA</t>
  </si>
  <si>
    <t>JIGYANSA SAHOO</t>
  </si>
  <si>
    <t>SRUTI PRIYADARSHINI PANDA</t>
  </si>
  <si>
    <t>ANWITA SAMANTARA</t>
  </si>
  <si>
    <t>SATYAJEET DALEI</t>
  </si>
  <si>
    <t>TUSHAR PADHAN</t>
  </si>
  <si>
    <t>SUDHANSU DASH</t>
  </si>
  <si>
    <t>RAJDEEP HOTA</t>
  </si>
  <si>
    <t>RAMESWARI SAHU</t>
  </si>
  <si>
    <t>AKLESHA DASH</t>
  </si>
  <si>
    <t>MUKHLI SAMAL</t>
  </si>
  <si>
    <t>PRATYAKSHYA</t>
  </si>
  <si>
    <t>AATRAYEE CHAKRABORTY</t>
  </si>
  <si>
    <t>AYUSH KUMAR TIWARI</t>
  </si>
  <si>
    <t>DIPSA DAS</t>
  </si>
  <si>
    <t>BHAGIRATHI BAIDYA</t>
  </si>
  <si>
    <t>MAHASHWETA GHOSH</t>
  </si>
  <si>
    <t>SUCHISMITA GANTAIT</t>
  </si>
  <si>
    <t>SWEETY HALDAR</t>
  </si>
  <si>
    <t>SOUMYADEEP SADHUKHAN</t>
  </si>
  <si>
    <t>DEEPANITA SARKAR</t>
  </si>
  <si>
    <t>AMISHA AFRIN</t>
  </si>
  <si>
    <t>JAYASHREE SINGHAMURA</t>
  </si>
  <si>
    <t>TASNIM SULTANA</t>
  </si>
  <si>
    <t>PAYEL GHOSH</t>
  </si>
  <si>
    <t>TRISHA MONDAL</t>
  </si>
  <si>
    <t>ARCHAN MONDAL</t>
  </si>
  <si>
    <t>ARJUN YADAV</t>
  </si>
  <si>
    <t>ANKIT KUMAR SARKAR</t>
  </si>
  <si>
    <t>HARSIMRAN KAUR ARJANI</t>
  </si>
  <si>
    <t>MD HUZAIFA AHMED</t>
  </si>
  <si>
    <t>PRATIBHA BISWAS</t>
  </si>
  <si>
    <t>ANIKET DAS</t>
  </si>
  <si>
    <t>MD EMTIAZ ALAM</t>
  </si>
  <si>
    <t>DISHA HARI</t>
  </si>
  <si>
    <t>SK AAMAN ISLAM</t>
  </si>
  <si>
    <t>ALEKHYA PAL</t>
  </si>
  <si>
    <t>MONAMI DE</t>
  </si>
  <si>
    <t>SUBHRADEEP ROY</t>
  </si>
  <si>
    <t>SOHALI DAS</t>
  </si>
  <si>
    <t>SNEHA PODDER</t>
  </si>
  <si>
    <t>MD REYAJ AHAMMED</t>
  </si>
  <si>
    <t>ADITI NASKAR</t>
  </si>
  <si>
    <t>AKASH MONDAL</t>
  </si>
  <si>
    <t>TAMANNA NASRIN</t>
  </si>
  <si>
    <t>DIPANJAN MANDAL</t>
  </si>
  <si>
    <t>SHREYA NANDI</t>
  </si>
  <si>
    <t>SULAKSHANA PANDIT</t>
  </si>
  <si>
    <t>MASFAH NAIN</t>
  </si>
  <si>
    <t>SAYAN NANDI</t>
  </si>
  <si>
    <t>SOHAM DUTTA</t>
  </si>
  <si>
    <t>RUPAM SETH</t>
  </si>
  <si>
    <t>ANKAN KARMAKAR</t>
  </si>
  <si>
    <t>AYESHA KHATOON</t>
  </si>
  <si>
    <t>ATANU MALI</t>
  </si>
  <si>
    <t>MD TALHA RAYYAN</t>
  </si>
  <si>
    <t>RAJASUYA SAHU</t>
  </si>
  <si>
    <t>SULOCHANA KHATI</t>
  </si>
  <si>
    <t>MADHURIMA CHAKRABORTY</t>
  </si>
  <si>
    <t>SAMGYONG HANGMA SUBBA</t>
  </si>
  <si>
    <t>TSHERING LAMA</t>
  </si>
  <si>
    <t>LAKPA DOMA TAMANG</t>
  </si>
  <si>
    <t>RETIKA PRADHAN</t>
  </si>
  <si>
    <t>ASIP ANSARI</t>
  </si>
  <si>
    <t>SAGNIK SARKAR</t>
  </si>
  <si>
    <t>GUDIYA SINGH</t>
  </si>
  <si>
    <t>PINKI KUMARI SAH</t>
  </si>
  <si>
    <t>PALMU LAMA</t>
  </si>
  <si>
    <t>MUZAMMIL RAZA</t>
  </si>
  <si>
    <t>PRIYA KUMARI</t>
  </si>
  <si>
    <t>HEENA ZAFRANI</t>
  </si>
  <si>
    <t>MAINAK MODAK</t>
  </si>
  <si>
    <t>SNEHA TAMANG</t>
  </si>
  <si>
    <t>TATSWARBA MANDAL</t>
  </si>
  <si>
    <t>ANSHUMAN KUMAR SAIBA</t>
  </si>
  <si>
    <t>NOORSABA PARVEEN</t>
  </si>
  <si>
    <t>PUSPALATA BISWAS</t>
  </si>
  <si>
    <t>DHALAMU SHERPA</t>
  </si>
  <si>
    <t>RASHIDA SULTANA</t>
  </si>
  <si>
    <t>PADMAKSHA THULUNG</t>
  </si>
  <si>
    <t>SABBIR AHAMMED MANDAL</t>
  </si>
  <si>
    <t>ANGKITA DAHAL</t>
  </si>
  <si>
    <t>BISHOP DEBNATH</t>
  </si>
  <si>
    <t>AKANSHA ARIM GURUNG</t>
  </si>
  <si>
    <t>DZONGMIT LEPCHA</t>
  </si>
  <si>
    <t>DIVYATA THAPA</t>
  </si>
  <si>
    <t>ALOKA RAI</t>
  </si>
  <si>
    <t>ALAP MOKTAN</t>
  </si>
  <si>
    <t>PUTUL KUMARI</t>
  </si>
  <si>
    <t>REVANTH CHETTRI</t>
  </si>
  <si>
    <t>RIFAT HASAN SARAKR</t>
  </si>
  <si>
    <t>SAISHA DHAMALA</t>
  </si>
  <si>
    <t>RIYA GUPTA</t>
  </si>
  <si>
    <t>RABBUCHH ABEDIN</t>
  </si>
  <si>
    <t>DIWAKAR GUPTA</t>
  </si>
  <si>
    <t>SHAHZAD RAZA ALAM</t>
  </si>
  <si>
    <t>CHIRANJEEV SWAIN</t>
  </si>
  <si>
    <t>BARSHA DAS</t>
  </si>
  <si>
    <t>ABHIRAL SHARMA</t>
  </si>
  <si>
    <t>MD SAHIN SK</t>
  </si>
  <si>
    <t>SHREYA PODDER</t>
  </si>
  <si>
    <t>MD MAHBUB ALAM</t>
  </si>
  <si>
    <t>YELIMA BONNIE RAI</t>
  </si>
  <si>
    <t>MD MAISHAR ALAM</t>
  </si>
  <si>
    <t>SUSMITA SINGHA</t>
  </si>
  <si>
    <t>AYRA ASHNA HUSSAIN</t>
  </si>
  <si>
    <t>PRAYOKTA BARMAN</t>
  </si>
  <si>
    <t>SNEHAMOY PRAMANIK</t>
  </si>
  <si>
    <t>AKANKSHA KUMARI</t>
  </si>
  <si>
    <t>SWAPNIL BISWAS</t>
  </si>
  <si>
    <t>JESSICA PUN</t>
  </si>
  <si>
    <t>ARITRA ROY</t>
  </si>
  <si>
    <t>MOULI ROY</t>
  </si>
  <si>
    <t>ABHISNEHA CHETTRI</t>
  </si>
  <si>
    <t>DINSA BURA</t>
  </si>
  <si>
    <t>ADITYA MANGRATI</t>
  </si>
  <si>
    <t>SAKSHAM ADHIKARI</t>
  </si>
  <si>
    <t>PRACHI AGARWAL</t>
  </si>
  <si>
    <t>MAHAJABIN FIRDOUS</t>
  </si>
  <si>
    <t>POULAMI GORAI</t>
  </si>
  <si>
    <t>ABINASH CHHETRI</t>
  </si>
  <si>
    <t>PRITY SHARMA</t>
  </si>
  <si>
    <t>PRAKRITI SHARMA</t>
  </si>
  <si>
    <t>JOTISMAN PATHAK</t>
  </si>
  <si>
    <t>RAJDEEP MANDAL</t>
  </si>
  <si>
    <t>NEERJARA NUZHAT</t>
  </si>
  <si>
    <t>HIMIKA PANDIT</t>
  </si>
  <si>
    <t>ABHINAV SAI MISHRA</t>
  </si>
  <si>
    <t>DRUVENKA PARIYAR</t>
  </si>
  <si>
    <t>SANIYA CHOUDHARY</t>
  </si>
  <si>
    <t>VEDIKA SHARMA</t>
  </si>
  <si>
    <t>NIHA BANU</t>
  </si>
  <si>
    <t>KALZANG CHEZOM BHUTIA</t>
  </si>
  <si>
    <t>SAMRIDDHI CHHETRI</t>
  </si>
  <si>
    <t>PANSHONGRIP LEPCHA</t>
  </si>
  <si>
    <t>SHREYA DAS</t>
  </si>
  <si>
    <t>ISHA JHA</t>
  </si>
  <si>
    <t>SABHYATA TAMANG</t>
  </si>
  <si>
    <t>RIDHIMA ASHARA</t>
  </si>
  <si>
    <t>SWASTIK RANJAN SAHA</t>
  </si>
  <si>
    <t>BISHAKHA DURAL</t>
  </si>
  <si>
    <t>TENZIN KHANDU</t>
  </si>
  <si>
    <t>AYESHA ALAM</t>
  </si>
  <si>
    <t>SANKET KUMAR</t>
  </si>
  <si>
    <t>ANIRUDHYA MISHRA</t>
  </si>
  <si>
    <t>AYUSH KUMAR</t>
  </si>
  <si>
    <t>SUBHASMITA SAHA</t>
  </si>
  <si>
    <t>MERLIN LEPCHA</t>
  </si>
  <si>
    <t>AARSHI GHOSH</t>
  </si>
  <si>
    <t>DURGESH KUMAR</t>
  </si>
  <si>
    <t>BHASKAR JYOTI MITRA</t>
  </si>
  <si>
    <t>SWARNALI RAY</t>
  </si>
  <si>
    <t>ANCHAL KUMARI</t>
  </si>
  <si>
    <t>DEWARJYA DEY</t>
  </si>
  <si>
    <t>JAGRITI HUI</t>
  </si>
  <si>
    <t>AASTHA LAMICHANEY</t>
  </si>
  <si>
    <t>SAHIN BEGUM</t>
  </si>
  <si>
    <t>LUBU TSHIRING SHERPA</t>
  </si>
  <si>
    <t>AHILYA CHETTRI</t>
  </si>
  <si>
    <t>DEBANJAN DAS</t>
  </si>
  <si>
    <t>PREMJEET ROY</t>
  </si>
  <si>
    <t>HUSSAIN ANJUM</t>
  </si>
  <si>
    <t>YUKTA CHETTRI</t>
  </si>
  <si>
    <t>GUL SOUNOWER</t>
  </si>
  <si>
    <t>SIDHANTH P RASAILY</t>
  </si>
  <si>
    <t>ANUSA PAUL CHOWDHURY</t>
  </si>
  <si>
    <t>PRANJAL GAUTAM</t>
  </si>
  <si>
    <t>DIVYA JYOTI PRADHAN</t>
  </si>
  <si>
    <t>PARI AGARWAL</t>
  </si>
  <si>
    <t>SAMPRITI DAS</t>
  </si>
  <si>
    <t>SANGRAM MAITI</t>
  </si>
  <si>
    <t>SANDHYA KUMARI</t>
  </si>
  <si>
    <t>NITESH SINGHA</t>
  </si>
  <si>
    <t>KUNGA WANGCHUK BHUTIA</t>
  </si>
  <si>
    <t>PAOMALSOM GANGTE</t>
  </si>
  <si>
    <t>FAHAR BIN KHURSHID</t>
  </si>
  <si>
    <t>OSHNA KARNA</t>
  </si>
  <si>
    <t>SUPARNA GOSWAMI</t>
  </si>
  <si>
    <t>SAIKAT SHIL</t>
  </si>
  <si>
    <t>VAISHNAVI SINGH</t>
  </si>
  <si>
    <t>SWAPNAJOY SAHA</t>
  </si>
  <si>
    <t>KESHAV KR VERMA</t>
  </si>
  <si>
    <t>DISHA MOHANTA</t>
  </si>
  <si>
    <t>SARTHAK CHAUDHARY</t>
  </si>
  <si>
    <t>SIMRAN PRADHAN</t>
  </si>
  <si>
    <t>KASTURI SINHA</t>
  </si>
  <si>
    <t>TANNISHTHA PAUL</t>
  </si>
  <si>
    <t>SANGAY DOLMA SHERPA</t>
  </si>
  <si>
    <t>RIFA TASNEEM RAHAMAN</t>
  </si>
  <si>
    <t>SAYANTIKA BARMAN</t>
  </si>
  <si>
    <t>ASMAIN SARKAR</t>
  </si>
  <si>
    <t>SAYANTANI SAHA</t>
  </si>
  <si>
    <t>HRISHITA ROY</t>
  </si>
  <si>
    <t>ALMAS NADIRA</t>
  </si>
  <si>
    <t>SHREEJATA KUNDU</t>
  </si>
  <si>
    <t>ABHISHEK KUMAR YADAV</t>
  </si>
  <si>
    <t>SONAM CHODEN TAAMANG</t>
  </si>
  <si>
    <t>GOURAB BIJALI</t>
  </si>
  <si>
    <t>YANGCHEN LHAMU TAMANG</t>
  </si>
  <si>
    <t>AANCHAL KUMARI</t>
  </si>
  <si>
    <t>NANDINI SHAW</t>
  </si>
  <si>
    <t>ARIZ AFTAB</t>
  </si>
  <si>
    <t>ANKIT ANAND</t>
  </si>
  <si>
    <t>ANKITA GHOSH</t>
  </si>
  <si>
    <t>GULAM MAHIUDDIN SEIKH</t>
  </si>
  <si>
    <t>BEDIKA SHARMA</t>
  </si>
  <si>
    <t>JAYEETA SARKAR</t>
  </si>
  <si>
    <t>SUMIT KUMAR YADAV</t>
  </si>
  <si>
    <t>SHAUNAK BAG</t>
  </si>
  <si>
    <t>ANUSHKA CHANDA</t>
  </si>
  <si>
    <t>TENZIN NAMDOL BHUTIA</t>
  </si>
  <si>
    <t>SWASTIKA ROY</t>
  </si>
  <si>
    <t>RAKIB HOSSAIN</t>
  </si>
  <si>
    <t>AYUSH KUMAR BHAGAT</t>
  </si>
  <si>
    <t>RIYA PODDAR</t>
  </si>
  <si>
    <t>TASHILA SHERPA</t>
  </si>
  <si>
    <t>RITIK KUMAR SHARMA</t>
  </si>
  <si>
    <t>BARSANA KHATIWADA</t>
  </si>
  <si>
    <t>NIDARSHANA CHAKRBORTY</t>
  </si>
  <si>
    <t>ROSHNI DAS</t>
  </si>
  <si>
    <t>DABIR HOSSAIN</t>
  </si>
  <si>
    <t>PRITY GAJMER</t>
  </si>
  <si>
    <t>SUDEEKSHA DARNEL</t>
  </si>
  <si>
    <t>SHUBHANGKAR PAUL</t>
  </si>
  <si>
    <t>NIRMAN CHETTRI</t>
  </si>
  <si>
    <t>MAITRI ROY</t>
  </si>
  <si>
    <t>ARYAN JAISWAL</t>
  </si>
  <si>
    <t>DEEP CHHETRI</t>
  </si>
  <si>
    <t>JYOTSNA JHA</t>
  </si>
  <si>
    <t>SONAM CHODEN TAMANG</t>
  </si>
  <si>
    <t>ASWIN CHETTRI</t>
  </si>
  <si>
    <t>ANUSHKA PATHAK</t>
  </si>
  <si>
    <t>MINHAJ FAKIR</t>
  </si>
  <si>
    <t>NIYATI RANA</t>
  </si>
  <si>
    <t>SAHELEE DUTTA</t>
  </si>
  <si>
    <t>SAMPURNA MAJUMDER</t>
  </si>
  <si>
    <t>BUSHRA SOHAIL</t>
  </si>
  <si>
    <t>ABHIJIT SARKAR</t>
  </si>
  <si>
    <t>KHUSHI PRASAD</t>
  </si>
  <si>
    <t>DEBASISH BISWAS</t>
  </si>
  <si>
    <t>KEYA GHOSH</t>
  </si>
  <si>
    <t>MOHIT TEWARI</t>
  </si>
  <si>
    <t>HANSIKA SINGH</t>
  </si>
  <si>
    <t>SHRUTI GHOSH</t>
  </si>
  <si>
    <t>ADYA RAJ</t>
  </si>
  <si>
    <t>JYOTIRADITYA BISWAS</t>
  </si>
  <si>
    <t>SHREYAN SARKAR</t>
  </si>
  <si>
    <t>MANDIRA DAS</t>
  </si>
  <si>
    <t>GITIKA KUMARI BANSAL</t>
  </si>
  <si>
    <t>AISHA SHARMA</t>
  </si>
  <si>
    <t>ANYATAMA BISWAS</t>
  </si>
  <si>
    <t>SNEHA LATA MANDAL</t>
  </si>
  <si>
    <t>DEBAPRIYA CHAKI</t>
  </si>
  <si>
    <t>SAMBHAVI SHARMA</t>
  </si>
  <si>
    <t>SHREYA TAMANG</t>
  </si>
  <si>
    <t>RISHIKANT</t>
  </si>
  <si>
    <t>SANJANA DOLAI</t>
  </si>
  <si>
    <t>SAHID AFRIDI</t>
  </si>
  <si>
    <t>NIDHI DUBEY</t>
  </si>
  <si>
    <t>SAUMYA SINGH</t>
  </si>
  <si>
    <t>RITIKA MAJHI</t>
  </si>
  <si>
    <t>TANNISTHA SOM</t>
  </si>
  <si>
    <t>SREYA PATRA</t>
  </si>
  <si>
    <t>SUPRIYO SINGHA</t>
  </si>
  <si>
    <t>VRINDA MOHATA</t>
  </si>
  <si>
    <t>AMBIKA LAL</t>
  </si>
  <si>
    <t>ROUNAK SINGH</t>
  </si>
  <si>
    <t>DIPANWITA RAY</t>
  </si>
  <si>
    <t>SURAVI CHOUDHURY</t>
  </si>
  <si>
    <t>MANOSHREE GUPTA</t>
  </si>
  <si>
    <t>SUBHAYU ROY DAS</t>
  </si>
  <si>
    <t>MADHURIMA MANDAL</t>
  </si>
  <si>
    <t>SAIKAT SARKAR</t>
  </si>
  <si>
    <t>RITTIKA BISWAS</t>
  </si>
  <si>
    <t>ARJUN BHUSHAN</t>
  </si>
  <si>
    <t>JITADITYA BISWAS</t>
  </si>
  <si>
    <t>DEBASMITA SAHA</t>
  </si>
  <si>
    <t>ANAYA GHOSH</t>
  </si>
  <si>
    <t>ASIF AHMED</t>
  </si>
  <si>
    <t>REYEN</t>
  </si>
  <si>
    <t>ARIJIT MONDAL</t>
  </si>
  <si>
    <t>DEBABRATA CHAKRABORTY</t>
  </si>
  <si>
    <t>SANTANU SARDAR</t>
  </si>
  <si>
    <t>DIPAYAN MEDDA</t>
  </si>
  <si>
    <t>MD SAHIL HOSSAIN MOLLA</t>
  </si>
  <si>
    <t>REETABRITA KARAN</t>
  </si>
  <si>
    <t>DEBARATI CHANDRA</t>
  </si>
  <si>
    <t>DEBADRITO BANERJEE</t>
  </si>
  <si>
    <t>ANAL MIDYA</t>
  </si>
  <si>
    <t>ROHAN KUMAR</t>
  </si>
  <si>
    <t>POULOMI RAY</t>
  </si>
  <si>
    <t>SRIJITA BESRA</t>
  </si>
  <si>
    <t>MD ENAMUL ANSARI</t>
  </si>
  <si>
    <t>SHUCHISMITA MONDAL</t>
  </si>
  <si>
    <t>SAIKAT GHOSH</t>
  </si>
  <si>
    <t>SAYANTAN PRADHAN</t>
  </si>
  <si>
    <t>BARSHAJIT GHOSH</t>
  </si>
  <si>
    <t>SAMBRITA MANDAL</t>
  </si>
  <si>
    <t>ARCHEE PANJA</t>
  </si>
  <si>
    <t>SHRABANI DAS</t>
  </si>
  <si>
    <t>KHUSHI DUBEY</t>
  </si>
  <si>
    <t>MEGHA JHA</t>
  </si>
  <si>
    <t>SONALI SAHA</t>
  </si>
  <si>
    <t>SWAGNIKA DAS</t>
  </si>
  <si>
    <t>JINU</t>
  </si>
  <si>
    <t>jinnatunnesh9382@gmail.com</t>
  </si>
  <si>
    <t>Vipul Aajra</t>
  </si>
  <si>
    <t>vipulajara1@gmail.com</t>
  </si>
  <si>
    <t>Vipul Bhai</t>
  </si>
  <si>
    <t>Amedabad</t>
  </si>
  <si>
    <t>Dr. Rajashree Jena</t>
  </si>
  <si>
    <r>
      <rPr>
        <rFont val="Calibri, sans-serif"/>
        <color rgb="FF1155CC"/>
        <sz val="11.0"/>
        <u/>
      </rPr>
      <t>rajashree.jena@cutm.ac.in</t>
    </r>
  </si>
  <si>
    <t>Malli Reddy</t>
  </si>
  <si>
    <t>srichandrima95@gmail.com</t>
  </si>
  <si>
    <t>Kadapa</t>
  </si>
  <si>
    <r>
      <rPr>
        <rFont val="Calibri, sans-serif"/>
        <color rgb="FF1155CC"/>
        <sz val="11.0"/>
        <u/>
      </rPr>
      <t>rajashree.jena@cutm.ac.in</t>
    </r>
  </si>
  <si>
    <t>Not lifting phone</t>
  </si>
  <si>
    <t>Pilla Bhagavan Patrudu</t>
  </si>
  <si>
    <t>pillabhagavanpatrudu@gmail.com</t>
  </si>
  <si>
    <r>
      <rPr>
        <rFont val="Calibri, sans-serif"/>
        <color rgb="FF1155CC"/>
        <sz val="11.0"/>
        <u/>
      </rPr>
      <t>rajashree.jena@cutm.ac.in</t>
    </r>
  </si>
  <si>
    <t>Followup Required</t>
  </si>
  <si>
    <t>Later will inform</t>
  </si>
  <si>
    <t>BARUN YADAV</t>
  </si>
  <si>
    <t>barunkumarrampur1@gmail.com</t>
  </si>
  <si>
    <t>Vaishali</t>
  </si>
  <si>
    <r>
      <rPr>
        <rFont val="Calibri, sans-serif"/>
        <color rgb="FF1155CC"/>
        <sz val="11.0"/>
        <u/>
      </rPr>
      <t>rajashree.jena@cutm.ac.in</t>
    </r>
  </si>
  <si>
    <t>Ashish rao</t>
  </si>
  <si>
    <t>yashishyadav93@gmail.com</t>
  </si>
  <si>
    <t>Kaushambi</t>
  </si>
  <si>
    <r>
      <rPr>
        <rFont val="Calibri, sans-serif"/>
        <color rgb="FF1155CC"/>
        <sz val="11.0"/>
        <u/>
      </rPr>
      <t>rajashree.jena@cutm.ac.in</t>
    </r>
  </si>
  <si>
    <t>Interested (Completed M. Sc and wants to do 3 years)</t>
  </si>
  <si>
    <t>sachin___x45</t>
  </si>
  <si>
    <t>yadavsachin01107@gmail.com</t>
  </si>
  <si>
    <t>Mp</t>
  </si>
  <si>
    <t>Shajapur</t>
  </si>
  <si>
    <r>
      <rPr>
        <rFont val="Calibri, sans-serif"/>
        <color rgb="FF1155CC"/>
        <sz val="11.0"/>
        <u/>
      </rPr>
      <t>rajashree.jena@cutm.ac.in</t>
    </r>
  </si>
  <si>
    <t>Abhinav Pandey</t>
  </si>
  <si>
    <t>gauamritam.981@gmail.com</t>
  </si>
  <si>
    <t>Bilaspur</t>
  </si>
  <si>
    <r>
      <rPr>
        <rFont val="Calibri, sans-serif"/>
        <color rgb="FF1155CC"/>
        <sz val="11.0"/>
        <u/>
      </rPr>
      <t>rajashree.jena@cutm.ac.in</t>
    </r>
  </si>
  <si>
    <t>Interested (Completed +2 in Agriculture)</t>
  </si>
  <si>
    <t>Venu Boddupally</t>
  </si>
  <si>
    <t>venuboddupally2002@gmail.com</t>
  </si>
  <si>
    <t>Nalgonda</t>
  </si>
  <si>
    <r>
      <rPr>
        <rFont val="Calibri, sans-serif"/>
        <color rgb="FF1155CC"/>
        <sz val="11.0"/>
        <u/>
      </rPr>
      <t>rajashree.jena@cutm.ac.in</t>
    </r>
  </si>
  <si>
    <t>Rahul Tiwari</t>
  </si>
  <si>
    <t>tiwarirahulkumar97@gmail.com</t>
  </si>
  <si>
    <r>
      <rPr>
        <rFont val="Calibri, sans-serif"/>
        <color rgb="FF1155CC"/>
        <sz val="11.0"/>
        <u/>
      </rPr>
      <t>rajashree.jena@cutm.ac.in</t>
    </r>
  </si>
  <si>
    <t>Yogesh Patel</t>
  </si>
  <si>
    <t>yogipatel8404@gmail.com</t>
  </si>
  <si>
    <t>Chhtishgarh</t>
  </si>
  <si>
    <t>Sakti</t>
  </si>
  <si>
    <r>
      <rPr>
        <rFont val="Calibri, sans-serif"/>
        <color rgb="FF1155CC"/>
        <sz val="11.0"/>
        <u/>
      </rPr>
      <t>rajashree.jena@cutm.ac.in</t>
    </r>
  </si>
  <si>
    <t>Chethan Chethan</t>
  </si>
  <si>
    <t>chethanchetha486@gmail.com</t>
  </si>
  <si>
    <t>Chikkamagaluru</t>
  </si>
  <si>
    <r>
      <rPr>
        <rFont val="Calibri, sans-serif"/>
        <color rgb="FF1155CC"/>
        <sz val="11.0"/>
        <u/>
      </rPr>
      <t>rajashree.jena@cutm.ac.in</t>
    </r>
  </si>
  <si>
    <t>Sambhaji Barkade</t>
  </si>
  <si>
    <t>sambhajibarkade2000@gmail.com</t>
  </si>
  <si>
    <r>
      <rPr>
        <rFont val="Calibri, sans-serif"/>
        <color rgb="FF1155CC"/>
        <sz val="11.0"/>
        <u/>
      </rPr>
      <t>rajashree.jena@cutm.ac.in</t>
    </r>
  </si>
  <si>
    <t>Interested (Wants to do Online as completed B. Voc)</t>
  </si>
  <si>
    <t>sonu kumar</t>
  </si>
  <si>
    <t>sonuyd2004@gmail.com</t>
  </si>
  <si>
    <r>
      <rPr>
        <rFont val="Calibri, sans-serif"/>
        <color rgb="FF1155CC"/>
        <sz val="11.0"/>
        <u/>
      </rPr>
      <t>rajashree.jena@cutm.ac.in</t>
    </r>
  </si>
  <si>
    <t>Indrajit Ghosh</t>
  </si>
  <si>
    <t>gindrajit2000@gmail.com</t>
  </si>
  <si>
    <t>Murshidabad</t>
  </si>
  <si>
    <r>
      <rPr>
        <rFont val="Calibri, sans-serif"/>
        <color rgb="FF1155CC"/>
        <sz val="11.0"/>
        <u/>
      </rPr>
      <t>rajashree.jena@cutm.ac.in</t>
    </r>
  </si>
  <si>
    <t>Hemraj</t>
  </si>
  <si>
    <t>hemrajdangi232@gmail.com</t>
  </si>
  <si>
    <t>Madhya pradesh</t>
  </si>
  <si>
    <t>Rajgarh</t>
  </si>
  <si>
    <r>
      <rPr>
        <rFont val="Calibri, sans-serif"/>
        <color rgb="FF1155CC"/>
        <sz val="11.0"/>
        <u/>
      </rPr>
      <t>rajashree.jena@cutm.ac.in</t>
    </r>
  </si>
  <si>
    <t>Shailendra Maran</t>
  </si>
  <si>
    <t>shailendramaran498@gmail.com</t>
  </si>
  <si>
    <t>Bhopal</t>
  </si>
  <si>
    <r>
      <rPr>
        <rFont val="Calibri, sans-serif"/>
        <color rgb="FF1155CC"/>
        <sz val="11.0"/>
        <u/>
      </rPr>
      <t>rajashree.jena@cutm.ac.in</t>
    </r>
  </si>
  <si>
    <t>Interested but will inform later</t>
  </si>
  <si>
    <t>Shadab Pathan</t>
  </si>
  <si>
    <t>pathanshadab217@gmail.com</t>
  </si>
  <si>
    <t>Ahmednagar</t>
  </si>
  <si>
    <r>
      <rPr>
        <rFont val="Calibri, sans-serif"/>
        <color rgb="FF1155CC"/>
        <sz val="11.0"/>
        <u/>
      </rPr>
      <t>rajashree.jena@cutm.ac.in</t>
    </r>
  </si>
  <si>
    <t>Shivam Birla</t>
  </si>
  <si>
    <t>shivambirlal62667@gmail.com</t>
  </si>
  <si>
    <t>Madhya Pradesh indor</t>
  </si>
  <si>
    <t>Khargone</t>
  </si>
  <si>
    <r>
      <rPr>
        <rFont val="Calibri, sans-serif"/>
        <color rgb="FF1155CC"/>
        <sz val="11.0"/>
        <u/>
      </rPr>
      <t>rajashree.jena@cutm.ac.in</t>
    </r>
  </si>
  <si>
    <t>Naga Rao</t>
  </si>
  <si>
    <t>naga.guggilla@gmail.com</t>
  </si>
  <si>
    <r>
      <rPr>
        <rFont val="Calibri, sans-serif"/>
        <color rgb="FF1155CC"/>
        <sz val="11.0"/>
        <u/>
      </rPr>
      <t>rajashree.jena@cutm.ac.in</t>
    </r>
  </si>
  <si>
    <t>Alfred Stephen</t>
  </si>
  <si>
    <t>alfredstephennayak@gmail.com</t>
  </si>
  <si>
    <t>Kandhamal</t>
  </si>
  <si>
    <r>
      <rPr>
        <rFont val="Calibri, sans-serif"/>
        <color rgb="FF1155CC"/>
        <sz val="11.0"/>
        <u/>
      </rPr>
      <t>rajashree.jena@cutm.ac.in</t>
    </r>
  </si>
  <si>
    <t>Praveen mundrathi @</t>
  </si>
  <si>
    <t>mundrathipraveen01@gmail.com</t>
  </si>
  <si>
    <t>Siddipet</t>
  </si>
  <si>
    <r>
      <rPr>
        <rFont val="Calibri, sans-serif"/>
        <color rgb="FF1155CC"/>
        <sz val="11.0"/>
        <u/>
      </rPr>
      <t>rajashree.jena@cutm.ac.in</t>
    </r>
  </si>
  <si>
    <t>Rushikesh Baban Yenare</t>
  </si>
  <si>
    <t>rushikeshyenare3@gmail.com</t>
  </si>
  <si>
    <t>Ahilyanagar</t>
  </si>
  <si>
    <r>
      <rPr>
        <rFont val="Calibri, sans-serif"/>
        <color rgb="FF1155CC"/>
        <sz val="11.0"/>
        <u/>
      </rPr>
      <t>rajashree.jena@cutm.ac.in</t>
    </r>
  </si>
  <si>
    <t>Srikar Sriram</t>
  </si>
  <si>
    <t>srikarsriram40@gmail.com</t>
  </si>
  <si>
    <t>Rayagada/Gajapati</t>
  </si>
  <si>
    <r>
      <rPr>
        <rFont val="Calibri, sans-serif"/>
        <color rgb="FF1155CC"/>
        <sz val="11.0"/>
        <u/>
      </rPr>
      <t>rajashree.jena@cutm.ac.in</t>
    </r>
  </si>
  <si>
    <t>Vimlesh kumar</t>
  </si>
  <si>
    <t>kumarvimlesh810@gmail.com</t>
  </si>
  <si>
    <t>Hardoi</t>
  </si>
  <si>
    <r>
      <rPr>
        <rFont val="Calibri, sans-serif"/>
        <color rgb="FF1155CC"/>
        <sz val="11.0"/>
        <u/>
      </rPr>
      <t>rajashree.jena@cutm.ac.in</t>
    </r>
  </si>
  <si>
    <t>He wants to do in online mode</t>
  </si>
  <si>
    <t>Sunny Yadav</t>
  </si>
  <si>
    <t>sy9927536@gmail.com</t>
  </si>
  <si>
    <t>Jabalpur</t>
  </si>
  <si>
    <r>
      <rPr>
        <rFont val="Calibri, sans-serif"/>
        <color rgb="FF1155CC"/>
        <sz val="11.0"/>
        <u/>
      </rPr>
      <t>rajashree.jena@cutm.ac.in</t>
    </r>
  </si>
  <si>
    <t>Saurabh Mishra</t>
  </si>
  <si>
    <t>mishrasaurabhson12345@gmail.com</t>
  </si>
  <si>
    <t>Yes I am interested</t>
  </si>
  <si>
    <t>Sonbhadra</t>
  </si>
  <si>
    <r>
      <rPr>
        <rFont val="Calibri, sans-serif"/>
        <color rgb="FF1155CC"/>
        <sz val="11.0"/>
        <u/>
      </rPr>
      <t>rajashree.jena@cutm.ac.in</t>
    </r>
  </si>
  <si>
    <t>Divya prashanthi</t>
  </si>
  <si>
    <t>sumanlaxmi.m@gmail.com</t>
  </si>
  <si>
    <r>
      <rPr>
        <rFont val="Calibri, sans-serif"/>
        <color rgb="FF1155CC"/>
        <sz val="11.0"/>
        <u/>
      </rPr>
      <t>rajashree.jena@cutm.ac.in</t>
    </r>
  </si>
  <si>
    <t>Inform later</t>
  </si>
  <si>
    <t>Vikash Yadav</t>
  </si>
  <si>
    <t>vikashkumarbxr223@gmail.com</t>
  </si>
  <si>
    <r>
      <rPr>
        <rFont val="Calibri, sans-serif"/>
        <color rgb="FF1155CC"/>
        <sz val="11.0"/>
        <u/>
      </rPr>
      <t>rajashree.jena@cutm.ac.in</t>
    </r>
  </si>
  <si>
    <t>manish kumar</t>
  </si>
  <si>
    <t>mksurouli06275@gmail.com</t>
  </si>
  <si>
    <t>Samastipur</t>
  </si>
  <si>
    <r>
      <rPr>
        <rFont val="Calibri, sans-serif"/>
        <color rgb="FF1155CC"/>
        <sz val="11.0"/>
        <u/>
      </rPr>
      <t>rajashree.jena@cutm.ac.in</t>
    </r>
  </si>
  <si>
    <t>Padmina</t>
  </si>
  <si>
    <t>yuvraj.kar@gmail.com</t>
  </si>
  <si>
    <t>Kalitkar</t>
  </si>
  <si>
    <r>
      <rPr>
        <rFont val="Calibri, sans-serif"/>
        <color rgb="FF1155CC"/>
        <sz val="11.0"/>
        <u/>
      </rPr>
      <t>rajashree.jena@cutm.ac.in</t>
    </r>
  </si>
  <si>
    <t>Akash Hatkar</t>
  </si>
  <si>
    <t>hatkara38@gmail.com</t>
  </si>
  <si>
    <t>Buldhana</t>
  </si>
  <si>
    <r>
      <rPr>
        <rFont val="Calibri, sans-serif"/>
        <color rgb="FF1155CC"/>
        <sz val="11.0"/>
        <u/>
      </rPr>
      <t>rajashree.jena@cutm.ac.in</t>
    </r>
  </si>
  <si>
    <t>Dharanidhar Sahu</t>
  </si>
  <si>
    <t>dharanidharsahu500@gmail.com</t>
  </si>
  <si>
    <t>Ganjam</t>
  </si>
  <si>
    <r>
      <rPr>
        <rFont val="Calibri, sans-serif"/>
        <color rgb="FF1155CC"/>
        <sz val="11.0"/>
        <u/>
      </rPr>
      <t>rajashree.jena@cutm.ac.in</t>
    </r>
  </si>
  <si>
    <t>Kunal Singh</t>
  </si>
  <si>
    <t>kunalkumar10102004@gmail.com</t>
  </si>
  <si>
    <r>
      <rPr>
        <rFont val="Calibri, sans-serif"/>
        <color rgb="FF1155CC"/>
        <sz val="11.0"/>
        <u/>
      </rPr>
      <t>rajashree.jena@cutm.ac.in</t>
    </r>
  </si>
  <si>
    <t>Chandan Yadav</t>
  </si>
  <si>
    <t>chandankumar8084890461@gmail.com</t>
  </si>
  <si>
    <t>Deary technology diploma</t>
  </si>
  <si>
    <r>
      <rPr>
        <rFont val="Calibri, sans-serif"/>
        <color rgb="FF1155CC"/>
        <sz val="11.0"/>
        <u/>
      </rPr>
      <t>rajashree.jena@cutm.ac.in</t>
    </r>
  </si>
  <si>
    <t>@shaik#salman#</t>
  </si>
  <si>
    <t>mohammad.salman.7036761722@gmail.com</t>
  </si>
  <si>
    <t>Talenga</t>
  </si>
  <si>
    <t>Naranpet</t>
  </si>
  <si>
    <r>
      <rPr>
        <rFont val="Calibri, sans-serif"/>
        <color rgb="FF1155CC"/>
        <sz val="11.0"/>
        <u/>
      </rPr>
      <t>rajashree.jena@cutm.ac.in</t>
    </r>
  </si>
  <si>
    <t>Number not reachable</t>
  </si>
  <si>
    <t>farhan</t>
  </si>
  <si>
    <t>khanumanisa05@gmail.com</t>
  </si>
  <si>
    <t>Shimoga</t>
  </si>
  <si>
    <r>
      <rPr>
        <rFont val="Calibri, sans-serif"/>
        <color rgb="FF1155CC"/>
        <sz val="11.0"/>
        <u/>
      </rPr>
      <t>rajashree.jena@cutm.ac.in</t>
    </r>
  </si>
  <si>
    <t>Interested (He will visit campus soon)</t>
  </si>
  <si>
    <t>Chamballa Ayyappa swamy Mudhiraj</t>
  </si>
  <si>
    <t>ayyappaswamy.chamballa@gmail.com</t>
  </si>
  <si>
    <t>Prakasam district</t>
  </si>
  <si>
    <r>
      <rPr>
        <rFont val="Calibri, sans-serif"/>
        <color rgb="FF1155CC"/>
        <sz val="11.0"/>
        <u/>
      </rPr>
      <t>rajashree.jena@cutm.ac.in</t>
    </r>
  </si>
  <si>
    <t>naresh reddy</t>
  </si>
  <si>
    <t>nareshreddyp25@gmail.com</t>
  </si>
  <si>
    <r>
      <rPr>
        <rFont val="Calibri, sans-serif"/>
        <color rgb="FF1155CC"/>
        <sz val="11.0"/>
        <u/>
      </rPr>
      <t>rajashree.jena@cutm.ac.in</t>
    </r>
  </si>
  <si>
    <t>Er. Shubham Kumar</t>
  </si>
  <si>
    <t>subhku2000@gmail.com</t>
  </si>
  <si>
    <t>Prayagraj</t>
  </si>
  <si>
    <r>
      <rPr>
        <rFont val="Calibri, sans-serif"/>
        <color rgb="FF1155CC"/>
        <sz val="11.0"/>
        <u/>
      </rPr>
      <t>rajashree.jena@cutm.ac.in</t>
    </r>
  </si>
  <si>
    <t>Disconnecting phone</t>
  </si>
  <si>
    <t>Subam T K Babu</t>
  </si>
  <si>
    <t>thamizhariloruvan@gmail.com</t>
  </si>
  <si>
    <t>Thiruvallur</t>
  </si>
  <si>
    <r>
      <rPr>
        <rFont val="Calibri, sans-serif"/>
        <color rgb="FF1155CC"/>
        <sz val="11.0"/>
        <u/>
      </rPr>
      <t>rajashree.jena@cutm.ac.in</t>
    </r>
  </si>
  <si>
    <t>Incoming calls not received</t>
  </si>
  <si>
    <t>Gower Sanker</t>
  </si>
  <si>
    <t>rajarao.tanne@gmail.com</t>
  </si>
  <si>
    <t>Yes</t>
  </si>
  <si>
    <r>
      <rPr>
        <rFont val="Calibri, sans-serif"/>
        <color rgb="FF1155CC"/>
        <sz val="11.0"/>
        <u/>
      </rPr>
      <t>rajashree.jena@cutm.ac.in</t>
    </r>
  </si>
  <si>
    <t>pp</t>
  </si>
  <si>
    <t>pravesh.purohit89@gmail.com</t>
  </si>
  <si>
    <t>Dairy processing unit</t>
  </si>
  <si>
    <t>B.com</t>
  </si>
  <si>
    <r>
      <rPr>
        <rFont val="Calibri, sans-serif"/>
        <color rgb="FF1155CC"/>
        <sz val="11.0"/>
        <u/>
      </rPr>
      <t>rajashree.jena@cutm.ac.in</t>
    </r>
  </si>
  <si>
    <t>Juttu Abhi</t>
  </si>
  <si>
    <t>juttuabhishekkumar1906@gmail.com</t>
  </si>
  <si>
    <t>Nirmal</t>
  </si>
  <si>
    <r>
      <rPr>
        <rFont val="Calibri, sans-serif"/>
        <color rgb="FF1155CC"/>
        <sz val="11.0"/>
        <u/>
      </rPr>
      <t>rajashree.jena@cutm.ac.in</t>
    </r>
  </si>
  <si>
    <t>Puja Pradhna</t>
  </si>
  <si>
    <t>gjjhikfguy@gmail.com</t>
  </si>
  <si>
    <t>Bhubaneswar Odisha khordha</t>
  </si>
  <si>
    <t>Khordha</t>
  </si>
  <si>
    <r>
      <rPr>
        <rFont val="Calibri, sans-serif"/>
        <color rgb="FF1155CC"/>
        <sz val="11.0"/>
        <u/>
      </rPr>
      <t>rajashree.jena@cutm.ac.in</t>
    </r>
  </si>
  <si>
    <t>Will inform later</t>
  </si>
  <si>
    <t>Sarfraz Ahmad Malik</t>
  </si>
  <si>
    <t>maLiksarfrazahmad@gmail.com</t>
  </si>
  <si>
    <t>pak</t>
  </si>
  <si>
    <t>Multan</t>
  </si>
  <si>
    <r>
      <rPr>
        <rFont val="Calibri, sans-serif"/>
        <color rgb="FF1155CC"/>
        <sz val="11.0"/>
        <u/>
      </rPr>
      <t>rajashree.jena@cutm.ac.in</t>
    </r>
  </si>
  <si>
    <t>Number does not exist</t>
  </si>
  <si>
    <t>Hitesh Hitesh Navani</t>
  </si>
  <si>
    <t>navanihitesh53@gmail.com</t>
  </si>
  <si>
    <t>5�v�5ؘ�5؍�5ؑ�5؛�5؊�</t>
  </si>
  <si>
    <r>
      <rPr>
        <rFont val="Calibri, sans-serif"/>
        <color rgb="FF1155CC"/>
        <sz val="11.0"/>
        <u/>
      </rPr>
      <t>rajashree.jena@cutm.ac.in</t>
    </r>
  </si>
  <si>
    <t>Having business; only enquired</t>
  </si>
  <si>
    <t>Basudev Das</t>
  </si>
  <si>
    <t>basudevdas98@gmail.com</t>
  </si>
  <si>
    <r>
      <rPr>
        <rFont val="Calibri, sans-serif"/>
        <color rgb="FF1155CC"/>
        <sz val="11.0"/>
        <u/>
      </rPr>
      <t>rajashree.jena@cutm.ac.in</t>
    </r>
  </si>
  <si>
    <t>Interested in online mode</t>
  </si>
  <si>
    <t>GANESH REDDY TAMATAM</t>
  </si>
  <si>
    <t>gani.reddys143@gmail.com</t>
  </si>
  <si>
    <t>Palnadu</t>
  </si>
  <si>
    <r>
      <rPr>
        <rFont val="Calibri, sans-serif"/>
        <color rgb="FF1155CC"/>
        <sz val="11.0"/>
        <u/>
      </rPr>
      <t>rajashree.jena@cutm.ac.in</t>
    </r>
  </si>
  <si>
    <t>Dibakar Mahankuda</t>
  </si>
  <si>
    <t>mahankudadibakar@gmail.com</t>
  </si>
  <si>
    <t>I'm interested</t>
  </si>
  <si>
    <r>
      <rPr>
        <rFont val="Calibri, sans-serif"/>
        <color rgb="FF1155CC"/>
        <sz val="11.0"/>
        <u/>
      </rPr>
      <t>rajashree.jena@cutm.ac.in</t>
    </r>
  </si>
  <si>
    <t>Interested but is from arts side</t>
  </si>
  <si>
    <t>Pavan Mekala</t>
  </si>
  <si>
    <t>mekalapavan1312@gmail.com</t>
  </si>
  <si>
    <r>
      <rPr>
        <rFont val="Calibri, sans-serif"/>
        <color rgb="FF1155CC"/>
        <sz val="11.0"/>
        <u/>
      </rPr>
      <t>rajashree.jena@cutm.ac.in</t>
    </r>
  </si>
  <si>
    <t>No response</t>
  </si>
  <si>
    <t>Prity kumari Yadav</t>
  </si>
  <si>
    <t>gy30034@gmail.com</t>
  </si>
  <si>
    <r>
      <rPr>
        <rFont val="Calibri, sans-serif"/>
        <color rgb="FF1155CC"/>
        <sz val="11.0"/>
        <u/>
      </rPr>
      <t>rajashree.jena@cutm.ac.in</t>
    </r>
  </si>
  <si>
    <t>Alok Singh</t>
  </si>
  <si>
    <t>aloks43680@gmail.com</t>
  </si>
  <si>
    <r>
      <rPr>
        <rFont val="Calibri, sans-serif"/>
        <color rgb="FF1155CC"/>
        <sz val="11.0"/>
        <u/>
      </rPr>
      <t>rajashree.jena@cutm.ac.in</t>
    </r>
  </si>
  <si>
    <t>ayushmahalle</t>
  </si>
  <si>
    <t>ayushmahalleshapiple@gmail.com</t>
  </si>
  <si>
    <t>Ayush mahalle</t>
  </si>
  <si>
    <t>Mahalle</t>
  </si>
  <si>
    <r>
      <rPr>
        <rFont val="Calibri, sans-serif"/>
        <color rgb="FF1155CC"/>
        <sz val="11.0"/>
        <u/>
      </rPr>
      <t>rajashree.jena@cutm.ac.in</t>
    </r>
  </si>
  <si>
    <t>Invalid no</t>
  </si>
  <si>
    <t>Nayak Chinmaya</t>
  </si>
  <si>
    <t>chinmayan9@gmail.com</t>
  </si>
  <si>
    <t>Jajpur</t>
  </si>
  <si>
    <r>
      <rPr>
        <rFont val="Calibri, sans-serif"/>
        <color rgb="FF1155CC"/>
        <sz val="11.0"/>
        <u/>
      </rPr>
      <t>rajashree.jena@cutm.ac.in</t>
    </r>
  </si>
  <si>
    <t>Ad. Deepak patle</t>
  </si>
  <si>
    <t>deepakpatle052@gmail.com</t>
  </si>
  <si>
    <t>मध्य प्रदेश</t>
  </si>
  <si>
    <t>सिवनी</t>
  </si>
  <si>
    <r>
      <rPr>
        <rFont val="Calibri, sans-serif"/>
        <color rgb="FF1155CC"/>
        <sz val="11.0"/>
        <u/>
      </rPr>
      <t>rajashree.jena@cutm.ac.in</t>
    </r>
  </si>
  <si>
    <t>श्री गुरुदेव दत्त मिल्क प्रॉडक्ट्स</t>
  </si>
  <si>
    <t>krishnamukund547@gmail.com</t>
  </si>
  <si>
    <t>बुलढाणा</t>
  </si>
  <si>
    <r>
      <rPr>
        <rFont val="Calibri, sans-serif"/>
        <color rgb="FF1155CC"/>
        <sz val="11.0"/>
        <u/>
      </rPr>
      <t>rajashree.jena@cutm.ac.in</t>
    </r>
  </si>
  <si>
    <t>Sachidhanantham Dce</t>
  </si>
  <si>
    <t>sachidhanantham1995@gmail.com</t>
  </si>
  <si>
    <t>Tiruvannamalai</t>
  </si>
  <si>
    <r>
      <rPr>
        <rFont val="Calibri, sans-serif"/>
        <color rgb="FF1155CC"/>
        <sz val="11.0"/>
        <u/>
      </rPr>
      <t>rajashree.jena@cutm.ac.in</t>
    </r>
  </si>
  <si>
    <t>Language issue</t>
  </si>
  <si>
    <t>Kurumurthy Komma</t>
  </si>
  <si>
    <t>kurumurthy56786@gmail.com</t>
  </si>
  <si>
    <t>Hi</t>
  </si>
  <si>
    <r>
      <rPr>
        <rFont val="Calibri, sans-serif"/>
        <color rgb="FF1155CC"/>
        <sz val="11.0"/>
        <u/>
      </rPr>
      <t>rajashree.jena@cutm.ac.in</t>
    </r>
  </si>
  <si>
    <t>Wrong contact</t>
  </si>
  <si>
    <t>Durgesh Yadav</t>
  </si>
  <si>
    <t>durgeshyadav151095@gmail.com</t>
  </si>
  <si>
    <r>
      <rPr>
        <rFont val="Calibri, sans-serif"/>
        <color rgb="FF1155CC"/>
        <sz val="11.0"/>
        <u/>
      </rPr>
      <t>rajashree.jena@cutm.ac.in</t>
    </r>
  </si>
  <si>
    <t>Akash Prakash</t>
  </si>
  <si>
    <t>Akashkuruba91@gmail.com</t>
  </si>
  <si>
    <r>
      <rPr>
        <rFont val="Calibri, sans-serif"/>
        <color rgb="FF1155CC"/>
        <sz val="11.0"/>
        <u/>
      </rPr>
      <t>rajashree.jena@cutm.ac.in</t>
    </r>
  </si>
  <si>
    <t>S H U B H A M </t>
  </si>
  <si>
    <t>shubhamgoud123456@gmail.com</t>
  </si>
  <si>
    <t>Madhyapradesh</t>
  </si>
  <si>
    <t>Dewas</t>
  </si>
  <si>
    <r>
      <rPr>
        <rFont val="Calibri, sans-serif"/>
        <color rgb="FF1155CC"/>
        <sz val="11.0"/>
        <u/>
      </rPr>
      <t>rajashree.jena@cutm.ac.in</t>
    </r>
  </si>
  <si>
    <t>Hariharan T</t>
  </si>
  <si>
    <t>hariharan958594@gmail.com</t>
  </si>
  <si>
    <t>Erode</t>
  </si>
  <si>
    <r>
      <rPr>
        <rFont val="Calibri, sans-serif"/>
        <color rgb="FF1155CC"/>
        <sz val="11.0"/>
        <u/>
      </rPr>
      <t>rajashree.jena@cutm.ac.in</t>
    </r>
  </si>
  <si>
    <t>Rahul yadav</t>
  </si>
  <si>
    <t>rahul9335608590@gmai.com</t>
  </si>
  <si>
    <r>
      <rPr>
        <rFont val="Calibri, sans-serif"/>
        <color rgb="FF1155CC"/>
        <sz val="11.0"/>
        <u/>
      </rPr>
      <t>rajashree.jena@cutm.ac.in</t>
    </r>
  </si>
  <si>
    <t>Santoshkumar</t>
  </si>
  <si>
    <t>santhuk9999@gmail.com</t>
  </si>
  <si>
    <r>
      <rPr>
        <rFont val="Calibri, sans-serif"/>
        <color rgb="FF1155CC"/>
        <sz val="11.0"/>
        <u/>
      </rPr>
      <t>rajashree.jena@cutm.ac.in</t>
    </r>
  </si>
  <si>
    <t>C Dhamodhar veterinary</t>
  </si>
  <si>
    <t>dhamodharreddycdhamodhar@gmail.com</t>
  </si>
  <si>
    <t>Gadwal</t>
  </si>
  <si>
    <r>
      <rPr>
        <rFont val="Calibri, sans-serif"/>
        <color rgb="FF1155CC"/>
        <sz val="11.0"/>
        <u/>
      </rPr>
      <t>rajashree.jena@cutm.ac.in</t>
    </r>
  </si>
  <si>
    <t>Bharath Udayagiri</t>
  </si>
  <si>
    <t>udayagiri.crazy05@gmail.com</t>
  </si>
  <si>
    <t>Medchal</t>
  </si>
  <si>
    <r>
      <rPr>
        <rFont val="Calibri, sans-serif"/>
        <color rgb="FF1155CC"/>
        <sz val="11.0"/>
        <u/>
      </rPr>
      <t>rajashree.jena@cutm.ac.in</t>
    </r>
  </si>
  <si>
    <t>Varun</t>
  </si>
  <si>
    <t>shreyakasal@gmail.com</t>
  </si>
  <si>
    <t>Need to join</t>
  </si>
  <si>
    <t>Mysore</t>
  </si>
  <si>
    <r>
      <rPr>
        <rFont val="Calibri, sans-serif"/>
        <color rgb="FF1155CC"/>
        <sz val="11.0"/>
        <u/>
      </rPr>
      <t>rajashree.jena@cutm.ac.in</t>
    </r>
  </si>
  <si>
    <t>Has done commerce and BBM</t>
  </si>
  <si>
    <t>ANIL KUMAR REDDY</t>
  </si>
  <si>
    <t>kanilk303@gma.com</t>
  </si>
  <si>
    <t>Mncl</t>
  </si>
  <si>
    <r>
      <rPr>
        <rFont val="Calibri, sans-serif"/>
        <color rgb="FF1155CC"/>
        <sz val="11.0"/>
        <u/>
      </rPr>
      <t>rajashree.jena@cutm.ac.in</t>
    </r>
  </si>
  <si>
    <t>Anoop Singh</t>
  </si>
  <si>
    <t>anoopsingh962863@gmail.com</t>
  </si>
  <si>
    <t>fatehpur</t>
  </si>
  <si>
    <r>
      <rPr>
        <rFont val="Calibri, sans-serif"/>
        <color rgb="FF1155CC"/>
        <sz val="11.0"/>
        <u/>
      </rPr>
      <t>rajashree.jena@cutm.ac.in</t>
    </r>
  </si>
  <si>
    <t>Nitish Kumar</t>
  </si>
  <si>
    <t>ny82528315@gmail.com</t>
  </si>
  <si>
    <t>CHATRA</t>
  </si>
  <si>
    <r>
      <rPr>
        <rFont val="Calibri, sans-serif"/>
        <color rgb="FF1155CC"/>
        <sz val="11.0"/>
        <u/>
      </rPr>
      <t>rajashree.jena@cutm.ac.in</t>
    </r>
  </si>
  <si>
    <t>Abhi</t>
  </si>
  <si>
    <t>akiaarush2525@gmail.com</t>
  </si>
  <si>
    <t>Dhanbad</t>
  </si>
  <si>
    <r>
      <rPr>
        <rFont val="Calibri, sans-serif"/>
        <color rgb="FF1155CC"/>
        <sz val="11.0"/>
        <u/>
      </rPr>
      <t>rajashree.jena@cutm.ac.in</t>
    </r>
  </si>
  <si>
    <t>vicky vikram</t>
  </si>
  <si>
    <t>boinivikram5@gmail.com</t>
  </si>
  <si>
    <t>Boini Vikram</t>
  </si>
  <si>
    <r>
      <rPr>
        <rFont val="Calibri, sans-serif"/>
        <color rgb="FF1155CC"/>
        <sz val="11.0"/>
        <u/>
      </rPr>
      <t>rajashree.jena@cutm.ac.in</t>
    </r>
  </si>
  <si>
    <t>Shashi Rajak</t>
  </si>
  <si>
    <t>shashirajak91022@gmail.com</t>
  </si>
  <si>
    <t>Sashi rajak</t>
  </si>
  <si>
    <r>
      <rPr>
        <rFont val="Calibri, sans-serif"/>
        <color rgb="FF1155CC"/>
        <sz val="11.0"/>
        <u/>
      </rPr>
      <t>rajashree.jena@cutm.ac.in</t>
    </r>
  </si>
  <si>
    <t>Srikanth Reddy</t>
  </si>
  <si>
    <t>srihellforu@gmail.com</t>
  </si>
  <si>
    <t>Nizamabad</t>
  </si>
  <si>
    <r>
      <rPr>
        <rFont val="Calibri, sans-serif"/>
        <color rgb="FF1155CC"/>
        <sz val="11.0"/>
        <u/>
      </rPr>
      <t>rajashree.jena@cutm.ac.in</t>
    </r>
  </si>
  <si>
    <t>ᥴꫝꫀꪻꪖꪀꪀꪀ ρꪖꪻꫀꪶ</t>
  </si>
  <si>
    <t>chetanpatel0970@gmail.com</t>
  </si>
  <si>
    <r>
      <rPr>
        <rFont val="Calibri, sans-serif"/>
        <color rgb="FF1155CC"/>
        <sz val="11.0"/>
        <u/>
      </rPr>
      <t>rajashree.jena@cutm.ac.in</t>
    </r>
  </si>
  <si>
    <t>Fake application</t>
  </si>
  <si>
    <t>Harihar nimone</t>
  </si>
  <si>
    <t>hariharnimone98@gmail.com</t>
  </si>
  <si>
    <t>Maharastra</t>
  </si>
  <si>
    <r>
      <rPr>
        <rFont val="Calibri, sans-serif"/>
        <color rgb="FF1155CC"/>
        <sz val="11.0"/>
        <u/>
      </rPr>
      <t>rajashree.jena@cutm.ac.in</t>
    </r>
  </si>
  <si>
    <t>chetan waghmare</t>
  </si>
  <si>
    <t>waghmarechetan11@gmail.com</t>
  </si>
  <si>
    <t>Pandurna</t>
  </si>
  <si>
    <r>
      <rPr>
        <rFont val="Calibri, sans-serif"/>
        <color rgb="FF1155CC"/>
        <sz val="11.0"/>
        <u/>
      </rPr>
      <t>rajashree.jena@cutm.ac.in</t>
    </r>
  </si>
  <si>
    <t>KANNAYYA</t>
  </si>
  <si>
    <t>dy627919@gmail.com</t>
  </si>
  <si>
    <t>Ranga Reddy</t>
  </si>
  <si>
    <r>
      <rPr>
        <rFont val="Calibri, sans-serif"/>
        <color rgb="FF1155CC"/>
        <sz val="11.0"/>
        <u/>
      </rPr>
      <t>rajashree.jena@cutm.ac.in</t>
    </r>
  </si>
  <si>
    <t>आशुतोष जायसवाल</t>
  </si>
  <si>
    <t>bholajaiswal7379@gmail.com</t>
  </si>
  <si>
    <t>Kushinagar</t>
  </si>
  <si>
    <r>
      <rPr>
        <rFont val="Calibri, sans-serif"/>
        <color rgb="FF1155CC"/>
        <sz val="11.0"/>
        <u/>
      </rPr>
      <t>rajashree.jena@cutm.ac.in</t>
    </r>
  </si>
  <si>
    <t>Already in B.com 2nd year applying for next year</t>
  </si>
  <si>
    <t>Prashant Kumar Yadav</t>
  </si>
  <si>
    <t>prashantyadav49143@gmail.com</t>
  </si>
  <si>
    <t>Gorakhpur</t>
  </si>
  <si>
    <r>
      <rPr>
        <rFont val="Calibri, sans-serif"/>
        <color rgb="FF1155CC"/>
        <sz val="11.0"/>
        <u/>
      </rPr>
      <t>rajashree.jena@cutm.ac.in</t>
    </r>
  </si>
  <si>
    <t>Vishal Rawat</t>
  </si>
  <si>
    <t>vishalrawat200182183@gmail.com</t>
  </si>
  <si>
    <t>Uttarakhand</t>
  </si>
  <si>
    <t>Nainital</t>
  </si>
  <si>
    <r>
      <rPr>
        <rFont val="Calibri, sans-serif"/>
        <color rgb="FF1155CC"/>
        <sz val="11.0"/>
        <u/>
      </rPr>
      <t>rajashree.jena@cutm.ac.in</t>
    </r>
  </si>
  <si>
    <t>Not eligible (Arts)</t>
  </si>
  <si>
    <t>Alluri Durgaprasad</t>
  </si>
  <si>
    <t>alluridurgaprasad84@gmail.com</t>
  </si>
  <si>
    <t>East Godavari</t>
  </si>
  <si>
    <r>
      <rPr>
        <rFont val="Calibri, sans-serif"/>
        <color rgb="FF1155CC"/>
        <sz val="11.0"/>
        <u/>
      </rPr>
      <t>rajashree.jena@cutm.ac.in</t>
    </r>
  </si>
  <si>
    <t>Ganesh Bodke</t>
  </si>
  <si>
    <t>gb0463745@gmail.com</t>
  </si>
  <si>
    <t>Nashik</t>
  </si>
  <si>
    <r>
      <rPr>
        <rFont val="Calibri, sans-serif"/>
        <color rgb="FF1155CC"/>
        <sz val="11.0"/>
        <u/>
      </rPr>
      <t>rajashree.jena@cutm.ac.in</t>
    </r>
  </si>
  <si>
    <t>invalid no</t>
  </si>
  <si>
    <t>स्वप्निल</t>
  </si>
  <si>
    <t>swapninirmal3434@gmail.com</t>
  </si>
  <si>
    <t>Kolhapur</t>
  </si>
  <si>
    <r>
      <rPr>
        <rFont val="Calibri, sans-serif"/>
        <color rgb="FF1155CC"/>
        <sz val="11.0"/>
        <u/>
      </rPr>
      <t>rajashree.jena@cutm.ac.in</t>
    </r>
  </si>
  <si>
    <t>prabha Enterprises</t>
  </si>
  <si>
    <t>salesprabhaentp@gmail.com</t>
  </si>
  <si>
    <r>
      <rPr>
        <rFont val="Calibri, sans-serif"/>
        <color rgb="FF1155CC"/>
        <sz val="11.0"/>
        <u/>
      </rPr>
      <t>rajashree.jena@cutm.ac.in</t>
    </r>
  </si>
  <si>
    <t>Abhishek Biradar</t>
  </si>
  <si>
    <t>abhishekbiradar89@gmail.com</t>
  </si>
  <si>
    <t>Kalburgi</t>
  </si>
  <si>
    <r>
      <rPr>
        <rFont val="Calibri, sans-serif"/>
        <color rgb="FF1155CC"/>
        <sz val="11.0"/>
        <u/>
      </rPr>
      <t>rajashree.jena@cutm.ac.in</t>
    </r>
  </si>
  <si>
    <t>Tejram_lodha</t>
  </si>
  <si>
    <t>premlove4852@gmail.com</t>
  </si>
  <si>
    <t>M p</t>
  </si>
  <si>
    <t>Ratlam</t>
  </si>
  <si>
    <r>
      <rPr>
        <rFont val="Calibri, sans-serif"/>
        <color rgb="FF1155CC"/>
        <sz val="11.0"/>
        <u/>
      </rPr>
      <t>rajashree.jena@cutm.ac.in</t>
    </r>
  </si>
  <si>
    <t>Jitesh Bellapu</t>
  </si>
  <si>
    <t>jitesh3456@gmail.com</t>
  </si>
  <si>
    <t>Krishna</t>
  </si>
  <si>
    <r>
      <rPr>
        <rFont val="Calibri, sans-serif"/>
        <color rgb="FF1155CC"/>
        <sz val="11.0"/>
        <u/>
      </rPr>
      <t>rajashree.jena@cutm.ac.in</t>
    </r>
  </si>
  <si>
    <t>Rakesh Domale</t>
  </si>
  <si>
    <t>nileshborkar1232@gmail.com</t>
  </si>
  <si>
    <t>Dhule</t>
  </si>
  <si>
    <r>
      <rPr>
        <rFont val="Calibri, sans-serif"/>
        <color rgb="FF1155CC"/>
        <sz val="11.0"/>
        <u/>
      </rPr>
      <t>rajashree.jena@cutm.ac.in</t>
    </r>
  </si>
  <si>
    <t>Gaurav yadav</t>
  </si>
  <si>
    <t>gauravgawli464@gmail.com</t>
  </si>
  <si>
    <t>Telengana</t>
  </si>
  <si>
    <r>
      <rPr>
        <rFont val="Calibri, sans-serif"/>
        <color rgb="FF1155CC"/>
        <sz val="11.0"/>
        <u/>
      </rPr>
      <t>rajashree.jena@cutm.ac.in</t>
    </r>
  </si>
  <si>
    <t>Shivam</t>
  </si>
  <si>
    <t>shivamsingh555520@gmail.com</t>
  </si>
  <si>
    <t>Rewa</t>
  </si>
  <si>
    <r>
      <rPr>
        <rFont val="Calibri, sans-serif"/>
        <color rgb="FF1155CC"/>
        <sz val="11.0"/>
        <u/>
      </rPr>
      <t>rajashree.jena@cutm.ac.in</t>
    </r>
  </si>
  <si>
    <t>Hari</t>
  </si>
  <si>
    <t>harisukku3@gmail.com</t>
  </si>
  <si>
    <t>Anantapur</t>
  </si>
  <si>
    <r>
      <rPr>
        <rFont val="Calibri, sans-serif"/>
        <color rgb="FF1155CC"/>
        <sz val="11.0"/>
        <u/>
      </rPr>
      <t>rajashree.jena@cutm.ac.in</t>
    </r>
  </si>
  <si>
    <t>Guru Rajareddy</t>
  </si>
  <si>
    <t>rajareddyd8@gmail.com</t>
  </si>
  <si>
    <t>Andrapradesh</t>
  </si>
  <si>
    <r>
      <rPr>
        <rFont val="Calibri, sans-serif"/>
        <color rgb="FF1155CC"/>
        <sz val="11.0"/>
        <u/>
      </rPr>
      <t>rajashree.jena@cutm.ac.in</t>
    </r>
  </si>
  <si>
    <t>Enquired for Distance education</t>
  </si>
  <si>
    <t>N KEDESHWAR</t>
  </si>
  <si>
    <t>nk166677@gmail.com</t>
  </si>
  <si>
    <r>
      <rPr>
        <rFont val="Calibri, sans-serif"/>
        <color rgb="FF1155CC"/>
        <sz val="11.0"/>
        <u/>
      </rPr>
      <t>rajashree.jena@cutm.ac.in</t>
    </r>
  </si>
  <si>
    <t>jay yadav</t>
  </si>
  <si>
    <t>sailorjay2013@gmail.com</t>
  </si>
  <si>
    <r>
      <rPr>
        <rFont val="Calibri, sans-serif"/>
        <color rgb="FF1155CC"/>
        <sz val="11.0"/>
        <u/>
      </rPr>
      <t>rajashree.jena@cutm.ac.in</t>
    </r>
  </si>
  <si>
    <t>Pavan naidu</t>
  </si>
  <si>
    <t>pavankumarnaidu1234@gmail.com</t>
  </si>
  <si>
    <r>
      <rPr>
        <rFont val="Calibri, sans-serif"/>
        <color rgb="FF1155CC"/>
        <sz val="11.0"/>
        <u/>
      </rPr>
      <t>rajashree.jena@cutm.ac.in</t>
    </r>
  </si>
  <si>
    <r>
      <rPr>
        <rFont val="Calibri, sans-serif"/>
        <color rgb="FF1155CC"/>
        <sz val="11.0"/>
        <u/>
      </rPr>
      <t>rajashree.jena@cutm.ac.in</t>
    </r>
  </si>
  <si>
    <t>Admitted in some other place</t>
  </si>
  <si>
    <r>
      <rPr>
        <rFont val="Calibri, sans-serif"/>
        <color rgb="FF1155CC"/>
        <sz val="11.0"/>
        <u/>
      </rPr>
      <t>rajashree.jena@cutm.ac.in</t>
    </r>
  </si>
  <si>
    <r>
      <rPr>
        <rFont val="Calibri, sans-serif"/>
        <color rgb="FF1155CC"/>
        <sz val="11.0"/>
        <u/>
      </rPr>
      <t>rajashree.jena@cutm.ac.in</t>
    </r>
  </si>
  <si>
    <r>
      <rPr>
        <rFont val="Calibri, sans-serif"/>
        <color rgb="FF1155CC"/>
        <sz val="11.0"/>
        <u/>
      </rPr>
      <t>rajashree.jena@cutm.ac.in</t>
    </r>
  </si>
  <si>
    <r>
      <rPr>
        <rFont val="Calibri, sans-serif"/>
        <color rgb="FF1155CC"/>
        <sz val="11.0"/>
        <u/>
      </rPr>
      <t>rajashree.jena@cutm.ac.in</t>
    </r>
  </si>
  <si>
    <t>Incoming call not there</t>
  </si>
  <si>
    <r>
      <rPr>
        <rFont val="Calibri, sans-serif"/>
        <color rgb="FF1155CC"/>
        <sz val="11.0"/>
        <u/>
      </rPr>
      <t>rajashree.jena@cutm.ac.in</t>
    </r>
  </si>
  <si>
    <r>
      <rPr>
        <rFont val="Calibri, sans-serif"/>
        <color rgb="FF1155CC"/>
        <sz val="11.0"/>
        <u/>
      </rPr>
      <t>rajashree.jena@cutm.ac.in</t>
    </r>
  </si>
  <si>
    <t>Disconnecting phone repeatedly</t>
  </si>
  <si>
    <r>
      <rPr>
        <rFont val="Calibri, sans-serif"/>
        <color rgb="FF1155CC"/>
        <sz val="11.0"/>
        <u/>
      </rPr>
      <t>rajashree.jena@cutm.ac.in</t>
    </r>
  </si>
  <si>
    <t>A</t>
  </si>
  <si>
    <t>#</t>
  </si>
  <si>
    <t>G</t>
  </si>
  <si>
    <t>Hello</t>
  </si>
  <si>
    <t>*</t>
  </si>
  <si>
    <r>
      <rPr>
        <rFont val="Calibri, sans-serif"/>
        <color rgb="FF1155CC"/>
        <sz val="11.0"/>
        <u/>
      </rPr>
      <t>rajashree.jena@cutm.ac.in</t>
    </r>
  </si>
  <si>
    <t>Interested (Location problem)</t>
  </si>
  <si>
    <t>Manoj Kumar</t>
  </si>
  <si>
    <t>manojku.226@gmail.com</t>
  </si>
  <si>
    <t>Hazaribag</t>
  </si>
  <si>
    <r>
      <rPr>
        <rFont val="Calibri, sans-serif"/>
        <color rgb="FF1155CC"/>
        <sz val="11.0"/>
        <u/>
      </rPr>
      <t>rajashree.jena@cutm.ac.in</t>
    </r>
  </si>
  <si>
    <t>suman kumar upadhyay</t>
  </si>
  <si>
    <t>sumanupadhyay1994@gmail.com</t>
  </si>
  <si>
    <t>gopalganj</t>
  </si>
  <si>
    <r>
      <rPr>
        <rFont val="Calibri, sans-serif"/>
        <color rgb="FF1155CC"/>
        <sz val="11.0"/>
        <u/>
      </rPr>
      <t>rajashree.jena@cutm.ac.in</t>
    </r>
  </si>
  <si>
    <t>Incoming facility is not available</t>
  </si>
  <si>
    <r>
      <rPr>
        <rFont val="Calibri, sans-serif"/>
        <color rgb="FF1155CC"/>
        <sz val="11.0"/>
        <u/>
      </rPr>
      <t>rajashree.jena@cutm.ac.in</t>
    </r>
  </si>
  <si>
    <t>Number not available</t>
  </si>
  <si>
    <t>Shahabul Islam</t>
  </si>
  <si>
    <t>gkrfruitexports1717@gmail.com</t>
  </si>
  <si>
    <t>Uttar Dinajpur</t>
  </si>
  <si>
    <r>
      <rPr>
        <rFont val="Calibri, sans-serif"/>
        <color rgb="FF1155CC"/>
        <sz val="11.0"/>
        <u/>
      </rPr>
      <t>rajashree.jena@cutm.ac.in</t>
    </r>
  </si>
  <si>
    <t>Nihal Yaduvanshi..</t>
  </si>
  <si>
    <t>nihalyadav9926@gmail.com</t>
  </si>
  <si>
    <t>Vidisha</t>
  </si>
  <si>
    <r>
      <rPr>
        <rFont val="Calibri, sans-serif"/>
        <color rgb="FF1155CC"/>
        <sz val="11.0"/>
        <u/>
      </rPr>
      <t>rajashree.jena@cutm.ac.in</t>
    </r>
  </si>
  <si>
    <t>EKRAMUL SK</t>
  </si>
  <si>
    <t>esk154715@gmail.com</t>
  </si>
  <si>
    <t>Nadia</t>
  </si>
  <si>
    <r>
      <rPr>
        <rFont val="Calibri, sans-serif"/>
        <color rgb="FF1155CC"/>
        <sz val="11.0"/>
        <u/>
      </rPr>
      <t>rajashree.jena@cutm.ac.in</t>
    </r>
  </si>
  <si>
    <t>SAURABH</t>
  </si>
  <si>
    <t>saurabhshivale176@gmail.com</t>
  </si>
  <si>
    <r>
      <rPr>
        <rFont val="Calibri, sans-serif"/>
        <color rgb="FF1155CC"/>
        <sz val="11.0"/>
        <u/>
      </rPr>
      <t>rajashree.jena@cutm.ac.in</t>
    </r>
  </si>
  <si>
    <t>Disconnected phone</t>
  </si>
  <si>
    <t>Rajat Patra</t>
  </si>
  <si>
    <t>rajatpatra1991@gmail.com</t>
  </si>
  <si>
    <r>
      <rPr>
        <rFont val="Calibri, sans-serif"/>
        <color rgb="FF1155CC"/>
        <sz val="11.0"/>
        <u/>
      </rPr>
      <t>rajashree.jena@cutm.ac.in</t>
    </r>
  </si>
  <si>
    <t>Interested (Short term course)</t>
  </si>
  <si>
    <t>Pradeep lodhi</t>
  </si>
  <si>
    <t>pradeepnarwariya011@gmail.com</t>
  </si>
  <si>
    <t>Bhind</t>
  </si>
  <si>
    <r>
      <rPr>
        <rFont val="Calibri, sans-serif"/>
        <color rgb="FF1155CC"/>
        <sz val="11.0"/>
        <u/>
      </rPr>
      <t>rajashree.jena@cutm.ac.in</t>
    </r>
  </si>
  <si>
    <t>Not reachable</t>
  </si>
  <si>
    <t>Azzu Bhai</t>
  </si>
  <si>
    <t>azaroddinjmkt@gmail.com</t>
  </si>
  <si>
    <t>Karimnagar</t>
  </si>
  <si>
    <r>
      <rPr>
        <rFont val="Calibri, sans-serif"/>
        <color rgb="FF1155CC"/>
        <sz val="11.0"/>
        <u/>
      </rPr>
      <t>rajashree.jena@cutm.ac.in</t>
    </r>
  </si>
  <si>
    <t>Wants to do short term course</t>
  </si>
  <si>
    <t>5�&gt;�5�]�5�d�5�l�5�Y�5�V�5�g�5�n�</t>
  </si>
  <si>
    <t>saikishorevantipallikishore@gmail.com</t>
  </si>
  <si>
    <t>Dr.Br. Ambedkar District</t>
  </si>
  <si>
    <r>
      <rPr>
        <rFont val="Calibri, sans-serif"/>
        <color rgb="FF1155CC"/>
        <sz val="11.0"/>
        <u/>
      </rPr>
      <t>rajashree.jena@cutm.ac.in</t>
    </r>
  </si>
  <si>
    <t>Black capture</t>
  </si>
  <si>
    <t>amalmaurya2006@gmail.com</t>
  </si>
  <si>
    <t>Chandauli</t>
  </si>
  <si>
    <r>
      <rPr>
        <rFont val="Calibri, sans-serif"/>
        <color rgb="FF1155CC"/>
        <sz val="11.0"/>
        <u/>
      </rPr>
      <t>rajashree.jena@cutm.ac.in</t>
    </r>
  </si>
  <si>
    <t>ayaan</t>
  </si>
  <si>
    <t>mohdawaise786@gmail.com</t>
  </si>
  <si>
    <t>Telengana state</t>
  </si>
  <si>
    <r>
      <rPr>
        <rFont val="Calibri, sans-serif"/>
        <color rgb="FF1155CC"/>
        <sz val="11.0"/>
        <u/>
      </rPr>
      <t>rajashree.jena@cutm.ac.in</t>
    </r>
  </si>
  <si>
    <t>ravikumarchindam296@gmail.com</t>
  </si>
  <si>
    <t>Telangana Hyderabad</t>
  </si>
  <si>
    <t>Name . ravi kumar</t>
  </si>
  <si>
    <r>
      <rPr>
        <rFont val="Calibri, sans-serif"/>
        <color rgb="FF1155CC"/>
        <sz val="11.0"/>
        <u/>
      </rPr>
      <t>rajashree.jena@cutm.ac.in</t>
    </r>
  </si>
  <si>
    <t>deep</t>
  </si>
  <si>
    <t>deepaayer172@gmail.com</t>
  </si>
  <si>
    <t>Junagdh</t>
  </si>
  <si>
    <r>
      <rPr>
        <rFont val="Calibri, sans-serif"/>
        <color rgb="FF1155CC"/>
        <sz val="11.0"/>
        <u/>
      </rPr>
      <t>rajashree.jena@cutm.ac.in</t>
    </r>
  </si>
  <si>
    <t>Interested (Completed diploma in animal husbandry)</t>
  </si>
  <si>
    <t>Suraj chouhan</t>
  </si>
  <si>
    <t>chouhans7137@gmail.com</t>
  </si>
  <si>
    <r>
      <rPr>
        <rFont val="Calibri, sans-serif"/>
        <color rgb="FF1155CC"/>
        <sz val="11.0"/>
        <u/>
      </rPr>
      <t>rajashree.jena@cutm.ac.in</t>
    </r>
  </si>
  <si>
    <t>Siddhantpal Siddhantpal</t>
  </si>
  <si>
    <t>palsiddhant@79gmail.com</t>
  </si>
  <si>
    <t>Auraiya</t>
  </si>
  <si>
    <r>
      <rPr>
        <rFont val="Calibri, sans-serif"/>
        <color rgb="FF1155CC"/>
        <sz val="11.0"/>
        <u/>
      </rPr>
      <t>rajashree.jena@cutm.ac.in</t>
    </r>
  </si>
  <si>
    <t>Mohit</t>
  </si>
  <si>
    <t>yogeainfo1@gmail.com</t>
  </si>
  <si>
    <t>Haryana</t>
  </si>
  <si>
    <t>Sirsa</t>
  </si>
  <si>
    <r>
      <rPr>
        <rFont val="Calibri, sans-serif"/>
        <color rgb="FF1155CC"/>
        <sz val="11.0"/>
        <u/>
      </rPr>
      <t>rajashree.jena@cutm.ac.in</t>
    </r>
  </si>
  <si>
    <t>Interested (Will inform later)</t>
  </si>
  <si>
    <t>Ather Ali</t>
  </si>
  <si>
    <t>alisyedathar073@gmail.com</t>
  </si>
  <si>
    <t>Gulbarga</t>
  </si>
  <si>
    <r>
      <rPr>
        <rFont val="Calibri, sans-serif"/>
        <color rgb="FF1155CC"/>
        <sz val="11.0"/>
        <u/>
      </rPr>
      <t>rajashree.jena@cutm.ac.in</t>
    </r>
  </si>
  <si>
    <t>Munendra Chakraworti</t>
  </si>
  <si>
    <t>monuc7514@gmail.com</t>
  </si>
  <si>
    <r>
      <rPr>
        <rFont val="Calibri, sans-serif"/>
        <color rgb="FF1155CC"/>
        <sz val="11.0"/>
        <u/>
      </rPr>
      <t>rajashree.jena@cutm.ac.in</t>
    </r>
  </si>
  <si>
    <t>Nunulal dairy</t>
  </si>
  <si>
    <t>nunulaldiary@gmail.com</t>
  </si>
  <si>
    <t>Saharsa</t>
  </si>
  <si>
    <r>
      <rPr>
        <rFont val="Calibri, sans-serif"/>
        <color rgb="FF1155CC"/>
        <sz val="11.0"/>
        <u/>
      </rPr>
      <t>rajashree.jena@cutm.ac.in</t>
    </r>
  </si>
  <si>
    <t>_x0004__x000f_B_x001d_�_x0002_�_x0002_uD_x001b_._x001d_4</t>
  </si>
  <si>
    <r>
      <rPr>
        <rFont val="Calibri, sans-serif"/>
        <color rgb="FF1155CC"/>
        <sz val="11.0"/>
        <u/>
      </rPr>
      <t>rajashree.jena@cutm.ac.in</t>
    </r>
  </si>
  <si>
    <t>5_x001d_�_x000f_ maddyuttej@gmail.com p:+917416897096</t>
  </si>
  <si>
    <t>Akhil Yadav</t>
  </si>
  <si>
    <t>kukkalaakhil70@gmail.com</t>
  </si>
  <si>
    <t>Hanmakonda</t>
  </si>
  <si>
    <r>
      <rPr>
        <rFont val="Calibri, sans-serif"/>
        <color rgb="FF1155CC"/>
        <sz val="11.0"/>
        <u/>
      </rPr>
      <t>rajashree.jena@cutm.ac.in</t>
    </r>
  </si>
  <si>
    <t>Rathod</t>
  </si>
  <si>
    <t>jeevanrathod331@gmail.como</t>
  </si>
  <si>
    <t>Sangareddy</t>
  </si>
  <si>
    <r>
      <rPr>
        <rFont val="Calibri, sans-serif"/>
        <color rgb="FF1155CC"/>
        <sz val="11.0"/>
        <u/>
      </rPr>
      <t>rajashree.jena@cutm.ac.in</t>
    </r>
  </si>
  <si>
    <r>
      <rPr>
        <rFont val="Calibri, sans-serif"/>
        <color rgb="FF1155CC"/>
        <sz val="11.0"/>
        <u/>
      </rPr>
      <t>rajashree.jena@cutm.ac.in</t>
    </r>
  </si>
  <si>
    <t>Ûťťãm Mâñđãľ</t>
  </si>
  <si>
    <t>uttammandal5253@gmil.com</t>
  </si>
  <si>
    <t>Bankura</t>
  </si>
  <si>
    <r>
      <rPr>
        <rFont val="Calibri, sans-serif"/>
        <color rgb="FF1155CC"/>
        <sz val="11.0"/>
        <u/>
      </rPr>
      <t>rajashree.jena@cutm.ac.in</t>
    </r>
  </si>
  <si>
    <t>‌‌‌‌‌_‌‌‌_Ajithkumar A</t>
  </si>
  <si>
    <t>ajithkumaralagar12@gmail.com</t>
  </si>
  <si>
    <t>Dindigul</t>
  </si>
  <si>
    <r>
      <rPr>
        <rFont val="Calibri, sans-serif"/>
        <color rgb="FF1155CC"/>
        <sz val="11.0"/>
        <u/>
      </rPr>
      <t>rajashree.jena@cutm.ac.in</t>
    </r>
  </si>
  <si>
    <t>Busy</t>
  </si>
  <si>
    <t>Suresh Reddy</t>
  </si>
  <si>
    <t>sasikala332@gmail.com</t>
  </si>
  <si>
    <t>tirupati</t>
  </si>
  <si>
    <r>
      <rPr>
        <rFont val="Calibri, sans-serif"/>
        <color rgb="FF1155CC"/>
        <sz val="11.0"/>
        <u/>
      </rPr>
      <t>rajashree.jena@cutm.ac.in</t>
    </r>
  </si>
  <si>
    <t>Vikas Teja</t>
  </si>
  <si>
    <t>vikasteja004@gmail.com</t>
  </si>
  <si>
    <t>nagrkarnool</t>
  </si>
  <si>
    <r>
      <rPr>
        <rFont val="Calibri, sans-serif"/>
        <color rgb="FF1155CC"/>
        <sz val="11.0"/>
        <u/>
      </rPr>
      <t>rajashree.jena@cutm.ac.in</t>
    </r>
  </si>
  <si>
    <t>Wrong number</t>
  </si>
  <si>
    <t>invalid</t>
  </si>
  <si>
    <t>Vishnu Gupta</t>
  </si>
  <si>
    <t>vishnu100898@gmail.com</t>
  </si>
  <si>
    <t>aligarh</t>
  </si>
  <si>
    <r>
      <rPr>
        <rFont val="Calibri, sans-serif"/>
        <color rgb="FF1155CC"/>
        <sz val="11.0"/>
        <u/>
      </rPr>
      <t>rajashree.jena@cutm.ac.in</t>
    </r>
  </si>
  <si>
    <t>sunil bhimaji Sonawane</t>
  </si>
  <si>
    <t>ssonawane2151@gmail.com</t>
  </si>
  <si>
    <t>ahilyanagar</t>
  </si>
  <si>
    <r>
      <rPr>
        <rFont val="Calibri, sans-serif"/>
        <color rgb="FF1155CC"/>
        <sz val="11.0"/>
        <u/>
      </rPr>
      <t>rajashree.jena@cutm.ac.in</t>
    </r>
  </si>
  <si>
    <t>Ram Choudry Lavu</t>
  </si>
  <si>
    <t>ramchowdary.lavu@gmail.com</t>
  </si>
  <si>
    <t>ANDHRA PRADESH</t>
  </si>
  <si>
    <t>ELUR</t>
  </si>
  <si>
    <r>
      <rPr>
        <rFont val="Calibri, sans-serif"/>
        <color rgb="FF1155CC"/>
        <sz val="11.0"/>
        <u/>
      </rPr>
      <t>rajashree.jena@cutm.ac.in</t>
    </r>
  </si>
  <si>
    <t>Chintalapalli Govind Reddy</t>
  </si>
  <si>
    <t>govindreddyvkp@gmail.com</t>
  </si>
  <si>
    <t>Andra pradesh pin 515101 sri satya sai dist</t>
  </si>
  <si>
    <r>
      <rPr>
        <rFont val="Calibri, sans-serif"/>
        <color rgb="FF1155CC"/>
        <sz val="11.0"/>
        <u/>
      </rPr>
      <t>rajashree.jena@cutm.ac.in</t>
    </r>
  </si>
  <si>
    <t>Santosh Kamble</t>
  </si>
  <si>
    <t>munjesantosh07@gmail.com</t>
  </si>
  <si>
    <t>Belguam</t>
  </si>
  <si>
    <r>
      <rPr>
        <rFont val="Calibri, sans-serif"/>
        <color rgb="FF1155CC"/>
        <sz val="11.0"/>
        <u/>
      </rPr>
      <t>rajashree.jena@cutm.ac.in</t>
    </r>
  </si>
  <si>
    <t>Will call later</t>
  </si>
  <si>
    <t>Bedare Prathamesh</t>
  </si>
  <si>
    <t>prathameshbedare143@gmail.com</t>
  </si>
  <si>
    <t>Solapur</t>
  </si>
  <si>
    <r>
      <rPr>
        <rFont val="Calibri, sans-serif"/>
        <color rgb="FF1155CC"/>
        <sz val="11.0"/>
        <u/>
      </rPr>
      <t>rajashree.jena@cutm.ac.in</t>
    </r>
  </si>
  <si>
    <t>Rameswar Mishra</t>
  </si>
  <si>
    <t>rameswarmishra.it007@gmail.com</t>
  </si>
  <si>
    <t>kendrapara</t>
  </si>
  <si>
    <r>
      <rPr>
        <rFont val="Calibri, sans-serif"/>
        <color rgb="FF1155CC"/>
        <sz val="11.0"/>
        <u/>
      </rPr>
      <t>rajashree.jena@cutm.ac.in</t>
    </r>
  </si>
  <si>
    <t>Santosh Ghorpade</t>
  </si>
  <si>
    <t>santoshghorpade5588@gmail.com</t>
  </si>
  <si>
    <t>ಬಾಗಲಕೋಟ</t>
  </si>
  <si>
    <r>
      <rPr>
        <rFont val="Calibri, sans-serif"/>
        <color rgb="FF1155CC"/>
        <sz val="11.0"/>
        <u/>
      </rPr>
      <t>rajashree.jena@cutm.ac.in</t>
    </r>
  </si>
  <si>
    <t>Sathish GSK</t>
  </si>
  <si>
    <t>sathishyadavass03021998@gmail.com</t>
  </si>
  <si>
    <t>Vellore</t>
  </si>
  <si>
    <r>
      <rPr>
        <rFont val="Calibri, sans-serif"/>
        <color rgb="FF1155CC"/>
        <sz val="11.0"/>
        <u/>
      </rPr>
      <t>rajashree.jena@cutm.ac.in</t>
    </r>
  </si>
  <si>
    <t>divya k</t>
  </si>
  <si>
    <t>gthiru767@gmail.com</t>
  </si>
  <si>
    <t>madurai</t>
  </si>
  <si>
    <r>
      <rPr>
        <rFont val="Calibri, sans-serif"/>
        <color rgb="FF1155CC"/>
        <sz val="11.0"/>
        <u/>
      </rPr>
      <t>rajashree.jena@cutm.ac.in</t>
    </r>
  </si>
  <si>
    <t>Pradeep Pal</t>
  </si>
  <si>
    <t>erpkbaghel1996@gmail.com</t>
  </si>
  <si>
    <t>Uttarpradesh</t>
  </si>
  <si>
    <t>sitapur</t>
  </si>
  <si>
    <r>
      <rPr>
        <rFont val="Calibri, sans-serif"/>
        <color rgb="FF1155CC"/>
        <sz val="11.0"/>
        <u/>
      </rPr>
      <t>rajashree.jena@cutm.ac.in</t>
    </r>
  </si>
  <si>
    <t>Wants in online mode.</t>
  </si>
  <si>
    <t>Jagan Vijay Vijay</t>
  </si>
  <si>
    <t>jaganvijayadav234@gmail.com</t>
  </si>
  <si>
    <r>
      <rPr>
        <rFont val="Calibri, sans-serif"/>
        <color rgb="FF1155CC"/>
        <sz val="11.0"/>
        <u/>
      </rPr>
      <t>rajashree.jena@cutm.ac.in</t>
    </r>
  </si>
  <si>
    <t>prince verma</t>
  </si>
  <si>
    <t>gajanandverma636@gmail.com</t>
  </si>
  <si>
    <t>Hanumangarh</t>
  </si>
  <si>
    <r>
      <rPr>
        <rFont val="Calibri, sans-serif"/>
        <color rgb="FF1155CC"/>
        <sz val="11.0"/>
        <u/>
      </rPr>
      <t>rajashree.jena@cutm.ac.in</t>
    </r>
  </si>
  <si>
    <t>Not interested/ was looking for some lab training</t>
  </si>
  <si>
    <t>sravan</t>
  </si>
  <si>
    <t>sravankanchi164@gmail.com</t>
  </si>
  <si>
    <t>Telangana state</t>
  </si>
  <si>
    <r>
      <rPr>
        <rFont val="Calibri, sans-serif"/>
        <color rgb="FF1155CC"/>
        <sz val="11.0"/>
        <u/>
      </rPr>
      <t>rajashree.jena@cutm.ac.in</t>
    </r>
  </si>
  <si>
    <t>Banti Chaudhary</t>
  </si>
  <si>
    <t>chaudharybanti282007@gmail.com</t>
  </si>
  <si>
    <t>agra</t>
  </si>
  <si>
    <r>
      <rPr>
        <rFont val="Calibri, sans-serif"/>
        <color rgb="FF1155CC"/>
        <sz val="11.0"/>
        <u/>
      </rPr>
      <t>rajashree.jena@cutm.ac.in</t>
    </r>
  </si>
  <si>
    <t>Sashikanta Naik</t>
  </si>
  <si>
    <t>naiksashikanta752@gmail.com</t>
  </si>
  <si>
    <r>
      <rPr>
        <rFont val="Calibri, sans-serif"/>
        <color rgb="FF1155CC"/>
        <sz val="11.0"/>
        <u/>
      </rPr>
      <t>rajashree.jena@cutm.ac.in</t>
    </r>
  </si>
  <si>
    <t>Anup Sudhakar Kutemate</t>
  </si>
  <si>
    <t>anup1kutemate@gmail.com</t>
  </si>
  <si>
    <t>chandrapur</t>
  </si>
  <si>
    <r>
      <rPr>
        <rFont val="Calibri, sans-serif"/>
        <color rgb="FF1155CC"/>
        <sz val="11.0"/>
        <u/>
      </rPr>
      <t>rajashree.jena@cutm.ac.in</t>
    </r>
  </si>
  <si>
    <t>Mohammad Amer</t>
  </si>
  <si>
    <t>mohammadamer846@gmail.com</t>
  </si>
  <si>
    <t>Mohammad ameer</t>
  </si>
  <si>
    <t>Mahabubnagar</t>
  </si>
  <si>
    <r>
      <rPr>
        <rFont val="Calibri, sans-serif"/>
        <color rgb="FF1155CC"/>
        <sz val="11.0"/>
        <u/>
      </rPr>
      <t>rajashree.jena@cutm.ac.in</t>
    </r>
  </si>
  <si>
    <t>Saurav Suman</t>
  </si>
  <si>
    <t>itzsauravkumar2003@gmail.com</t>
  </si>
  <si>
    <t>Sitamarhi</t>
  </si>
  <si>
    <r>
      <rPr>
        <rFont val="Calibri, sans-serif"/>
        <color rgb="FF1155CC"/>
        <sz val="11.0"/>
        <u/>
      </rPr>
      <t>rajashree.jena@cutm.ac.in</t>
    </r>
  </si>
  <si>
    <t>E Rakesh. 413341</t>
  </si>
  <si>
    <t>emukarakesh18817@gmail.com</t>
  </si>
  <si>
    <t>Emuka rakesh</t>
  </si>
  <si>
    <t>Mahbubnagar</t>
  </si>
  <si>
    <r>
      <rPr>
        <rFont val="Calibri, sans-serif"/>
        <color rgb="FF1155CC"/>
        <sz val="11.0"/>
        <u/>
      </rPr>
      <t>rajashree.jena@cutm.ac.in</t>
    </r>
  </si>
  <si>
    <t>Ajay Singh</t>
  </si>
  <si>
    <t>singzking143@gmail.com</t>
  </si>
  <si>
    <t>details required</t>
  </si>
  <si>
    <t>kurnool</t>
  </si>
  <si>
    <r>
      <rPr>
        <rFont val="Calibri, sans-serif"/>
        <color rgb="FF1155CC"/>
        <sz val="11.0"/>
        <u/>
      </rPr>
      <t>rajashree.jena@cutm.ac.in</t>
    </r>
  </si>
  <si>
    <t>gourav budhwani</t>
  </si>
  <si>
    <t>budhwani.sunny00@gmail.com</t>
  </si>
  <si>
    <t>Burhanpur</t>
  </si>
  <si>
    <r>
      <rPr>
        <rFont val="Calibri, sans-serif"/>
        <color rgb="FF1155CC"/>
        <sz val="11.0"/>
        <u/>
      </rPr>
      <t>rajashree.jena@cutm.ac.in</t>
    </r>
  </si>
  <si>
    <t>Vinod Kumar</t>
  </si>
  <si>
    <t>chatirivinod@yahoo.co.in</t>
  </si>
  <si>
    <t>hyderabad</t>
  </si>
  <si>
    <r>
      <rPr>
        <rFont val="Calibri, sans-serif"/>
        <color rgb="FF1155CC"/>
        <sz val="11.0"/>
        <u/>
      </rPr>
      <t>rajashree.jena@cutm.ac.in</t>
    </r>
  </si>
  <si>
    <t>Mihirsukula</t>
  </si>
  <si>
    <t>mihirsukula725@gmail.com</t>
  </si>
  <si>
    <t>🐄</t>
  </si>
  <si>
    <r>
      <rPr>
        <rFont val="Calibri, sans-serif"/>
        <color rgb="FF1155CC"/>
        <sz val="11.0"/>
        <u/>
      </rPr>
      <t>rajashree.jena@cutm.ac.in</t>
    </r>
  </si>
  <si>
    <t>Piyush_𝙰a𝚗𝚓𝚊𝚗𝚊 .......…..</t>
  </si>
  <si>
    <t>hindupiyush185@gmail.com</t>
  </si>
  <si>
    <t>Jhabua</t>
  </si>
  <si>
    <r>
      <rPr>
        <rFont val="Calibri, sans-serif"/>
        <color rgb="FF1155CC"/>
        <sz val="11.0"/>
        <u/>
      </rPr>
      <t>rajashree.jena@cutm.ac.in</t>
    </r>
  </si>
  <si>
    <t>Sakina Kelawala</t>
  </si>
  <si>
    <t>kelawalavahid@gmail.com</t>
  </si>
  <si>
    <t>sabarkantha</t>
  </si>
  <si>
    <r>
      <rPr>
        <rFont val="Calibri, sans-serif"/>
        <color rgb="FF1155CC"/>
        <sz val="11.0"/>
        <u/>
      </rPr>
      <t>rajashree.jena@cutm.ac.in</t>
    </r>
  </si>
  <si>
    <t>Ali Rifat</t>
  </si>
  <si>
    <t>rifat.ali@live.com</t>
  </si>
  <si>
    <r>
      <rPr>
        <rFont val="Calibri, sans-serif"/>
        <color rgb="FF1155CC"/>
        <sz val="11.0"/>
        <u/>
      </rPr>
      <t>rajashree.jena@cutm.ac.in</t>
    </r>
  </si>
  <si>
    <t>Ramesh Raju Dendukuri</t>
  </si>
  <si>
    <t>ramaraju.dendukuri.12@gmail.com</t>
  </si>
  <si>
    <t>Visakhapatnam</t>
  </si>
  <si>
    <r>
      <rPr>
        <rFont val="Calibri, sans-serif"/>
        <color rgb="FF1155CC"/>
        <sz val="11.0"/>
        <u/>
      </rPr>
      <t>rajashree.jena@cutm.ac.in</t>
    </r>
  </si>
  <si>
    <t>Sabhaya Kumar</t>
  </si>
  <si>
    <t>sabhaybehera6611@gmail.com</t>
  </si>
  <si>
    <t>angul</t>
  </si>
  <si>
    <r>
      <rPr>
        <rFont val="Calibri, sans-serif"/>
        <color rgb="FF1155CC"/>
        <sz val="11.0"/>
        <u/>
      </rPr>
      <t>rajashree.jena@cutm.ac.in</t>
    </r>
  </si>
  <si>
    <t>Sunny Sharma</t>
  </si>
  <si>
    <t>sannykumar819@gmail.com</t>
  </si>
  <si>
    <t>Kaimur</t>
  </si>
  <si>
    <r>
      <rPr>
        <rFont val="Calibri, sans-serif"/>
        <color rgb="FF1155CC"/>
        <sz val="11.0"/>
        <u/>
      </rPr>
      <t>rajashree.jena@cutm.ac.in</t>
    </r>
  </si>
  <si>
    <t>Not Interested/ but is willing to apply next year</t>
  </si>
  <si>
    <t>Md Shabuddin</t>
  </si>
  <si>
    <t>mdshabuddin01754@gmail.com</t>
  </si>
  <si>
    <t>Shab</t>
  </si>
  <si>
    <t>uddin</t>
  </si>
  <si>
    <r>
      <rPr>
        <rFont val="Calibri, sans-serif"/>
        <color rgb="FF1155CC"/>
        <sz val="11.0"/>
        <u/>
      </rPr>
      <t>rajashree.jena@cutm.ac.in</t>
    </r>
  </si>
  <si>
    <t>عشاق الحفره«٠٠٠»🔹</t>
  </si>
  <si>
    <t>arfat447@yahoo.com</t>
  </si>
  <si>
    <t>زةظ</t>
  </si>
  <si>
    <t>Djibouti</t>
  </si>
  <si>
    <r>
      <rPr>
        <rFont val="Calibri, sans-serif"/>
        <color rgb="FF1155CC"/>
        <sz val="11.0"/>
        <u/>
      </rPr>
      <t>rajashree.jena@cutm.ac.in</t>
    </r>
  </si>
  <si>
    <t>Bhag Singh</t>
  </si>
  <si>
    <t>dhagsingh1990@gmail.com</t>
  </si>
  <si>
    <t>herwal gona</t>
  </si>
  <si>
    <t>Tehri-Garhwal</t>
  </si>
  <si>
    <r>
      <rPr>
        <rFont val="Calibri, sans-serif"/>
        <color rgb="FF1155CC"/>
        <sz val="11.0"/>
        <u/>
      </rPr>
      <t>rajashree.jena@cutm.ac.in</t>
    </r>
  </si>
  <si>
    <t>Incoming calls not there</t>
  </si>
  <si>
    <t>Asad Bhatti</t>
  </si>
  <si>
    <t>ch.m.asadbhatti@gmail.com</t>
  </si>
  <si>
    <t>Punjab</t>
  </si>
  <si>
    <r>
      <rPr>
        <rFont val="Calibri, sans-serif"/>
        <color rgb="FF1155CC"/>
        <sz val="11.0"/>
        <u/>
      </rPr>
      <t>rajashree.jena@cutm.ac.in</t>
    </r>
  </si>
  <si>
    <t>Mahalingappa B Shivapur Dhavaleshwar</t>
  </si>
  <si>
    <t>mahalingappabshivapur@gmail.com</t>
  </si>
  <si>
    <t>Karanatak</t>
  </si>
  <si>
    <t>Jamkhandi</t>
  </si>
  <si>
    <r>
      <rPr>
        <rFont val="Calibri, sans-serif"/>
        <color rgb="FF1155CC"/>
        <sz val="11.0"/>
        <u/>
      </rPr>
      <t>rajashree.jena@cutm.ac.in</t>
    </r>
  </si>
  <si>
    <t>Asim Afzal Bhatti</t>
  </si>
  <si>
    <t>aab2001us@yahoo.com</t>
  </si>
  <si>
    <t>Islamabad</t>
  </si>
  <si>
    <r>
      <rPr>
        <rFont val="Calibri, sans-serif"/>
        <color rgb="FF1155CC"/>
        <sz val="11.0"/>
        <u/>
      </rPr>
      <t>rajashree.jena@cutm.ac.in</t>
    </r>
  </si>
  <si>
    <t>Alex Banda</t>
  </si>
  <si>
    <t>198a5l@gmail.com</t>
  </si>
  <si>
    <t>malawi</t>
  </si>
  <si>
    <t>Lilongwe</t>
  </si>
  <si>
    <r>
      <rPr>
        <rFont val="Calibri, sans-serif"/>
        <color rgb="FF1155CC"/>
        <sz val="11.0"/>
        <u/>
      </rPr>
      <t>rajashree.jena@cutm.ac.in</t>
    </r>
  </si>
  <si>
    <t>Olugbenga Emmanuel AWOSIKA</t>
  </si>
  <si>
    <t>constone3130@gmail.com</t>
  </si>
  <si>
    <t>Akure</t>
  </si>
  <si>
    <t>Akure, Ondo State.</t>
  </si>
  <si>
    <r>
      <rPr>
        <rFont val="Calibri, sans-serif"/>
        <color rgb="FF1155CC"/>
        <sz val="11.0"/>
        <u/>
      </rPr>
      <t>rajashree.jena@cutm.ac.in</t>
    </r>
  </si>
  <si>
    <t>Shravan Kumar Yadav</t>
  </si>
  <si>
    <t>shravanydv@gmail.com</t>
  </si>
  <si>
    <t>province number 2</t>
  </si>
  <si>
    <t>Janakpur</t>
  </si>
  <si>
    <r>
      <rPr>
        <rFont val="Calibri, sans-serif"/>
        <color rgb="FF1155CC"/>
        <sz val="11.0"/>
        <u/>
      </rPr>
      <t>rajashree.jena@cutm.ac.in</t>
    </r>
  </si>
  <si>
    <t>Lyes Achat</t>
  </si>
  <si>
    <t>achatlyes@hotmail.com</t>
  </si>
  <si>
    <t>Bejaia</t>
  </si>
  <si>
    <t>bejaia</t>
  </si>
  <si>
    <r>
      <rPr>
        <rFont val="Calibri, sans-serif"/>
        <color rgb="FF1155CC"/>
        <sz val="11.0"/>
        <u/>
      </rPr>
      <t>rajashree.jena@cutm.ac.in</t>
    </r>
  </si>
  <si>
    <t>आनंद</t>
  </si>
  <si>
    <t>anand.sppu@gmail.com</t>
  </si>
  <si>
    <t>neral</t>
  </si>
  <si>
    <r>
      <rPr>
        <rFont val="Calibri, sans-serif"/>
        <color rgb="FF1155CC"/>
        <sz val="11.0"/>
        <u/>
      </rPr>
      <t>rajashree.jena@cutm.ac.in</t>
    </r>
  </si>
  <si>
    <t>Wants to do in online mode</t>
  </si>
  <si>
    <t>Din Taj</t>
  </si>
  <si>
    <t>rashditaj@yahoo.com</t>
  </si>
  <si>
    <t>I HAVE A MAINTAINED BANK STATEMENT</t>
  </si>
  <si>
    <t>Jamshoro</t>
  </si>
  <si>
    <r>
      <rPr>
        <rFont val="Calibri, sans-serif"/>
        <color rgb="FF1155CC"/>
        <sz val="11.0"/>
        <u/>
      </rPr>
      <t>rajashree.jena@cutm.ac.in</t>
    </r>
  </si>
  <si>
    <t>Bhikhu RT</t>
  </si>
  <si>
    <t>rtbikku@gmail.com</t>
  </si>
  <si>
    <t>up</t>
  </si>
  <si>
    <t>Kohalpur</t>
  </si>
  <si>
    <r>
      <rPr>
        <rFont val="Calibri, sans-serif"/>
        <color rgb="FF1155CC"/>
        <sz val="11.0"/>
        <u/>
      </rPr>
      <t>rajashree.jena@cutm.ac.in</t>
    </r>
  </si>
  <si>
    <t>Dalip Kumar Mishra</t>
  </si>
  <si>
    <t>dalipmishra2@gmail.como</t>
  </si>
  <si>
    <r>
      <rPr>
        <rFont val="Calibri, sans-serif"/>
        <color rgb="FF1155CC"/>
        <sz val="11.0"/>
        <u/>
      </rPr>
      <t>rajashree.jena@cutm.ac.in</t>
    </r>
  </si>
  <si>
    <t>sabinaAlim</t>
  </si>
  <si>
    <t>sabinaalim@yahoo.com</t>
  </si>
  <si>
    <t>Pakistan</t>
  </si>
  <si>
    <t>islamabad</t>
  </si>
  <si>
    <r>
      <rPr>
        <rFont val="Calibri, sans-serif"/>
        <color rgb="FF1155CC"/>
        <sz val="11.0"/>
        <u/>
      </rPr>
      <t>rajashree.jena@cutm.ac.in</t>
    </r>
  </si>
  <si>
    <r>
      <rPr>
        <rFont val="Calibri, sans-serif"/>
        <color rgb="FF1155CC"/>
        <sz val="11.0"/>
        <u/>
      </rPr>
      <t>rajashree.jena@cutm.ac.in</t>
    </r>
  </si>
  <si>
    <t>𝙶𝚘𝚍𝚑𝚛𝚊</t>
  </si>
  <si>
    <r>
      <rPr>
        <rFont val="Calibri, sans-serif"/>
        <color rgb="FF1155CC"/>
        <sz val="11.0"/>
        <u/>
      </rPr>
      <t>rajashree.jena@cutm.ac.in</t>
    </r>
  </si>
  <si>
    <t>BS purbasa</t>
  </si>
  <si>
    <t>satyabratamishra813@gmail.com</t>
  </si>
  <si>
    <t>Dr. Bhisma Narayan Rath</t>
  </si>
  <si>
    <t>bnratha@cutm.ac.in</t>
  </si>
  <si>
    <t>sanjaykumarsanjaykumar@mail.com</t>
  </si>
  <si>
    <t>Vasundhara Namta</t>
  </si>
  <si>
    <t>namtachandi@gmail.com</t>
  </si>
  <si>
    <t>Karthik Thalliboyina</t>
  </si>
  <si>
    <t>thalliboyinakarthik@gmail.com</t>
  </si>
  <si>
    <t>akash.jadahv 1435</t>
  </si>
  <si>
    <t>jadahvakash8@gmail.com</t>
  </si>
  <si>
    <t>आकाश</t>
  </si>
  <si>
    <t>prashant jadon</t>
  </si>
  <si>
    <t>jadonprashant73@gmail.com</t>
  </si>
  <si>
    <t>atithi devo Bhava</t>
  </si>
  <si>
    <t>sagarsagar87588@gmail.com</t>
  </si>
  <si>
    <t>Naureen Jannat</t>
  </si>
  <si>
    <t>skjanmahammad2013@gmail.com</t>
  </si>
  <si>
    <t>sadanand bihari 615</t>
  </si>
  <si>
    <t>sadanandkr82@gmail.com</t>
  </si>
  <si>
    <t>Sadanand Kumar</t>
  </si>
  <si>
    <t>Phone Call not picked</t>
  </si>
  <si>
    <t>Anirban Sahu</t>
  </si>
  <si>
    <t>sahumanotosh@gmail.com</t>
  </si>
  <si>
    <t>Prof Anshuman Panda</t>
  </si>
  <si>
    <r>
      <rPr>
        <rFont val="Calibri, sans-serif"/>
        <color rgb="FF1155CC"/>
        <sz val="11.0"/>
        <u/>
      </rPr>
      <t>anshuman.panda@cutm.ac.in</t>
    </r>
  </si>
  <si>
    <t>Interested for B.Pharma (asking regarding hostel fees and total costs involved, and NEET results to come up</t>
  </si>
  <si>
    <t>Amrita Mallick</t>
  </si>
  <si>
    <t>arpitamallick964@gmail.com</t>
  </si>
  <si>
    <r>
      <rPr>
        <rFont val="Calibri, sans-serif"/>
        <color rgb="FF1155CC"/>
        <sz val="11.0"/>
        <u/>
      </rPr>
      <t>anshuman.panda@cutm.ac.in</t>
    </r>
  </si>
  <si>
    <t>Interested in B.Pharma</t>
  </si>
  <si>
    <t>pavan</t>
  </si>
  <si>
    <t>balarajupavan@gmail.com</t>
  </si>
  <si>
    <r>
      <rPr>
        <rFont val="Calibri, sans-serif"/>
        <color rgb="FF1155CC"/>
        <sz val="11.0"/>
        <u/>
      </rPr>
      <t>anshuman.panda@cutm.ac.in</t>
    </r>
  </si>
  <si>
    <t>Has told to call him tomorrow (between 9am to 12pm)</t>
  </si>
  <si>
    <t>J. P. MEITEI</t>
  </si>
  <si>
    <t>nccsdindia@gmail.com</t>
  </si>
  <si>
    <r>
      <rPr>
        <rFont val="Calibri, sans-serif"/>
        <color rgb="FF1155CC"/>
        <sz val="11.0"/>
        <u/>
      </rPr>
      <t>anshuman.panda@cutm.ac.in</t>
    </r>
  </si>
  <si>
    <t>Interested for B.Pharma</t>
  </si>
  <si>
    <t>Malita Kyndiah</t>
  </si>
  <si>
    <t>mpkyndiah@gmail.com</t>
  </si>
  <si>
    <r>
      <rPr>
        <rFont val="Calibri, sans-serif"/>
        <color rgb="FF1155CC"/>
        <sz val="11.0"/>
        <u/>
      </rPr>
      <t>anshuman.panda@cutm.ac.in</t>
    </r>
  </si>
  <si>
    <t>Phone Number invalid</t>
  </si>
  <si>
    <t>Mantosh kumar Sethi</t>
  </si>
  <si>
    <t>Mantoshkumarsethi@gmail.com</t>
  </si>
  <si>
    <r>
      <rPr>
        <rFont val="Calibri, sans-serif"/>
        <color rgb="FF1155CC"/>
        <sz val="11.0"/>
        <u/>
      </rPr>
      <t>anshuman.panda@cutm.ac.in</t>
    </r>
  </si>
  <si>
    <t>Intersted in B.Pharma (Says his age is above 35 years and whether it will be fine)</t>
  </si>
  <si>
    <t>Ashok Singh Advocate councillR</t>
  </si>
  <si>
    <t>ashoksahilpatna@gmail.com</t>
  </si>
  <si>
    <r>
      <rPr>
        <rFont val="Calibri, sans-serif"/>
        <color rgb="FF1155CC"/>
        <sz val="11.0"/>
        <u/>
      </rPr>
      <t>anshuman.panda@cutm.ac.in</t>
    </r>
  </si>
  <si>
    <t>Intersted in Phytopharma (Wants to talk for further details)</t>
  </si>
  <si>
    <t>Abdul Hai Ansari</t>
  </si>
  <si>
    <t>haipharma143@gmail.com</t>
  </si>
  <si>
    <r>
      <rPr>
        <rFont val="Calibri, sans-serif"/>
        <color rgb="FF1155CC"/>
        <sz val="11.0"/>
        <u/>
      </rPr>
      <t>anshuman.panda@cutm.ac.in</t>
    </r>
  </si>
  <si>
    <t>Interested for B.Tech Phytopharma</t>
  </si>
  <si>
    <t>Ram Kishore Easam</t>
  </si>
  <si>
    <t>kishore.dhora@gmail.com</t>
  </si>
  <si>
    <r>
      <rPr>
        <rFont val="Calibri, sans-serif"/>
        <color rgb="FF1155CC"/>
        <sz val="11.0"/>
        <u/>
      </rPr>
      <t>anshuman.panda@cutm.ac.in</t>
    </r>
  </si>
  <si>
    <t>Ashis Kumar satapathy</t>
  </si>
  <si>
    <t>ashissatapathy1975@gmail.com</t>
  </si>
  <si>
    <r>
      <rPr>
        <rFont val="Calibri, sans-serif"/>
        <color rgb="FF1155CC"/>
        <sz val="11.0"/>
        <u/>
      </rPr>
      <t>anshuman.panda@cutm.ac.in</t>
    </r>
  </si>
  <si>
    <t>Phone not picked</t>
  </si>
  <si>
    <t>Satish Kumar S</t>
  </si>
  <si>
    <t>ssatishk157@gmail.com</t>
  </si>
  <si>
    <r>
      <rPr>
        <rFont val="Calibri, sans-serif"/>
        <color rgb="FF1155CC"/>
        <sz val="11.0"/>
        <u/>
      </rPr>
      <t>anshuman.panda@cutm.ac.in</t>
    </r>
  </si>
  <si>
    <t>sarat chandra Behera</t>
  </si>
  <si>
    <t>saratarpita3507@gmail.com</t>
  </si>
  <si>
    <r>
      <rPr>
        <rFont val="Calibri, sans-serif"/>
        <color rgb="FF1155CC"/>
        <sz val="11.0"/>
        <u/>
      </rPr>
      <t>anshuman.panda@cutm.ac.in</t>
    </r>
  </si>
  <si>
    <t>Interested for B.Pharma in BBSR campus</t>
  </si>
  <si>
    <t>Dhiraj KUMAR</t>
  </si>
  <si>
    <t>igimt9431@gmail.com</t>
  </si>
  <si>
    <r>
      <rPr>
        <rFont val="Calibri, sans-serif"/>
        <color rgb="FF1155CC"/>
        <sz val="11.0"/>
        <u/>
      </rPr>
      <t>anshuman.panda@cutm.ac.in</t>
    </r>
  </si>
  <si>
    <t>Number showing as "Star Health Diagnostic Centre"</t>
  </si>
  <si>
    <t>Akruti Naik</t>
  </si>
  <si>
    <t>patelanjali1133@gmail.com</t>
  </si>
  <si>
    <r>
      <rPr>
        <rFont val="Calibri, sans-serif"/>
        <color rgb="FF1155CC"/>
        <sz val="11.0"/>
        <u/>
      </rPr>
      <t>anshuman.panda@cutm.ac.in</t>
    </r>
  </si>
  <si>
    <t>Interested in B.Tech CSE (Not in Phytopharma and Pharmacy)</t>
  </si>
  <si>
    <t>Ali</t>
  </si>
  <si>
    <t>aliakhtarbharat@gmail.com</t>
  </si>
  <si>
    <r>
      <rPr>
        <rFont val="Calibri, sans-serif"/>
        <color rgb="FF1155CC"/>
        <sz val="11.0"/>
        <u/>
      </rPr>
      <t>anshuman.panda@cutm.ac.in</t>
    </r>
  </si>
  <si>
    <t>Sai Charan muppidi</t>
  </si>
  <si>
    <t>vinodkumarmuppidi9@gmail.com</t>
  </si>
  <si>
    <r>
      <rPr>
        <rFont val="Calibri, sans-serif"/>
        <color rgb="FF1155CC"/>
        <sz val="11.0"/>
        <u/>
      </rPr>
      <t>anshuman.panda@cutm.ac.in</t>
    </r>
  </si>
  <si>
    <t>Admissions over in another college</t>
  </si>
  <si>
    <t>G.Sathyanarayana</t>
  </si>
  <si>
    <t>sathya9133@gmail.com</t>
  </si>
  <si>
    <r>
      <rPr>
        <rFont val="Calibri, sans-serif"/>
        <color rgb="FF1155CC"/>
        <sz val="11.0"/>
        <u/>
      </rPr>
      <t>anshuman.panda@cutm.ac.in</t>
    </r>
  </si>
  <si>
    <t>Phone Number not existing</t>
  </si>
  <si>
    <t>Ranjan kumar Panda</t>
  </si>
  <si>
    <t>ranjankrpanda@gmail.com</t>
  </si>
  <si>
    <r>
      <rPr>
        <rFont val="Calibri, sans-serif"/>
        <color rgb="FF1155CC"/>
        <sz val="11.0"/>
        <u/>
      </rPr>
      <t>anshuman.panda@cutm.ac.in</t>
    </r>
  </si>
  <si>
    <t>Interested for B.Tech ECE (Not for Phytopharma and Pharmacy)</t>
  </si>
  <si>
    <t>Vijay Sharma</t>
  </si>
  <si>
    <t>vijay005@gmail.com</t>
  </si>
  <si>
    <r>
      <rPr>
        <rFont val="Calibri, sans-serif"/>
        <color rgb="FF1155CC"/>
        <sz val="11.0"/>
        <u/>
      </rPr>
      <t>anshuman.panda@cutm.ac.in</t>
    </r>
  </si>
  <si>
    <t>katari Bharathi</t>
  </si>
  <si>
    <t>kvasu866@gmail.com</t>
  </si>
  <si>
    <r>
      <rPr>
        <rFont val="Calibri, sans-serif"/>
        <color rgb="FF1155CC"/>
        <sz val="11.0"/>
        <u/>
      </rPr>
      <t>anshuman.panda@cutm.ac.in</t>
    </r>
  </si>
  <si>
    <t>xchakrbrty</t>
  </si>
  <si>
    <t>x@m.in</t>
  </si>
  <si>
    <r>
      <rPr>
        <rFont val="Calibri, sans-serif"/>
        <color rgb="FF1155CC"/>
        <sz val="11.0"/>
        <u/>
      </rPr>
      <t>anshuman.panda@cutm.ac.in</t>
    </r>
  </si>
  <si>
    <t>sarfraj</t>
  </si>
  <si>
    <t>sadikasahin84@gmail.com</t>
  </si>
  <si>
    <r>
      <rPr>
        <rFont val="Calibri, sans-serif"/>
        <color rgb="FF1155CC"/>
        <sz val="11.0"/>
        <u/>
      </rPr>
      <t>anshuman.panda@cutm.ac.in</t>
    </r>
  </si>
  <si>
    <t>Incoming calls not going in this phone</t>
  </si>
  <si>
    <t>Khan</t>
  </si>
  <si>
    <t>mdmuskan967@gmail.com</t>
  </si>
  <si>
    <r>
      <rPr>
        <rFont val="Calibri, sans-serif"/>
        <color rgb="FF1155CC"/>
        <sz val="11.0"/>
        <u/>
      </rPr>
      <t>anshuman.panda@cutm.ac.in</t>
    </r>
  </si>
  <si>
    <t>chandan_singh_Hitlar shani</t>
  </si>
  <si>
    <t>chandankumarbabu1215@gmail.com</t>
  </si>
  <si>
    <r>
      <rPr>
        <rFont val="Calibri, sans-serif"/>
        <color rgb="FF1155CC"/>
        <sz val="11.0"/>
        <u/>
      </rPr>
      <t>anshuman.panda@cutm.ac.in</t>
    </r>
  </si>
  <si>
    <t>Phone call not picked</t>
  </si>
  <si>
    <t>Bhanu Bhanu</t>
  </si>
  <si>
    <t>guduricherry3@gmail.com</t>
  </si>
  <si>
    <t>Chilakaluripet</t>
  </si>
  <si>
    <r>
      <rPr>
        <rFont val="Calibri, sans-serif"/>
        <color rgb="FF1155CC"/>
        <sz val="11.0"/>
        <u/>
      </rPr>
      <t>anshuman.panda@cutm.ac.in</t>
    </r>
  </si>
  <si>
    <t>Jaykvmar Jaykvmar</t>
  </si>
  <si>
    <t>yadavji1234654@gmail.com</t>
  </si>
  <si>
    <t>यादव जी</t>
  </si>
  <si>
    <t>यादव जी यादव जी</t>
  </si>
  <si>
    <r>
      <rPr>
        <rFont val="Calibri, sans-serif"/>
        <color rgb="FF1155CC"/>
        <sz val="11.0"/>
        <u/>
      </rPr>
      <t>anshuman.panda@cutm.ac.in</t>
    </r>
  </si>
  <si>
    <t>pooja bairwa 2717</t>
  </si>
  <si>
    <t>poojabairwa01t@gmail.com</t>
  </si>
  <si>
    <t>Pooja</t>
  </si>
  <si>
    <r>
      <rPr>
        <rFont val="Calibri, sans-serif"/>
        <color rgb="FF1155CC"/>
        <sz val="11.0"/>
        <u/>
      </rPr>
      <t>anshuman.panda@cutm.ac.in</t>
    </r>
  </si>
  <si>
    <t>Musa Marah</t>
  </si>
  <si>
    <t>abduliamusamarah1@gmail.com</t>
  </si>
  <si>
    <r>
      <rPr>
        <rFont val="Calibri, sans-serif"/>
        <color rgb="FF1155CC"/>
        <sz val="11.0"/>
        <u/>
      </rPr>
      <t>anshuman.panda@cutm.ac.in</t>
    </r>
  </si>
  <si>
    <t>Mrhosam Salam</t>
  </si>
  <si>
    <t>hslaam5556@gmail.com</t>
  </si>
  <si>
    <t>10th of asher</t>
  </si>
  <si>
    <r>
      <rPr>
        <rFont val="Calibri, sans-serif"/>
        <color rgb="FF1155CC"/>
        <sz val="11.0"/>
        <u/>
      </rPr>
      <t>anshuman.panda@cutm.ac.in</t>
    </r>
  </si>
  <si>
    <t>Atif Rashid</t>
  </si>
  <si>
    <t>atifhilton@yahoo.com</t>
  </si>
  <si>
    <r>
      <rPr>
        <rFont val="Calibri, sans-serif"/>
        <color rgb="FF1155CC"/>
        <sz val="11.0"/>
        <u/>
      </rPr>
      <t>anshuman.panda@cutm.ac.in</t>
    </r>
  </si>
  <si>
    <t>Emmanuel Mendes Mba</t>
  </si>
  <si>
    <t>mendesmbae@gmail.com</t>
  </si>
  <si>
    <r>
      <rPr>
        <rFont val="Calibri, sans-serif"/>
        <color rgb="FF1155CC"/>
        <sz val="11.0"/>
        <u/>
      </rPr>
      <t>anshuman.panda@cutm.ac.in</t>
    </r>
  </si>
  <si>
    <t>Molebi Seretse</t>
  </si>
  <si>
    <t>msseretse@gmail.com</t>
  </si>
  <si>
    <r>
      <rPr>
        <rFont val="Calibri, sans-serif"/>
        <color rgb="FF1155CC"/>
        <sz val="11.0"/>
        <u/>
      </rPr>
      <t>anshuman.panda@cutm.ac.in</t>
    </r>
  </si>
  <si>
    <t>Salah Triki</t>
  </si>
  <si>
    <t>salah_triki@yahoo.fr</t>
  </si>
  <si>
    <r>
      <rPr>
        <rFont val="Calibri, sans-serif"/>
        <color rgb="FF1155CC"/>
        <sz val="11.0"/>
        <u/>
      </rPr>
      <t>anshuman.panda@cutm.ac.in</t>
    </r>
  </si>
  <si>
    <t>WAHYUDHY RYOZASHA SITANGGANG</t>
  </si>
  <si>
    <t>wahyudhy521@sma.belajar.id</t>
  </si>
  <si>
    <r>
      <rPr>
        <rFont val="Calibri, sans-serif"/>
        <color rgb="FF1155CC"/>
        <sz val="11.0"/>
        <u/>
      </rPr>
      <t>anshuman.panda@cutm.ac.in</t>
    </r>
  </si>
  <si>
    <t>sweety Nayak</t>
  </si>
  <si>
    <t>sweetyn311@gmail.com</t>
  </si>
  <si>
    <t>Tangi</t>
  </si>
  <si>
    <r>
      <rPr>
        <rFont val="Calibri, sans-serif"/>
        <color rgb="FF1155CC"/>
        <sz val="11.0"/>
        <u/>
      </rPr>
      <t>anshuman.panda@cutm.ac.in</t>
    </r>
  </si>
  <si>
    <t>SABARISH C</t>
  </si>
  <si>
    <t>chinnluna2020@gmail.com</t>
  </si>
  <si>
    <t>Chennai</t>
  </si>
  <si>
    <r>
      <rPr>
        <rFont val="Calibri, sans-serif"/>
        <color rgb="FF1155CC"/>
        <sz val="11.0"/>
        <u/>
      </rPr>
      <t>anshuman.panda@cutm.ac.in</t>
    </r>
  </si>
  <si>
    <t>Interested in Phytopharma. Wants details regarding fees structure and hostel fees. Kindly call and inform him after 4pm regarding this (as his son would be free at that time). I have sent him the brochure</t>
  </si>
  <si>
    <t>dipen</t>
  </si>
  <si>
    <t>ceo@chance.edu.np</t>
  </si>
  <si>
    <r>
      <rPr>
        <rFont val="Calibri, sans-serif"/>
        <color rgb="FF1155CC"/>
        <sz val="11.0"/>
        <u/>
      </rPr>
      <t>anshuman.panda@cutm.ac.in</t>
    </r>
  </si>
  <si>
    <t>out of India</t>
  </si>
  <si>
    <t>Micha3l</t>
  </si>
  <si>
    <t>michaeldanielmbaban@gmail.com</t>
  </si>
  <si>
    <t>Geita</t>
  </si>
  <si>
    <r>
      <rPr>
        <rFont val="Calibri, sans-serif"/>
        <color rgb="FF1155CC"/>
        <sz val="11.0"/>
        <u/>
      </rPr>
      <t>anshuman.panda@cutm.ac.in</t>
    </r>
  </si>
  <si>
    <t>Sofiane</t>
  </si>
  <si>
    <t>sofiane.dany25@gmail.com</t>
  </si>
  <si>
    <t>Constantine</t>
  </si>
  <si>
    <r>
      <rPr>
        <rFont val="Calibri, sans-serif"/>
        <color rgb="FF1155CC"/>
        <sz val="11.0"/>
        <u/>
      </rPr>
      <t>anshuman.panda@cutm.ac.in</t>
    </r>
  </si>
  <si>
    <t>Asahb</t>
  </si>
  <si>
    <t>ritikk60930@gmail.com</t>
  </si>
  <si>
    <t>Jaipur</t>
  </si>
  <si>
    <r>
      <rPr>
        <rFont val="Calibri, sans-serif"/>
        <color rgb="FF1155CC"/>
        <sz val="11.0"/>
        <u/>
      </rPr>
      <t>anshuman.panda@cutm.ac.in</t>
    </r>
  </si>
  <si>
    <t>Mohammad Atifur</t>
  </si>
  <si>
    <t>waheadsips@gmail.com</t>
  </si>
  <si>
    <t>𝗱𝗵𝗮𝗸𝗮</t>
  </si>
  <si>
    <r>
      <rPr>
        <rFont val="Calibri, sans-serif"/>
        <color rgb="FF1155CC"/>
        <sz val="11.0"/>
        <u/>
      </rPr>
      <t>anshuman.panda@cutm.ac.in</t>
    </r>
  </si>
  <si>
    <t>Alfred Sichali</t>
  </si>
  <si>
    <t>sichalialfred@yahoo.com</t>
  </si>
  <si>
    <r>
      <rPr>
        <rFont val="Calibri, sans-serif"/>
        <color rgb="FF1155CC"/>
        <sz val="11.0"/>
        <u/>
      </rPr>
      <t>anshuman.panda@cutm.ac.in</t>
    </r>
  </si>
  <si>
    <t>Poly</t>
  </si>
  <si>
    <t>Anto_pauly@yahoo.com</t>
  </si>
  <si>
    <r>
      <rPr>
        <rFont val="Calibri, sans-serif"/>
        <color rgb="FF1155CC"/>
        <sz val="11.0"/>
        <u/>
      </rPr>
      <t>anshuman.panda@cutm.ac.in</t>
    </r>
  </si>
  <si>
    <t>Ahsan Ul Haq Yazdani</t>
  </si>
  <si>
    <t>aimstechem@yahoo.com</t>
  </si>
  <si>
    <r>
      <rPr>
        <rFont val="Calibri, sans-serif"/>
        <color rgb="FF1155CC"/>
        <sz val="11.0"/>
        <u/>
      </rPr>
      <t>anshuman.panda@cutm.ac.in</t>
    </r>
  </si>
  <si>
    <t>Emad Ezzat</t>
  </si>
  <si>
    <t>Azzeremad@yahoo.com</t>
  </si>
  <si>
    <r>
      <rPr>
        <rFont val="Calibri, sans-serif"/>
        <color rgb="FF1155CC"/>
        <sz val="11.0"/>
        <u/>
      </rPr>
      <t>anshuman.panda@cutm.ac.in</t>
    </r>
  </si>
  <si>
    <t>Abdur Rauf Bhuiyan</t>
  </si>
  <si>
    <t>nlcmedu13@gmail.com</t>
  </si>
  <si>
    <t>Sylhet Sadar</t>
  </si>
  <si>
    <r>
      <rPr>
        <rFont val="Calibri, sans-serif"/>
        <color rgb="FF1155CC"/>
        <sz val="11.0"/>
        <u/>
      </rPr>
      <t>anshuman.panda@cutm.ac.in</t>
    </r>
  </si>
  <si>
    <t>Somcebo KaLomantinyela Zondi</t>
  </si>
  <si>
    <t>zwelibanzi972@gmail.com</t>
  </si>
  <si>
    <r>
      <rPr>
        <rFont val="Calibri, sans-serif"/>
        <color rgb="FF1155CC"/>
        <sz val="11.0"/>
        <u/>
      </rPr>
      <t>anshuman.panda@cutm.ac.in</t>
    </r>
  </si>
  <si>
    <t>Lozamariam Meaza</t>
  </si>
  <si>
    <t>lohik0879@gmail.com</t>
  </si>
  <si>
    <r>
      <rPr>
        <rFont val="Calibri, sans-serif"/>
        <color rgb="FF1155CC"/>
        <sz val="11.0"/>
        <u/>
      </rPr>
      <t>anshuman.panda@cutm.ac.in</t>
    </r>
  </si>
  <si>
    <t>Ximbi Didier Yava</t>
  </si>
  <si>
    <t>dximbiyava@gmail.com</t>
  </si>
  <si>
    <t>Ca</t>
  </si>
  <si>
    <r>
      <rPr>
        <rFont val="Calibri, sans-serif"/>
        <color rgb="FF1155CC"/>
        <sz val="11.0"/>
        <u/>
      </rPr>
      <t>anshuman.panda@cutm.ac.in</t>
    </r>
  </si>
  <si>
    <t>Yaw Assan</t>
  </si>
  <si>
    <t>yawassanity@yahoo.com</t>
  </si>
  <si>
    <r>
      <rPr>
        <rFont val="Calibri, sans-serif"/>
        <color rgb="FF1155CC"/>
        <sz val="11.0"/>
        <u/>
      </rPr>
      <t>anshuman.panda@cutm.ac.in</t>
    </r>
  </si>
  <si>
    <t>John Corbally Takae</t>
  </si>
  <si>
    <t>johntakae7@gmail.com</t>
  </si>
  <si>
    <r>
      <rPr>
        <rFont val="Calibri, sans-serif"/>
        <color rgb="FF1155CC"/>
        <sz val="11.0"/>
        <u/>
      </rPr>
      <t>anshuman.panda@cutm.ac.in</t>
    </r>
  </si>
  <si>
    <t>Mubarak Seinu Adam</t>
  </si>
  <si>
    <t>mseinu@gail.com</t>
  </si>
  <si>
    <r>
      <rPr>
        <rFont val="Calibri, sans-serif"/>
        <color rgb="FF1155CC"/>
        <sz val="11.0"/>
        <u/>
      </rPr>
      <t>anshuman.panda@cutm.ac.in</t>
    </r>
  </si>
  <si>
    <t>Sheraz Balouch</t>
  </si>
  <si>
    <t>sherazfarid@gmail.com</t>
  </si>
  <si>
    <r>
      <rPr>
        <rFont val="Calibri, sans-serif"/>
        <color rgb="FF1155CC"/>
        <sz val="11.0"/>
        <u/>
      </rPr>
      <t>anshuman.panda@cutm.ac.in</t>
    </r>
  </si>
  <si>
    <t>Fatimé Alain De Rozario</t>
  </si>
  <si>
    <t>fatimealain995@gmail.com</t>
  </si>
  <si>
    <t>Université</t>
  </si>
  <si>
    <r>
      <rPr>
        <rFont val="Calibri, sans-serif"/>
        <color rgb="FF1155CC"/>
        <sz val="11.0"/>
        <u/>
      </rPr>
      <t>anshuman.panda@cutm.ac.in</t>
    </r>
  </si>
  <si>
    <t>Disang Nathan</t>
  </si>
  <si>
    <t>disboy003@gmail.com</t>
  </si>
  <si>
    <r>
      <rPr>
        <rFont val="Calibri, sans-serif"/>
        <color rgb="FF1155CC"/>
        <sz val="11.0"/>
        <u/>
      </rPr>
      <t>anshuman.panda@cutm.ac.in</t>
    </r>
  </si>
  <si>
    <t>Lenes Mamarara</t>
  </si>
  <si>
    <t>lenesmamarara02@gmail.com</t>
  </si>
  <si>
    <r>
      <rPr>
        <rFont val="Calibri, sans-serif"/>
        <color rgb="FF1155CC"/>
        <sz val="11.0"/>
        <u/>
      </rPr>
      <t>anshuman.panda@cutm.ac.in</t>
    </r>
  </si>
  <si>
    <t>Arjun Kushwaha</t>
  </si>
  <si>
    <t>ak1802799@gmail.com</t>
  </si>
  <si>
    <r>
      <rPr>
        <rFont val="Calibri, sans-serif"/>
        <color rgb="FF1155CC"/>
        <sz val="11.0"/>
        <u/>
      </rPr>
      <t>anshuman.panda@cutm.ac.in</t>
    </r>
  </si>
  <si>
    <t>Will inform Arjun to call back when he comes (as told by his relative)</t>
  </si>
  <si>
    <t>Rajiv Kumar</t>
  </si>
  <si>
    <t>kumarrajger52@gmail.com</t>
  </si>
  <si>
    <t>bhiar</t>
  </si>
  <si>
    <r>
      <rPr>
        <rFont val="Calibri, sans-serif"/>
        <color rgb="FF1155CC"/>
        <sz val="11.0"/>
        <u/>
      </rPr>
      <t>anshuman.panda@cutm.ac.in</t>
    </r>
  </si>
  <si>
    <t>Phone call not picked up</t>
  </si>
  <si>
    <t>Kshirod Behera</t>
  </si>
  <si>
    <t>kshirodbehera1986@gmail.com</t>
  </si>
  <si>
    <r>
      <rPr>
        <rFont val="Calibri, sans-serif"/>
        <color rgb="FF1155CC"/>
        <sz val="11.0"/>
        <u/>
      </rPr>
      <t>anshuman.panda@cutm.ac.in</t>
    </r>
  </si>
  <si>
    <t>Kapil Mahato</t>
  </si>
  <si>
    <t>kapilkumar77313@gmail.com</t>
  </si>
  <si>
    <t>Dr Bhadram Kalyan Chekarverthy</t>
  </si>
  <si>
    <t>bkalyan.chekraverthy@cutm.ac.in</t>
  </si>
  <si>
    <t>Says he is non-metric</t>
  </si>
  <si>
    <t>Guddu Sarkar</t>
  </si>
  <si>
    <t>gudduahir9900@gmail.com</t>
  </si>
  <si>
    <t>Guddu</t>
  </si>
  <si>
    <t>Santanu Das</t>
  </si>
  <si>
    <t>sd6382259@gmail.com</t>
  </si>
  <si>
    <t>Port Blair</t>
  </si>
  <si>
    <t>ramesh chandra parida</t>
  </si>
  <si>
    <t>amitparida91@gmail.com</t>
  </si>
  <si>
    <t>Says his son is studying in Centurion University (4th year)</t>
  </si>
  <si>
    <t>Sintoo Kumar</t>
  </si>
  <si>
    <t>sk8259590@gmail.com</t>
  </si>
  <si>
    <t>Arirea</t>
  </si>
  <si>
    <t>Sazeer Khan</t>
  </si>
  <si>
    <t>sazeerkhan9@gmail.com</t>
  </si>
  <si>
    <t>Bhaktapriya Satpathy</t>
  </si>
  <si>
    <t>santilatadebata7@gmail.com</t>
  </si>
  <si>
    <t>Salipur</t>
  </si>
  <si>
    <t>Jubaraj Adhikary</t>
  </si>
  <si>
    <t>jubarajadhikary@gmail.com</t>
  </si>
  <si>
    <t>Daringbadi</t>
  </si>
  <si>
    <t>Will talk to son and inform about admissions in CUTM</t>
  </si>
  <si>
    <t>Gaurav Singhaniya</t>
  </si>
  <si>
    <t>gauravsinghaniya78@gmail.com</t>
  </si>
  <si>
    <t>Dr. Santosh D.T.</t>
  </si>
  <si>
    <t>santosh.dt@cutm.ac.in</t>
  </si>
  <si>
    <t>Prashanth Reddy</t>
  </si>
  <si>
    <t>p93391962@gmail.com</t>
  </si>
  <si>
    <t>Not Interested inB.Tech. Ag., interested in B.Sc. Ag.</t>
  </si>
  <si>
    <t>Shwashata Ghosh</t>
  </si>
  <si>
    <t>shwashataghosh9@gmail.com</t>
  </si>
  <si>
    <t xml:space="preserve">Not Reachable  </t>
  </si>
  <si>
    <t>Not lifting call</t>
  </si>
  <si>
    <t>Bandhavya Gowda</t>
  </si>
  <si>
    <t>bandurishirishi@gmail.com</t>
  </si>
  <si>
    <t>Roshini</t>
  </si>
  <si>
    <t>loganathansubramanian19@gmail.com</t>
  </si>
  <si>
    <t>Sujanpreet Behera</t>
  </si>
  <si>
    <t>sujanpreetb@gmail.com</t>
  </si>
  <si>
    <t>Showed interest</t>
  </si>
  <si>
    <t>Mohana Rana</t>
  </si>
  <si>
    <t>mohanrana1971@gmail.com</t>
  </si>
  <si>
    <t>Vishak</t>
  </si>
  <si>
    <t>vishakmeenakshi04@gmail.com</t>
  </si>
  <si>
    <t>Shubham Bodhale</t>
  </si>
  <si>
    <t>santoshbodhale93@gmail.com</t>
  </si>
  <si>
    <t>Soumita Choudhury</t>
  </si>
  <si>
    <t>choudhurysoumita73@gmail.com</t>
  </si>
  <si>
    <t>Student sister is from CUTM, PKD students. Interested</t>
  </si>
  <si>
    <t>Abhishek Verma</t>
  </si>
  <si>
    <t>abhishekvermalhp97@gmail.com</t>
  </si>
  <si>
    <t>Aditya Kumar</t>
  </si>
  <si>
    <t>theadityar94@gmail.com</t>
  </si>
  <si>
    <t>Vishnu</t>
  </si>
  <si>
    <t>vishnukorra15@gmail.com</t>
  </si>
  <si>
    <t>ravikumar.mvn123@gmail.com</t>
  </si>
  <si>
    <t>Sachidananda Swain</t>
  </si>
  <si>
    <t>swain2pratyush@gmail.com</t>
  </si>
  <si>
    <t>Vijay Kumar Meghwal</t>
  </si>
  <si>
    <t>vijayraikuwar@gmail.com</t>
  </si>
  <si>
    <t>Annem Ramakrishna</t>
  </si>
  <si>
    <t>Suryapet</t>
  </si>
  <si>
    <t>Showed interest for B.Sc. Ag.</t>
  </si>
  <si>
    <t>Ananya</t>
  </si>
  <si>
    <t>athmakuriananya829@gmail.com</t>
  </si>
  <si>
    <t>Switch off</t>
  </si>
  <si>
    <t>Honey Haven</t>
  </si>
  <si>
    <t>rashmipriyamanu@gmail.com</t>
  </si>
  <si>
    <t>Not Lifting call</t>
  </si>
  <si>
    <t>Yogitha KR</t>
  </si>
  <si>
    <t>yogithakr0@gmail.com</t>
  </si>
  <si>
    <t>Aryan Padhan</t>
  </si>
  <si>
    <t>kishorpadhan78@gmail.com</t>
  </si>
  <si>
    <t>Rajkishore Naik</t>
  </si>
  <si>
    <t>rkn3578@gmail.com</t>
  </si>
  <si>
    <t>Distance issue, If we done proper follow up it can be converted to admission</t>
  </si>
  <si>
    <t>Prajwal Doddmane</t>
  </si>
  <si>
    <t>prajwaldoddmane6@gmail.com</t>
  </si>
  <si>
    <t>Pinki Nayak</t>
  </si>
  <si>
    <t>pn9445228@gmail.com</t>
  </si>
  <si>
    <t>Not Lifting</t>
  </si>
  <si>
    <t>Suraj Behera</t>
  </si>
  <si>
    <t>dasharatabehera43@gmail.com</t>
  </si>
  <si>
    <t>Not lifting</t>
  </si>
  <si>
    <t>Malakangiri</t>
  </si>
  <si>
    <t>Saturday (CUTM, Rayagada), Malakangiri</t>
  </si>
  <si>
    <t>Manasa S Naik</t>
  </si>
  <si>
    <t>mangala72595@gmail.com</t>
  </si>
  <si>
    <t>Harihar Barik</t>
  </si>
  <si>
    <t>hariharbarik00@gmail.com</t>
  </si>
  <si>
    <t>Swaraj Dansana</t>
  </si>
  <si>
    <t>swarajdansana@gmail.com</t>
  </si>
  <si>
    <t>DARWIN A</t>
  </si>
  <si>
    <t>darwin12wib@gmail.com</t>
  </si>
  <si>
    <t>Priyaranjan Mohapatra</t>
  </si>
  <si>
    <t>priyaranjanmohapatra1995@gmail.com</t>
  </si>
  <si>
    <t>Ayush Gowda</t>
  </si>
  <si>
    <t>c67397757@gmail.com</t>
  </si>
  <si>
    <t>Rock Star</t>
  </si>
  <si>
    <t>Not answered</t>
  </si>
  <si>
    <t>Bosubabu Patteti</t>
  </si>
  <si>
    <t>bosu668@yahoo.cim</t>
  </si>
  <si>
    <t>Pavan R Jadhav</t>
  </si>
  <si>
    <t>jadhavpavan7057@gmail.com</t>
  </si>
  <si>
    <t>Jalna</t>
  </si>
  <si>
    <t>Settu Rithish</t>
  </si>
  <si>
    <t>setturithish2008@gmail.com</t>
  </si>
  <si>
    <t>Yakesh S R K</t>
  </si>
  <si>
    <t>rkyakesh95@gmail.com</t>
  </si>
  <si>
    <t>Thiruvarur</t>
  </si>
  <si>
    <t>T Puja</t>
  </si>
  <si>
    <t>reddymohant20@gmail.com</t>
  </si>
  <si>
    <t>Nagesh Mapari</t>
  </si>
  <si>
    <t>nageshmapari3810@gmail.com</t>
  </si>
  <si>
    <t>Tuloo Bhai</t>
  </si>
  <si>
    <t>achintyaprasad@ymail.com</t>
  </si>
  <si>
    <t>Subham Srichandan</t>
  </si>
  <si>
    <t>srichandansubham7@gmail.com</t>
  </si>
  <si>
    <t>Interested for B.Sc.Ag.</t>
  </si>
  <si>
    <t>Muruli Krishna</t>
  </si>
  <si>
    <t>mgollarahatti@gmail.com</t>
  </si>
  <si>
    <t>Tumkur</t>
  </si>
  <si>
    <t>Prabir Kumar Gorain</t>
  </si>
  <si>
    <t>prabirgorain75@gmail.com</t>
  </si>
  <si>
    <t>Manoj</t>
  </si>
  <si>
    <t>rsomu8333078601@gmail.com</t>
  </si>
  <si>
    <t>Chittoor</t>
  </si>
  <si>
    <t>Kendrapara</t>
  </si>
  <si>
    <t>B.Sc. Ag.</t>
  </si>
  <si>
    <t>Gulshan Kumar Sah</t>
  </si>
  <si>
    <t>gulshangyan2005@gmail.com</t>
  </si>
  <si>
    <t>M.Tech. Farm Machinery</t>
  </si>
  <si>
    <t>Somanath Kumbhar</t>
  </si>
  <si>
    <t>somanathk3@gmail.com</t>
  </si>
  <si>
    <t>Bargarh</t>
  </si>
  <si>
    <t>Not Answered</t>
  </si>
  <si>
    <t>Vishnu Kumar</t>
  </si>
  <si>
    <t>vishnunwd45@gmail.com</t>
  </si>
  <si>
    <t>Nawada</t>
  </si>
  <si>
    <t>Janhavi</t>
  </si>
  <si>
    <t>tjanhavi52@gmail.com</t>
  </si>
  <si>
    <t>Bastar</t>
  </si>
  <si>
    <t>Srinivas Gowda</t>
  </si>
  <si>
    <t>gowdarajendra883@gmail.com</t>
  </si>
  <si>
    <t>Kolar</t>
  </si>
  <si>
    <t>Rahul</t>
  </si>
  <si>
    <t>berlinrio340@gmail.com</t>
  </si>
  <si>
    <t>Manda Chetan</t>
  </si>
  <si>
    <t>mandasuri@007gmail.com</t>
  </si>
  <si>
    <t>Tanuku</t>
  </si>
  <si>
    <t>Details required - Hot lead follow up</t>
  </si>
  <si>
    <t>Harish Bhuyan</t>
  </si>
  <si>
    <t>bhuyanharish411@gmail.com</t>
  </si>
  <si>
    <t>B.Tech. CSE - Sent to BBS</t>
  </si>
  <si>
    <t>Abhijit Nath</t>
  </si>
  <si>
    <t>surajnath7086@gmail.com</t>
  </si>
  <si>
    <t>Morigaon</t>
  </si>
  <si>
    <t>Sujit Baliarsingh</t>
  </si>
  <si>
    <t>sujitbaliarshing974@gmail.com</t>
  </si>
  <si>
    <t>Banpur</t>
  </si>
  <si>
    <t>Details required - Sent to BBS</t>
  </si>
  <si>
    <t>Rohit Singh</t>
  </si>
  <si>
    <t>rohituit25@gmail.com</t>
  </si>
  <si>
    <t>Consultant - Sent fees structure</t>
  </si>
  <si>
    <t>Demudunaidu</t>
  </si>
  <si>
    <t>nchandu550@gmail.com</t>
  </si>
  <si>
    <t>Abhishek Krishna</t>
  </si>
  <si>
    <t>abhi.krishna@3891.gmai.com</t>
  </si>
  <si>
    <t>Katihar</t>
  </si>
  <si>
    <t>Praveen</t>
  </si>
  <si>
    <t>praveenbaba8688@gmail.com</t>
  </si>
  <si>
    <t>Sormar</t>
  </si>
  <si>
    <t>Anang Mohapatra</t>
  </si>
  <si>
    <t>anangamanjari1980@gmail.com</t>
  </si>
  <si>
    <t>Puri</t>
  </si>
  <si>
    <t>B.SC. Ag. - Sent to MSSoA</t>
  </si>
  <si>
    <t>Sonu Kumar</t>
  </si>
  <si>
    <t>sk8175590@gmail.com</t>
  </si>
  <si>
    <t>Nalanda</t>
  </si>
  <si>
    <t>Surendra Bag</t>
  </si>
  <si>
    <t>surendrabag311@gmail.com</t>
  </si>
  <si>
    <t>Radha Radha</t>
  </si>
  <si>
    <t>vivekviratsinghctp977@gmail.com</t>
  </si>
  <si>
    <t>Chhatapur</t>
  </si>
  <si>
    <t>Chandra Beta</t>
  </si>
  <si>
    <t>murmu97966@gmail.com</t>
  </si>
  <si>
    <t>Mayurbhanj</t>
  </si>
  <si>
    <t>Diploma want to do next year</t>
  </si>
  <si>
    <t>Chandan Nandi</t>
  </si>
  <si>
    <t>chandan.nandipur@gmail.com</t>
  </si>
  <si>
    <t>Call not received</t>
  </si>
  <si>
    <t>Kalyan Roy</t>
  </si>
  <si>
    <t>kr4233643@gmail.com</t>
  </si>
  <si>
    <t>Mansur Alam</t>
  </si>
  <si>
    <t>mdmansuralam25038@gmail.com</t>
  </si>
  <si>
    <t>Khagaria</t>
  </si>
  <si>
    <t>Om Prakash Royal</t>
  </si>
  <si>
    <t>omprakashsangamroy@gmail.com</t>
  </si>
  <si>
    <t>Mulakalacharuvu</t>
  </si>
  <si>
    <t>Manoj Pandit</t>
  </si>
  <si>
    <t>manojkrgrd122@gmail.com</t>
  </si>
  <si>
    <t>Giridih</t>
  </si>
  <si>
    <t>Ravikishan Kumar</t>
  </si>
  <si>
    <t>223001170020@cutm.ac.in</t>
  </si>
  <si>
    <t>Dhaumom</t>
  </si>
  <si>
    <t>Anil Kumar</t>
  </si>
  <si>
    <t>anilkumarsen597@gmail.com</t>
  </si>
  <si>
    <t>Sidhi</t>
  </si>
  <si>
    <t>Gobinda Bauri</t>
  </si>
  <si>
    <t>gobindobauri1212@gmail.com</t>
  </si>
  <si>
    <t>Valluri Venkata Chalamaiah</t>
  </si>
  <si>
    <t>nagulsk9542@gmail.com</t>
  </si>
  <si>
    <t>Suvendu Kumar Muduli</t>
  </si>
  <si>
    <t>subhendumuduli1989@gmail.com</t>
  </si>
  <si>
    <t>Suresh Suria</t>
  </si>
  <si>
    <t>pradhansureshchandra98@gmail.com</t>
  </si>
  <si>
    <t>12th running</t>
  </si>
  <si>
    <t>Sitaram Bhagat</t>
  </si>
  <si>
    <t>sb8432126@gmail.com</t>
  </si>
  <si>
    <t>Shr</t>
  </si>
  <si>
    <t>Siddharth Kumar</t>
  </si>
  <si>
    <t>siddharthkumar11051987@gmail.com</t>
  </si>
  <si>
    <t>Narkatiaganj</t>
  </si>
  <si>
    <t>Biswambar Mahanta</t>
  </si>
  <si>
    <t>biswambarmahanta1984@gmail.com</t>
  </si>
  <si>
    <t>R B Jaiswal</t>
  </si>
  <si>
    <t>rmbabujaiswal109691@gmail.com</t>
  </si>
  <si>
    <t>Allahabad</t>
  </si>
  <si>
    <t>Debasmita Das</t>
  </si>
  <si>
    <t>ddas200817@gmail.com</t>
  </si>
  <si>
    <t>Already pursuing B.Tech</t>
  </si>
  <si>
    <t>Sen Hansh</t>
  </si>
  <si>
    <t>senhansh82@gmail.com</t>
  </si>
  <si>
    <t>Himachal Pradesh</t>
  </si>
  <si>
    <t>Sunder Nagar</t>
  </si>
  <si>
    <t>Shivam Kumar</t>
  </si>
  <si>
    <t>sonibhandar203@gmail.com</t>
  </si>
  <si>
    <t>Ramnarayan Kumar</t>
  </si>
  <si>
    <t>ramnarayanstm123@gmail.com</t>
  </si>
  <si>
    <t>Mishra Bariha</t>
  </si>
  <si>
    <t>mishrabariha550@gmail.com</t>
  </si>
  <si>
    <t>Bolangir</t>
  </si>
  <si>
    <t>Lokepalli Gowtham Reddy</t>
  </si>
  <si>
    <t>lokepalligowthamreddy@gmail.com</t>
  </si>
  <si>
    <t>Tadipatri</t>
  </si>
  <si>
    <t>Sujit Bharti</t>
  </si>
  <si>
    <t>sujitbharti047@gmail.com</t>
  </si>
  <si>
    <t>Bishnupur</t>
  </si>
  <si>
    <t>Pannaigopal Admk</t>
  </si>
  <si>
    <t>gopalhariharan1975@gmail.com</t>
  </si>
  <si>
    <t>Manaparai</t>
  </si>
  <si>
    <t>Malati Sahoo</t>
  </si>
  <si>
    <t>sahoomalati10@gmail.com</t>
  </si>
  <si>
    <t>Bhadrak</t>
  </si>
  <si>
    <t>Call later</t>
  </si>
  <si>
    <t>Rajendra Pradhan</t>
  </si>
  <si>
    <t>raju05560@gmail.com</t>
  </si>
  <si>
    <t>Phulbani</t>
  </si>
  <si>
    <t>B.Sc.Ag. - Hot Lead</t>
  </si>
  <si>
    <t>Banamali Oram</t>
  </si>
  <si>
    <t>banamalioram2345@gmail.com</t>
  </si>
  <si>
    <t>Umraj Shinde</t>
  </si>
  <si>
    <t>umrajshinde@gmail.com</t>
  </si>
  <si>
    <t>Sangli</t>
  </si>
  <si>
    <t>Dawn Jason</t>
  </si>
  <si>
    <t>montaniustudu1973@gmail.com</t>
  </si>
  <si>
    <t>Jawahar Mishra</t>
  </si>
  <si>
    <t>mishrajawaharlal334@gmail.com</t>
  </si>
  <si>
    <t>Not interested - 12th Fail</t>
  </si>
  <si>
    <t>Kaladhar Prasad</t>
  </si>
  <si>
    <t>kaladharprasad108@gmail.com</t>
  </si>
  <si>
    <t>Kanhaiya Kumar</t>
  </si>
  <si>
    <t>Kanhaiyasingh8877@gmail.com</t>
  </si>
  <si>
    <t>Banka</t>
  </si>
  <si>
    <t>Consultancy</t>
  </si>
  <si>
    <t>Bisweswar Behera</t>
  </si>
  <si>
    <t>bisweswarbehera99@gmail.com</t>
  </si>
  <si>
    <t>Patel Amitt</t>
  </si>
  <si>
    <t>amitpatel75482@gmail.com</t>
  </si>
  <si>
    <t>Mahua</t>
  </si>
  <si>
    <t>Bapuram Somesh</t>
  </si>
  <si>
    <t>somu77846@gmail.com</t>
  </si>
  <si>
    <t>Kurnool</t>
  </si>
  <si>
    <t>Anili Kumar</t>
  </si>
  <si>
    <t>anilibehera2005@gmail.com</t>
  </si>
  <si>
    <t>Murugan Thiru</t>
  </si>
  <si>
    <t>tirumuru1978@gmail.com</t>
  </si>
  <si>
    <t>Madurai</t>
  </si>
  <si>
    <t>Seeraz Ahmad Rather</t>
  </si>
  <si>
    <t>parvaizahmad786@gmail.com</t>
  </si>
  <si>
    <t>Jammu &amp; Kashmir</t>
  </si>
  <si>
    <t>Pulwama</t>
  </si>
  <si>
    <t>Baby Thakuria</t>
  </si>
  <si>
    <t>thakuriabipul860@gmail.com</t>
  </si>
  <si>
    <t>Nagaon</t>
  </si>
  <si>
    <t>Shramana Hazra</t>
  </si>
  <si>
    <t>shramana.hazra99@gmail.com</t>
  </si>
  <si>
    <t>Searching for a Job</t>
  </si>
  <si>
    <t>Swapan Manna</t>
  </si>
  <si>
    <t>swapanmannakudi@gmail.com</t>
  </si>
  <si>
    <t>Not Reachable - Bangla message</t>
  </si>
  <si>
    <t>Soham Hudge</t>
  </si>
  <si>
    <t>bapu.hudge@gmail.com</t>
  </si>
  <si>
    <t>Tapas Ghosh</t>
  </si>
  <si>
    <t>tapasghoshdhakchar@gmail.com</t>
  </si>
  <si>
    <t>Chandan Singh Dangi</t>
  </si>
  <si>
    <t>chandan48.gurua@gamil.com</t>
  </si>
  <si>
    <t>Gaya</t>
  </si>
  <si>
    <t>Lateral Entry - More details</t>
  </si>
  <si>
    <t>Parthasarathi Das</t>
  </si>
  <si>
    <t>parthasarathidas393@gmail.com</t>
  </si>
  <si>
    <t>Not Answering</t>
  </si>
  <si>
    <t>Omshiv Singh</t>
  </si>
  <si>
    <t>kajal022omshiv@gmail.com</t>
  </si>
  <si>
    <t>Mahammad Hossain</t>
  </si>
  <si>
    <t>mahammadhossain.2005@gmail.com</t>
  </si>
  <si>
    <t>Raghunathganj</t>
  </si>
  <si>
    <t>Not answering</t>
  </si>
  <si>
    <t>Kargathiya Dhrumin</t>
  </si>
  <si>
    <t>dhruminkargathiya519@gmail.com</t>
  </si>
  <si>
    <t>Junagadh</t>
  </si>
  <si>
    <t>Jitendra Singh</t>
  </si>
  <si>
    <t>ksonscsc1@gmail.com</t>
  </si>
  <si>
    <t>Motihari</t>
  </si>
  <si>
    <t>Interested, sent brochure</t>
  </si>
  <si>
    <t>Amit Sahani</t>
  </si>
  <si>
    <t>mail2amitsahani@gmail.com</t>
  </si>
  <si>
    <t>Already admission taken in different college</t>
  </si>
  <si>
    <t>Siru Tudu</t>
  </si>
  <si>
    <t>sirutudu56@gmail.com</t>
  </si>
  <si>
    <t>Rajareddy Aleti</t>
  </si>
  <si>
    <t>rajareddyaleti2005@gmail.com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</si>
  <si>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</si>
  <si>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</si>
  <si>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</si>
  <si>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</si>
  <si>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</si>
  <si>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</si>
  <si>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</si>
  <si>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</si>
  <si>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 10</t>
  </si>
  <si>
    <t>Column 11</t>
  </si>
  <si>
    <t>SANATAN HANSDA</t>
  </si>
  <si>
    <t>Jhargram</t>
  </si>
  <si>
    <t>Sushil</t>
  </si>
  <si>
    <t>SNIGDHA SAHA</t>
  </si>
  <si>
    <t>(</t>
  </si>
  <si>
    <t>KABIR MAHATA</t>
  </si>
  <si>
    <t>PRATYAY SANTRA</t>
  </si>
  <si>
    <t>SHIBNATH SOREN</t>
  </si>
  <si>
    <t>SUSAR MURMU</t>
  </si>
  <si>
    <t>ABHIK BHATTACHARYA</t>
  </si>
  <si>
    <t>MONAMI DAS</t>
  </si>
  <si>
    <t>NAYAN MAHATA</t>
  </si>
  <si>
    <t>MALAY PATRA</t>
  </si>
  <si>
    <t>SANTOSH AGARWALA</t>
  </si>
  <si>
    <t>ARITRA DAS</t>
  </si>
  <si>
    <t>PRASENJIT MANDAL</t>
  </si>
  <si>
    <t>HEMAL MANDI</t>
  </si>
  <si>
    <t>BISHNU GHOSH</t>
  </si>
  <si>
    <t>DEEP PAL</t>
  </si>
  <si>
    <t>RAJDEEP SAHU</t>
  </si>
  <si>
    <t>PARTHA MAHATA</t>
  </si>
  <si>
    <t>UJJAN DAS</t>
  </si>
  <si>
    <t>SAMRAT SINGHA</t>
  </si>
  <si>
    <t>SUBAL CHANDRA SING</t>
  </si>
  <si>
    <t>SUBRATA RANA</t>
  </si>
  <si>
    <t>PRITAM PODDAR</t>
  </si>
  <si>
    <t>BRISTI DUTTA</t>
  </si>
  <si>
    <t>SAYANTAN GHOSH</t>
  </si>
  <si>
    <t>ABHILASH DEY</t>
  </si>
  <si>
    <t>SOHAM DAS</t>
  </si>
  <si>
    <t>SUJOY DAS</t>
  </si>
  <si>
    <t>ANUPAM MURMU</t>
  </si>
  <si>
    <t>ABHIJIT KUNDU</t>
  </si>
  <si>
    <t>SWASTIKDEB PANDA</t>
  </si>
  <si>
    <t>ANIK BIR</t>
  </si>
  <si>
    <t>SANAT SRIJAN MANDI</t>
  </si>
  <si>
    <t>TRIDIB MAHATA</t>
  </si>
  <si>
    <t>TAMOGHNA GHOSH DASTIDAR</t>
  </si>
  <si>
    <t>SANTANU MANDAL</t>
  </si>
  <si>
    <t>SOUMYODIP ROY</t>
  </si>
  <si>
    <t>ABIR CHOWDHURY</t>
  </si>
  <si>
    <t>PRATTOY BHATTACHARYA</t>
  </si>
  <si>
    <t>RIYA DEY</t>
  </si>
  <si>
    <t>Smruti Ranjan Parida</t>
  </si>
  <si>
    <t>can't understand any language except Bengali</t>
  </si>
  <si>
    <t>KOYENA DAS</t>
  </si>
  <si>
    <t>SRINJOY BENERJEE</t>
  </si>
  <si>
    <t>not receiving</t>
  </si>
  <si>
    <t>DIPANWITA MONDAL</t>
  </si>
  <si>
    <t>ASHIS MAHATA</t>
  </si>
  <si>
    <t>AMIT BHAKAT</t>
  </si>
  <si>
    <t>ANKAN DAS</t>
  </si>
  <si>
    <t>SIDDHARTHA SANTRA</t>
  </si>
  <si>
    <t>SOYAM DAS</t>
  </si>
  <si>
    <t>SOUMITRA RANA</t>
  </si>
  <si>
    <t>IPIL KUMAR SING</t>
  </si>
  <si>
    <t>SHRUTI SINGHA</t>
  </si>
  <si>
    <t>already admission over</t>
  </si>
  <si>
    <t>MOUMITA BARI</t>
  </si>
  <si>
    <t>DEBARATI SAHOO</t>
  </si>
  <si>
    <t>took admission in Kolkata University</t>
  </si>
  <si>
    <t>SUVADEEP SINGHA</t>
  </si>
  <si>
    <t>traveling now, will call later</t>
  </si>
  <si>
    <t>SUDIP MANDAL</t>
  </si>
  <si>
    <t>SOUMEN JANA</t>
  </si>
  <si>
    <t>SOURAV MALLIK</t>
  </si>
  <si>
    <t>SK SOHEL ALI</t>
  </si>
  <si>
    <t>SK SAHIL ALI</t>
  </si>
  <si>
    <t>SK HABIBUL</t>
  </si>
  <si>
    <t>SHIBSANKAR PANI</t>
  </si>
  <si>
    <t>SANDIP PANI</t>
  </si>
  <si>
    <t>SAMRAT DEY</t>
  </si>
  <si>
    <t>SAIKAT PRAMANIK</t>
  </si>
  <si>
    <t>ROHIT BARIK</t>
  </si>
  <si>
    <t>RAHUL BAG</t>
  </si>
  <si>
    <t>GOURAB SINGHA</t>
  </si>
  <si>
    <t>PRANAB DAS</t>
  </si>
  <si>
    <t>PARTHA BAR</t>
  </si>
  <si>
    <t>MANASH MAITY</t>
  </si>
  <si>
    <t>JAYANTA RANA</t>
  </si>
  <si>
    <t>DEVKANTHA JANA</t>
  </si>
  <si>
    <t>DEBMALYA PATTANAYAK</t>
  </si>
  <si>
    <t>AMARESH SAHOO</t>
  </si>
  <si>
    <t>BISWAJIT BERA</t>
  </si>
  <si>
    <t>ARNAB PAL</t>
  </si>
  <si>
    <t>DEBABRATA BINDHANI</t>
  </si>
  <si>
    <t>ANJAN CHOWDHURY</t>
  </si>
  <si>
    <t>ANIRBAN DAS</t>
  </si>
  <si>
    <t>AKASH ROUT</t>
  </si>
  <si>
    <t>Sudarsan Rao</t>
  </si>
  <si>
    <t>OM KUMAR GIRI</t>
  </si>
  <si>
    <t>Alipurduar</t>
  </si>
  <si>
    <t>ALOK GIRI</t>
  </si>
  <si>
    <t>DEEPTANU NARAYAN KUNGAR</t>
  </si>
  <si>
    <t>PRATAP SEN</t>
  </si>
  <si>
    <t>KATHAMRITA DAS</t>
  </si>
  <si>
    <t>SUPRIYA ROY</t>
  </si>
  <si>
    <t>SHIVANI MAHATO</t>
  </si>
  <si>
    <t>ABHISMITA SAIBA</t>
  </si>
  <si>
    <t>SAGARITA ROY</t>
  </si>
  <si>
    <t>ABHINANDAN ROY</t>
  </si>
  <si>
    <t>ADITYA SAHA</t>
  </si>
  <si>
    <t>AMARTA DEY TARAFDER</t>
  </si>
  <si>
    <t>JEET DAS</t>
  </si>
  <si>
    <t>SAYAN GHOSH</t>
  </si>
  <si>
    <t>SUBHADIP SAHA</t>
  </si>
  <si>
    <t>MD MOBARAK HOSSAIN</t>
  </si>
  <si>
    <t>NABAGKUR PAUL</t>
  </si>
  <si>
    <t>SWAPNADIP BISWAS</t>
  </si>
  <si>
    <t>ARGHA ROY</t>
  </si>
  <si>
    <t>DIPANKAR SARKAR</t>
  </si>
  <si>
    <t>HIMANGSHU SARKAR</t>
  </si>
  <si>
    <t>NILAY ADHIKARI</t>
  </si>
  <si>
    <t>AYUSH KUMAR DEBNATH</t>
  </si>
  <si>
    <t>MOUSONA BARMAN</t>
  </si>
  <si>
    <t>SUMAN ROY</t>
  </si>
  <si>
    <t>SUBHRAJIT ROY</t>
  </si>
  <si>
    <t>BIBEK CH SARKAR</t>
  </si>
  <si>
    <t>JEET SINHA</t>
  </si>
  <si>
    <t>MANAJIT SARKAR</t>
  </si>
  <si>
    <t>MRINMOY SARKAR</t>
  </si>
  <si>
    <t>SAMARPAN MANDAL</t>
  </si>
  <si>
    <t>SOUVIK PASWAN</t>
  </si>
  <si>
    <t>TANMOY ROY</t>
  </si>
  <si>
    <t>TOJO SAHA</t>
  </si>
  <si>
    <t>BIKRAM ROY</t>
  </si>
  <si>
    <t>MD RAKHIB ALI</t>
  </si>
  <si>
    <t>ANAZ ALI</t>
  </si>
  <si>
    <t>ANKUR SAHA</t>
  </si>
  <si>
    <t>ARINDAM SEN</t>
  </si>
  <si>
    <t>Kedarnath Nayak</t>
  </si>
  <si>
    <t>BIKI ROY</t>
  </si>
  <si>
    <t>BISHWANKIT BISWAS</t>
  </si>
  <si>
    <t>MD RABIUL HOQUE</t>
  </si>
  <si>
    <t>ONGKAR ACHARJEE</t>
  </si>
  <si>
    <t>REJANUR HASAN</t>
  </si>
  <si>
    <t>ROHAN HOSSAIN</t>
  </si>
  <si>
    <t>ROUSHAN AHMED</t>
  </si>
  <si>
    <t>RUPAM MAHANTA</t>
  </si>
  <si>
    <t>SOUMAJIT SINGHA</t>
  </si>
  <si>
    <t>SUMIT HOSSEN</t>
  </si>
  <si>
    <t>KUNAL ROY</t>
  </si>
  <si>
    <t>ALOK ROY</t>
  </si>
  <si>
    <t>ARIN GHOSH</t>
  </si>
  <si>
    <t>AMRIT XAXA</t>
  </si>
  <si>
    <t>ASIM ROY</t>
  </si>
  <si>
    <t>SANDIP ORAON</t>
  </si>
  <si>
    <t>ARIYAN ORAON</t>
  </si>
  <si>
    <t>ABEERA DEY</t>
  </si>
  <si>
    <t>EHSAN EKBAL</t>
  </si>
  <si>
    <t>ROHIT DASGUPTA</t>
  </si>
  <si>
    <t>ABHIJEET ORAON</t>
  </si>
  <si>
    <t>ANKIT ROY</t>
  </si>
  <si>
    <t>SHUSAM SAHA</t>
  </si>
  <si>
    <t>KOUSHIK DAS</t>
  </si>
  <si>
    <t>BABUSONA DUTTA</t>
  </si>
  <si>
    <t>ASHIF ISLAM</t>
  </si>
  <si>
    <t>SHAVJEET ROY</t>
  </si>
  <si>
    <t>IMTIAZ AHAMED</t>
  </si>
  <si>
    <t>KUNAL SARKAR</t>
  </si>
  <si>
    <t>JOTI BHOWMICK</t>
  </si>
  <si>
    <t>SUKANYA BHOWAL</t>
  </si>
  <si>
    <t>REHAN TANBIR ANSARI</t>
  </si>
  <si>
    <t>SHREETOMA ADITYA</t>
  </si>
  <si>
    <t>LIPI MANDAL</t>
  </si>
  <si>
    <t>PREM BAIRAGI</t>
  </si>
  <si>
    <t>RANASINDHU BISWAS</t>
  </si>
  <si>
    <t>RAJESH PAUL</t>
  </si>
  <si>
    <t>BIVASH GHOSH</t>
  </si>
  <si>
    <t>ASHIS SARKAR</t>
  </si>
  <si>
    <t>MIRAJ HOSSAIN</t>
  </si>
  <si>
    <t>Kalyan Chakravarthy</t>
  </si>
  <si>
    <t>VIRAJ SARKAR</t>
  </si>
  <si>
    <t>AKASH BARMAN</t>
  </si>
  <si>
    <t>KOUSHIK ROY</t>
  </si>
  <si>
    <t>ANNIK SAHA</t>
  </si>
  <si>
    <t>BARUN KUMAR SARKAR</t>
  </si>
  <si>
    <t>SUBINAY ROY</t>
  </si>
  <si>
    <t>AYUSH DUTTA</t>
  </si>
  <si>
    <t>AKASH MANDAL</t>
  </si>
  <si>
    <t>BABUSONA LODH</t>
  </si>
  <si>
    <t>RAKESH PANDEY</t>
  </si>
  <si>
    <t>SOURAJEET PAITYA</t>
  </si>
  <si>
    <t>AKASH BISWAS</t>
  </si>
  <si>
    <t>MD NABAD</t>
  </si>
  <si>
    <t>ANIMESH ROY</t>
  </si>
  <si>
    <t>PARTHA BARMAN</t>
  </si>
  <si>
    <t>RAKESH MONDAL</t>
  </si>
  <si>
    <t>FARANA PARVIN</t>
  </si>
  <si>
    <t>TANMOY MODAK</t>
  </si>
  <si>
    <t>SIBA SARKAR</t>
  </si>
  <si>
    <t>SAYAN BAG</t>
  </si>
  <si>
    <t>RAJAT PAUL</t>
  </si>
  <si>
    <t>PRITAM SHARMA</t>
  </si>
  <si>
    <t>HIMESH ROY</t>
  </si>
  <si>
    <t>BIKI PAL</t>
  </si>
  <si>
    <t>BIJAY ROY</t>
  </si>
  <si>
    <t>ARPIT SAHA</t>
  </si>
  <si>
    <t>SUBHADWIP ROY</t>
  </si>
  <si>
    <t>SANJIT SHARMA</t>
  </si>
  <si>
    <t>SUBHANKAR BAL</t>
  </si>
  <si>
    <t>SAYAN RAJAK</t>
  </si>
  <si>
    <t>RAJA PAL</t>
  </si>
  <si>
    <t>SUBHANKAR SAHA</t>
  </si>
  <si>
    <t>ANEEK KUNDU</t>
  </si>
  <si>
    <t>PARTHO CHAKRABORTY</t>
  </si>
  <si>
    <t>INDRAJIT SARKAR</t>
  </si>
  <si>
    <t>BIMAL PAUL</t>
  </si>
  <si>
    <t>AKASH ROY</t>
  </si>
  <si>
    <t>RIYA GUHA</t>
  </si>
  <si>
    <t>RUMANTA DAS</t>
  </si>
  <si>
    <t>PRIYATOSH CHANDRA ROY</t>
  </si>
  <si>
    <t>Sudhir Tiwari</t>
  </si>
  <si>
    <t>RAJA RAJBANSHI</t>
  </si>
  <si>
    <t>not looking for Private University</t>
  </si>
  <si>
    <t>DEEP KARMAKAR</t>
  </si>
  <si>
    <t>DIYA SAHA</t>
  </si>
  <si>
    <t>KAJAL BARMAN</t>
  </si>
  <si>
    <t>RUMA ROY</t>
  </si>
  <si>
    <t>PANKAJ BARMAN</t>
  </si>
  <si>
    <t>KAUSHIK HAWLADER</t>
  </si>
  <si>
    <t>DEB ROY</t>
  </si>
  <si>
    <t>RIMA PAUL</t>
  </si>
  <si>
    <t>ARPITA SARKAR</t>
  </si>
  <si>
    <t>Fee is High</t>
  </si>
  <si>
    <t>TANIYA BALA</t>
  </si>
  <si>
    <t>Alreday Taken Admission</t>
  </si>
  <si>
    <t>SUMITA DAS</t>
  </si>
  <si>
    <t>Location is not good</t>
  </si>
  <si>
    <t>AYUSMITA SEN</t>
  </si>
  <si>
    <t>TANULIMA SARKAR</t>
  </si>
  <si>
    <t>SHRAMANA DEY</t>
  </si>
  <si>
    <t>SHREYOSHI MAJUMDER</t>
  </si>
  <si>
    <t>SHITAL ROUTH</t>
  </si>
  <si>
    <t>SHREYA SAHA</t>
  </si>
  <si>
    <t>PRINCI BHOWMICK</t>
  </si>
  <si>
    <t>PRITY ROY</t>
  </si>
  <si>
    <t>ANWESHA ROY</t>
  </si>
  <si>
    <t>KOYEL KUMAR</t>
  </si>
  <si>
    <t>MOUSUMI ROY</t>
  </si>
  <si>
    <t>NANDITA ROY</t>
  </si>
  <si>
    <t>SUCHISMITA SARKAR</t>
  </si>
  <si>
    <t>MEGHA RANI SARKAR</t>
  </si>
  <si>
    <t>KEYA DEBNATH</t>
  </si>
  <si>
    <t>SHREYOSHI DEY</t>
  </si>
  <si>
    <t>PIYALI DAS</t>
  </si>
  <si>
    <t>NANDINI MANDAL</t>
  </si>
  <si>
    <t>SROYETA KERKETTA</t>
  </si>
  <si>
    <t>DEBAM SINHA ROY</t>
  </si>
  <si>
    <t>PRITHAJEET PAL</t>
  </si>
  <si>
    <t>Dibyasha pradhan</t>
  </si>
  <si>
    <t>dibyashapradhan09@gmail.com</t>
  </si>
  <si>
    <t>p:+917605970981</t>
  </si>
  <si>
    <t>Ms. Swapnakita</t>
  </si>
  <si>
    <t>Debi Prasada Dash</t>
  </si>
  <si>
    <t>iamdebiprasaddash2004@gmail.com</t>
  </si>
  <si>
    <t>p:6370358125</t>
  </si>
  <si>
    <t>Od</t>
  </si>
  <si>
    <t>Bbsr</t>
  </si>
  <si>
    <t>Ms. Amisha Patro</t>
  </si>
  <si>
    <t>Basudev Pradhan</t>
  </si>
  <si>
    <t>pbasudev896@gmail.com</t>
  </si>
  <si>
    <t>p:+919668524361</t>
  </si>
  <si>
    <t>JAGATASINGPUR</t>
  </si>
  <si>
    <t>Dr. Kalee Prasanaa Pattnaik</t>
  </si>
  <si>
    <t>Puspanjali</t>
  </si>
  <si>
    <t>pramolikasahoo@gmail.com</t>
  </si>
  <si>
    <t>p:+917008526926</t>
  </si>
  <si>
    <t>Angul</t>
  </si>
  <si>
    <t>alone chintu</t>
  </si>
  <si>
    <t>chintuchintu50376@gmail.com</t>
  </si>
  <si>
    <t>p:+916300801867</t>
  </si>
  <si>
    <t>Marakapuram</t>
  </si>
  <si>
    <t>p:+918249880771</t>
  </si>
  <si>
    <t>keonjhar</t>
  </si>
  <si>
    <t>Mr. Jugal</t>
  </si>
  <si>
    <t>Chandrakantakar</t>
  </si>
  <si>
    <t>chandrakantakar497@gmial.com</t>
  </si>
  <si>
    <t>p:+919743714603</t>
  </si>
  <si>
    <t>karnatak</t>
  </si>
  <si>
    <t>Divya</t>
  </si>
  <si>
    <t>Vamsi</t>
  </si>
  <si>
    <t>chalamkotavamsi6425@gmail.com</t>
  </si>
  <si>
    <t>p:+919347844115</t>
  </si>
  <si>
    <t>Saraswati Subudhi</t>
  </si>
  <si>
    <t>saraswatisubudhi61@gmail.com</t>
  </si>
  <si>
    <t>p:+919438178503</t>
  </si>
  <si>
    <t>odissa Dhenkanal</t>
  </si>
  <si>
    <t>Sanjay Kumar Mishra</t>
  </si>
  <si>
    <t>journalistsanjay08@gmail.com</t>
  </si>
  <si>
    <t>p:+918455080808</t>
  </si>
  <si>
    <t>Dayashree</t>
  </si>
  <si>
    <t>Ranjit biswal</t>
  </si>
  <si>
    <t>rb5089513@gmail.com</t>
  </si>
  <si>
    <t>p:+919861358359</t>
  </si>
  <si>
    <t>BINOD KU PADHI</t>
  </si>
  <si>
    <t>bkpadhi1972@gmail.com</t>
  </si>
  <si>
    <t>p:+917978363978</t>
  </si>
  <si>
    <t>ODISHA</t>
  </si>
  <si>
    <t>Kalahandi</t>
  </si>
  <si>
    <t>shivangi</t>
  </si>
  <si>
    <t>priyadrshanisipra@gmail.com</t>
  </si>
  <si>
    <t>p:+919861592223</t>
  </si>
  <si>
    <t>Rayagada</t>
  </si>
  <si>
    <t>INSTA KING</t>
  </si>
  <si>
    <t>mdassg88@gmail.com</t>
  </si>
  <si>
    <t>p:8389834982</t>
  </si>
  <si>
    <t>Ytgjuub yyun</t>
  </si>
  <si>
    <t>Hgbjin</t>
  </si>
  <si>
    <t>Dr. Sushant</t>
  </si>
  <si>
    <t>Dr. Girish</t>
  </si>
  <si>
    <t>rakesh kumar</t>
  </si>
  <si>
    <t>rakeshgound629@gmail.com</t>
  </si>
  <si>
    <t>p:+919770432941</t>
  </si>
  <si>
    <t>SAMIR DAS ADHIKARY</t>
  </si>
  <si>
    <t>sd1360888@gmail.com</t>
  </si>
  <si>
    <t>p:+918945974708</t>
  </si>
  <si>
    <t>RN. Bhardwaj</t>
  </si>
  <si>
    <t>luckysinghbgu0@gmail.com</t>
  </si>
  <si>
    <t>p:9234892108</t>
  </si>
  <si>
    <t>@name.axelith</t>
  </si>
  <si>
    <t>ommp0783@gmail.com</t>
  </si>
  <si>
    <t>p:9937132485</t>
  </si>
  <si>
    <t>ＤＥＳＩㅤ ＣＨＨＯＲＡ .</t>
  </si>
  <si>
    <t>pk7370589@gmail.com</t>
  </si>
  <si>
    <t>p:+917050919663</t>
  </si>
  <si>
    <t>Sudhansu Choudhary</t>
  </si>
  <si>
    <t>jroy84211@gmail.com</t>
  </si>
  <si>
    <t>p:+916372692332</t>
  </si>
  <si>
    <t>•شہباز•</t>
  </si>
  <si>
    <t>uddinshahbaz734@gmail.com</t>
  </si>
  <si>
    <t>p:+919123066183</t>
  </si>
  <si>
    <t>Chinmayee</t>
  </si>
  <si>
    <t>Noorhada alam</t>
  </si>
  <si>
    <t>noorhodamiya468@gmail.com</t>
  </si>
  <si>
    <t>p:+919906012775</t>
  </si>
  <si>
    <t>West champaran bihar</t>
  </si>
  <si>
    <t>Mr. Isboseb</t>
  </si>
  <si>
    <t>Arif Ansari</t>
  </si>
  <si>
    <t>arifansarimanpur78@gmail.com</t>
  </si>
  <si>
    <t>p:8210916424</t>
  </si>
  <si>
    <t>Gaya.bihar</t>
  </si>
  <si>
    <t>Mr. Pratap</t>
  </si>
  <si>
    <t>Radha ❤️🥰</t>
  </si>
  <si>
    <t>ranajitu031@gmail.com</t>
  </si>
  <si>
    <t>p:+917855976772</t>
  </si>
  <si>
    <t>Dr. Mehazabeen</t>
  </si>
  <si>
    <t>Mohit Roy</t>
  </si>
  <si>
    <t>mohitroy6875@gmail.com</t>
  </si>
  <si>
    <t>p:+918708609579</t>
  </si>
  <si>
    <t>Dr. Amir Behera</t>
  </si>
  <si>
    <t>Chitaranjan Kumar</t>
  </si>
  <si>
    <t>chitaranjankumarbxr2008@gmail.com</t>
  </si>
  <si>
    <t>p:+917324963073</t>
  </si>
  <si>
    <t>Stap</t>
  </si>
  <si>
    <t>Security</t>
  </si>
  <si>
    <t>CJPJ</t>
  </si>
  <si>
    <t>amangamer7777@gmail.com</t>
  </si>
  <si>
    <t>p:+919931131812</t>
  </si>
  <si>
    <t>Lokendra shing parihar</t>
  </si>
  <si>
    <t>lokendrarai740@gmail.com</t>
  </si>
  <si>
    <t>p:+918718941681</t>
  </si>
  <si>
    <t>Chhatarpur</t>
  </si>
  <si>
    <t>ɪᴛ'ꜱ ʀᴀᴊᴇꜱʜ</t>
  </si>
  <si>
    <t>rajeshghadai01@gmail.com</t>
  </si>
  <si>
    <t>p:+917377901181</t>
  </si>
  <si>
    <t>Sharad Sanap</t>
  </si>
  <si>
    <t>sanapsharad21@gmail.com</t>
  </si>
  <si>
    <t>p:+918010050852</t>
  </si>
  <si>
    <t>┈━═☆𝐑ɨcҺสʸสᵈสᏤ☆═━┈</t>
  </si>
  <si>
    <t>richa05022008@gmail.com</t>
  </si>
  <si>
    <t>p:+919229332996</t>
  </si>
  <si>
    <t>STUDENT</t>
  </si>
  <si>
    <t>alone</t>
  </si>
  <si>
    <t>yadavankit91960@gmail.com</t>
  </si>
  <si>
    <t>p:+919196060621</t>
  </si>
  <si>
    <t>Ms. Prativa</t>
  </si>
  <si>
    <t>Sunil kumar agrawal</t>
  </si>
  <si>
    <t>sunilbanka1976@gmail.com</t>
  </si>
  <si>
    <t>p:+919937274691</t>
  </si>
  <si>
    <t>Nisita satapathy</t>
  </si>
  <si>
    <t>nisitasatapathy2007@gmail.com</t>
  </si>
  <si>
    <t>p:+918260379431</t>
  </si>
  <si>
    <t>Buchan Kumar</t>
  </si>
  <si>
    <t>buchankumar473@gmail.com</t>
  </si>
  <si>
    <t>p:8434002461</t>
  </si>
  <si>
    <t>BUChaNKUMa</t>
  </si>
  <si>
    <t>Bhalu bhai</t>
  </si>
  <si>
    <t>Sanskriti</t>
  </si>
  <si>
    <t>sanskritisharma2224@gmail.com</t>
  </si>
  <si>
    <t>p:+919654496534</t>
  </si>
  <si>
    <t>Punam Parida</t>
  </si>
  <si>
    <t>paridatilottama7@gmail.com</t>
  </si>
  <si>
    <t>p:+18144715325</t>
  </si>
  <si>
    <t>Ramgj Ram</t>
  </si>
  <si>
    <t>bk6957251@gmail.com</t>
  </si>
  <si>
    <t>p:+919792340270</t>
  </si>
  <si>
    <t>suman🥰🥰</t>
  </si>
  <si>
    <t>bishnurai92298@gmail.com</t>
  </si>
  <si>
    <t>p:+918016555087</t>
  </si>
  <si>
    <t>Ramashankar Kumar</t>
  </si>
  <si>
    <t>ramashankark290@gmail.com</t>
  </si>
  <si>
    <t>p:+918235984353</t>
  </si>
  <si>
    <t>✿..पुष्पांजलि..✿</t>
  </si>
  <si>
    <t>puspanjalibehura640@gmail.com</t>
  </si>
  <si>
    <t>p:+919861471870</t>
  </si>
  <si>
    <t>sk9883519@gmail.com</t>
  </si>
  <si>
    <t>p:+919693143749</t>
  </si>
  <si>
    <t>Abhijeet Kumar!</t>
  </si>
  <si>
    <t>abhijeetkumarjena0925@gmail.com</t>
  </si>
  <si>
    <t>p:+918926371019</t>
  </si>
  <si>
    <t>Akhilesh Vishwakarma</t>
  </si>
  <si>
    <t>aklhikumar01@gmail.com</t>
  </si>
  <si>
    <t>p:6202028142</t>
  </si>
  <si>
    <t>Gupta Ji Vijay</t>
  </si>
  <si>
    <t>vijaygupta86395@gmail.com</t>
  </si>
  <si>
    <t>p:+916204191083</t>
  </si>
  <si>
    <t>Upenn Upe</t>
  </si>
  <si>
    <t>upendarkumar813104@gmail.com</t>
  </si>
  <si>
    <t>p:+919263371214</t>
  </si>
  <si>
    <t>Niraj Kumar</t>
  </si>
  <si>
    <t>kniraj98963@gmail.com</t>
  </si>
  <si>
    <t>p:+917061873807</t>
  </si>
  <si>
    <t>ll.@lex .ankit.ll.01</t>
  </si>
  <si>
    <t>alxxankit@gmail.com</t>
  </si>
  <si>
    <t>p:+917782973774</t>
  </si>
  <si>
    <t>king of jila</t>
  </si>
  <si>
    <t>nk6593124@gmail.com</t>
  </si>
  <si>
    <t>p:+918434887070</t>
  </si>
  <si>
    <t>Smruti Rani Hota</t>
  </si>
  <si>
    <t>smrutiranihota2008@gmail.com</t>
  </si>
  <si>
    <t>p:+919040537748</t>
  </si>
  <si>
    <t>Nirali</t>
  </si>
  <si>
    <t>niralirath2214@gmail.com</t>
  </si>
  <si>
    <t>p:+917853000121</t>
  </si>
  <si>
    <t>.............. LOVE...</t>
  </si>
  <si>
    <t>mdsaiyad462@gmail.com</t>
  </si>
  <si>
    <t>p:+916200849922</t>
  </si>
  <si>
    <t>Jasmine Pradhan</t>
  </si>
  <si>
    <t>ashwinisamal468@gmail.com</t>
  </si>
  <si>
    <t>p:+917978275178</t>
  </si>
  <si>
    <t>its_ayanshi</t>
  </si>
  <si>
    <t>yayanshi58@gmail.com</t>
  </si>
  <si>
    <t>p:+919304194381</t>
  </si>
  <si>
    <t>🅽🅸🅺🅷🅸🅻</t>
  </si>
  <si>
    <t>nikhilkannaujiya288@gmail.com</t>
  </si>
  <si>
    <t>p:9250721580</t>
  </si>
  <si>
    <t>Mahendra Kumar</t>
  </si>
  <si>
    <t>mahendra.860.b.187.durga.vihar@gmail.com</t>
  </si>
  <si>
    <t>p:+918210935012</t>
  </si>
  <si>
    <t>Angelina Christa</t>
  </si>
  <si>
    <t>angelina.14christa@gmail.com</t>
  </si>
  <si>
    <t>p:+919672086898</t>
  </si>
  <si>
    <t>Yadav Sarkar</t>
  </si>
  <si>
    <t>mamtadevijojobera@gmail.com</t>
  </si>
  <si>
    <t>p:+917667481608</t>
  </si>
  <si>
    <t>Sonu khan</t>
  </si>
  <si>
    <t>mdsonuk254@gmail.com</t>
  </si>
  <si>
    <t>p:+916200755026</t>
  </si>
  <si>
    <t>𝐒𝐀𝐇𝐎𝐎 𝐁𝐀𝐁𝐔 🩵 ..... !!</t>
  </si>
  <si>
    <t>as3704561@gmail.com</t>
  </si>
  <si>
    <t>p:+918260748957</t>
  </si>
  <si>
    <t>batisi sahani</t>
  </si>
  <si>
    <t>ashesha787@gmail.com</t>
  </si>
  <si>
    <t>p:+919369904070</t>
  </si>
  <si>
    <t>xx raja. rang baj</t>
  </si>
  <si>
    <t>mukeshkumar9797559365@gmail.com0l2l</t>
  </si>
  <si>
    <t>p:+919798551493</t>
  </si>
  <si>
    <t>madMadanmohanjenarreanmohan jena</t>
  </si>
  <si>
    <t>jenamadanmohan423@gmail.com</t>
  </si>
  <si>
    <t>p:+919090719272</t>
  </si>
  <si>
    <t>Sharvan Sha</t>
  </si>
  <si>
    <t>sharvansha86@gmail.com</t>
  </si>
  <si>
    <t>p:+919931723061</t>
  </si>
  <si>
    <t>St soni c. K. p</t>
  </si>
  <si>
    <t>bodraganesh123@gmail.com</t>
  </si>
  <si>
    <t>p:+917667119928</t>
  </si>
  <si>
    <t>ⴽόc𝓴ý𝚔ᶦח𝓰</t>
  </si>
  <si>
    <t>dasnilambara8@gmail.com</t>
  </si>
  <si>
    <t>p:+919040678264</t>
  </si>
  <si>
    <t>RK Kanhaiya</t>
  </si>
  <si>
    <t>kanhiyakumarraj7546@gmail.com</t>
  </si>
  <si>
    <t>p:+919153705683</t>
  </si>
  <si>
    <t>vinoddubai87@gmail.com</t>
  </si>
  <si>
    <t>p:+919571334193</t>
  </si>
  <si>
    <t>🎀 𝒯𝓊𝓃𝓊 🎀</t>
  </si>
  <si>
    <t>tunutunu973@gmail.com</t>
  </si>
  <si>
    <t>p:+917008121168</t>
  </si>
  <si>
    <t>Akash Banra</t>
  </si>
  <si>
    <t>akashbanra165@gmail.com</t>
  </si>
  <si>
    <t>p:+919031392725</t>
  </si>
  <si>
    <t>𝐒𝐮𝐦𝐢𝐭 patra</t>
  </si>
  <si>
    <t>sumitpatrabgh@gmail.com</t>
  </si>
  <si>
    <t>p:+919827680678</t>
  </si>
  <si>
    <t>Sagar Bauri (Don)</t>
  </si>
  <si>
    <t>sagarkumarbauri@gmail.com</t>
  </si>
  <si>
    <t>p:9508866560</t>
  </si>
  <si>
    <t>Bhadrasa</t>
  </si>
  <si>
    <t>bhadrasaraysingh25@gmail.com</t>
  </si>
  <si>
    <t>p:+918328967958</t>
  </si>
  <si>
    <t>p:+917004693056</t>
  </si>
  <si>
    <t>Santosh Kumar Behera</t>
  </si>
  <si>
    <t>santoshkpt2@gmail.com</t>
  </si>
  <si>
    <t>p:+919861052601</t>
  </si>
  <si>
    <t>Fact Stoberz</t>
  </si>
  <si>
    <t>goluchauhan71417@gmail.com</t>
  </si>
  <si>
    <t>p:+919534675896</t>
  </si>
  <si>
    <t>Vivek yadav</t>
  </si>
  <si>
    <t>vivekraj9997272@gmail.com</t>
  </si>
  <si>
    <t>p:+919162112424</t>
  </si>
  <si>
    <t>Munna Khan</t>
  </si>
  <si>
    <t>ff940346@gmail.com</t>
  </si>
  <si>
    <t>p:9661681871</t>
  </si>
  <si>
    <t>@RaniQueen</t>
  </si>
  <si>
    <t>dharmendrakumar12092001@gmail.com</t>
  </si>
  <si>
    <t>p:+919817098611</t>
  </si>
  <si>
    <t>lead_1780468649859@noemail.com</t>
  </si>
  <si>
    <t>Admin Import</t>
  </si>
  <si>
    <t>lead_1780468649765@noemail.com</t>
  </si>
  <si>
    <t>lead_1780468649672@noemail.com</t>
  </si>
  <si>
    <t>lead_1780468649578@noemail.com</t>
  </si>
  <si>
    <t>lead_1780468649484@noemail.com</t>
  </si>
  <si>
    <t>lead_1780468649390@noemail.com</t>
  </si>
  <si>
    <t>lead_1780468649296@noemail.com</t>
  </si>
  <si>
    <t>lead_1780468649200@noemail.com</t>
  </si>
  <si>
    <t>lead_1780468649106@noemail.com</t>
  </si>
  <si>
    <t>lead_1780468649010@noemail.com</t>
  </si>
  <si>
    <t>lead_1780468648912@noemail.com</t>
  </si>
  <si>
    <t>lead_1780468648812@noemail.com</t>
  </si>
  <si>
    <t>lead_1780468648709@noemail.com</t>
  </si>
  <si>
    <t>lead_1780468648611@noemail.com</t>
  </si>
  <si>
    <t>lead_1780468648513@noemail.com</t>
  </si>
  <si>
    <t>lead_1780468648420@noemail.com</t>
  </si>
  <si>
    <t>lead_1780468648322@noemail.com</t>
  </si>
  <si>
    <t>lead_1780468648225@noemail.com</t>
  </si>
  <si>
    <t>lead_1780468648130@noemail.com</t>
  </si>
  <si>
    <t>lead_1780468648036@noemail.com</t>
  </si>
  <si>
    <t>lead_1780468647941@noemail.com</t>
  </si>
  <si>
    <t>lead_1780468647846@noemail.com</t>
  </si>
  <si>
    <t>lead_1780468647752@noemail.com</t>
  </si>
  <si>
    <t>lead_1780468647673@noemail.com</t>
  </si>
  <si>
    <t>lead_1780468647580@noemail.com</t>
  </si>
  <si>
    <t>lead_1780468647486@noemail.com</t>
  </si>
  <si>
    <t>lead_1780468647391@noemail.com</t>
  </si>
  <si>
    <t>lead_1780468647297@noemail.com</t>
  </si>
  <si>
    <t>lead_1780468647202@noemail.com</t>
  </si>
  <si>
    <t>lead_1780468647108@noemail.com</t>
  </si>
  <si>
    <t>lead_1780468647014@noemail.com</t>
  </si>
  <si>
    <t>lead_1780468646919@noemail.com</t>
  </si>
  <si>
    <t>lead_1780468646825@noemail.com</t>
  </si>
  <si>
    <t>lead_1780468646731@noemail.com</t>
  </si>
  <si>
    <t>lead_1780468646636@noemail.com</t>
  </si>
  <si>
    <t>lead_1780468646542@noemail.com</t>
  </si>
  <si>
    <t>lead_1780468646448@noemail.com</t>
  </si>
  <si>
    <t>lead_1780468646354@noemail.com</t>
  </si>
  <si>
    <t>lead_1780468646260@noemail.com</t>
  </si>
  <si>
    <t>lead_1780468646166@noemail.com</t>
  </si>
  <si>
    <t>lead_1780468646072@noemail.com</t>
  </si>
  <si>
    <t>lead_1780468645979@noemail.com</t>
  </si>
  <si>
    <t>lead_1780468645885@noemail.com</t>
  </si>
  <si>
    <t>lead_1780468645791@noemail.com</t>
  </si>
  <si>
    <t>lead_1780468645698@noemail.com</t>
  </si>
  <si>
    <t>lead_1780468645604@noemail.com</t>
  </si>
  <si>
    <t>lead_1780468645510@noemail.com</t>
  </si>
  <si>
    <t>lead_1780468645416@noemail.com</t>
  </si>
  <si>
    <t>lead_1780468645322@noemail.com</t>
  </si>
  <si>
    <t>lead_1780468645226@noemail.com</t>
  </si>
  <si>
    <t>lead_1780468645131@noemail.com</t>
  </si>
  <si>
    <t>lead_1780468645038@noemail.com</t>
  </si>
  <si>
    <t>lead_1780468644943@noemail.com</t>
  </si>
  <si>
    <t>lead_1780468644850@noemail.com</t>
  </si>
  <si>
    <t>lead_1780468644754@noemail.com</t>
  </si>
  <si>
    <t>lead_1780468644661@noemail.com</t>
  </si>
  <si>
    <t>lead_1780468644568@noemail.com</t>
  </si>
  <si>
    <t>lead_1780468644475@noemail.com</t>
  </si>
  <si>
    <t>lead_1780468644379@noemail.com</t>
  </si>
  <si>
    <t>lead_1780468644285@noemail.com</t>
  </si>
  <si>
    <t>lead_1780468644191@noemail.com</t>
  </si>
  <si>
    <t>lead_1780468644097@noemail.com</t>
  </si>
  <si>
    <t>lead_1780468644069@noemail.com</t>
  </si>
  <si>
    <t>lead_1780468643975@noemail.com</t>
  </si>
  <si>
    <t>lead_1780468643881@noemail.com</t>
  </si>
  <si>
    <t>lead_1780468643786@noemail.com</t>
  </si>
  <si>
    <t>lead_1780468643692@noemail.com</t>
  </si>
  <si>
    <t>lead_1780468643598@noemail.com</t>
  </si>
  <si>
    <t>lead_1780468643503@noemail.com</t>
  </si>
  <si>
    <t>lead_1780468643346@noemail.com</t>
  </si>
  <si>
    <t>lead_1780468643251@noemail.com</t>
  </si>
  <si>
    <t>lead_1780468643157@noemail.com</t>
  </si>
  <si>
    <t>lead_1780468643063@noemail.com</t>
  </si>
  <si>
    <t>lead_1780468642970@noemail.com</t>
  </si>
  <si>
    <t>lead_1780468642876@noemail.com</t>
  </si>
  <si>
    <t>lead_1780468642782@noemail.com</t>
  </si>
  <si>
    <t>lead_1780468642687@noemail.com</t>
  </si>
  <si>
    <t>lead_1780468642592@noemail.com</t>
  </si>
  <si>
    <t>lead_1780468642498@noemail.com</t>
  </si>
  <si>
    <t>lead_1780468642405@noemail.com</t>
  </si>
  <si>
    <t>lead_1780468642310@noemail.com</t>
  </si>
  <si>
    <t>lead_1780468642211@noemail.com</t>
  </si>
  <si>
    <t>lead_1780468642117@noemail.com</t>
  </si>
  <si>
    <t>lead_1780468642024@noemail.com</t>
  </si>
  <si>
    <t>lead_1780468641930@noemail.com</t>
  </si>
  <si>
    <t>lead_1780468641836@noemail.com</t>
  </si>
  <si>
    <t>lead_1780468641742@noemail.com</t>
  </si>
  <si>
    <t>lead_1780468641648@noemail.com</t>
  </si>
  <si>
    <t>lead_1780468641554@noemail.com</t>
  </si>
  <si>
    <t>lead_1780468641461@noemail.com</t>
  </si>
  <si>
    <t>lead_1780468641367@noemail.com</t>
  </si>
  <si>
    <t>lead_1780468641273@noemail.com</t>
  </si>
  <si>
    <t>lead_1780468641180@noemail.com</t>
  </si>
  <si>
    <t>lead_1780468641086@noemail.com</t>
  </si>
  <si>
    <t>lead_1780468640992@noemail.com</t>
  </si>
  <si>
    <t>lead_1780468640898@noemail.com</t>
  </si>
  <si>
    <t>lead_1780468640804@noemail.com</t>
  </si>
  <si>
    <t>lead_1780468640710@noemail.com</t>
  </si>
  <si>
    <t>lead_1780468640616@noemail.com</t>
  </si>
  <si>
    <t>lead_1780468640522@noemail.com</t>
  </si>
  <si>
    <t>lead_1780465039544@noemail.com</t>
  </si>
  <si>
    <t>lead_1780465039543@noemail.com</t>
  </si>
  <si>
    <t>lead_1780465039542@noemail.com</t>
  </si>
  <si>
    <t>lead_1780465039539@noemail.com</t>
  </si>
  <si>
    <t>lead_1780465039538@noemail.com</t>
  </si>
  <si>
    <t>lead_1780465039537@noemail.com</t>
  </si>
  <si>
    <t>lead_1780465039536@noemail.com</t>
  </si>
  <si>
    <t>lead_1780465039535@noemail.com</t>
  </si>
  <si>
    <t>lead_1780465039534@noemail.com</t>
  </si>
  <si>
    <t>lead_1780465039533@noemail.com</t>
  </si>
  <si>
    <t>lead_1780465039532@noemail.com</t>
  </si>
  <si>
    <t>lead_1780465039531@noemail.com</t>
  </si>
  <si>
    <t>lead_1780465039530@noemail.com</t>
  </si>
  <si>
    <t>lead_1780465039529@noemail.com</t>
  </si>
  <si>
    <t>lead_1780465039528@noemail.com</t>
  </si>
  <si>
    <t>lead_1780465039527@noemail.com</t>
  </si>
  <si>
    <t>lead_1780465039526@noemail.com</t>
  </si>
  <si>
    <t>lead_1780465039524@noemail.com</t>
  </si>
  <si>
    <t>lead_1780465039523@noemail.com</t>
  </si>
  <si>
    <t>lead_1780465039522@noemail.com</t>
  </si>
  <si>
    <t>lead_1780465039520@noemail.com</t>
  </si>
  <si>
    <t>lead_1780465039429@noemail.com</t>
  </si>
  <si>
    <t>lead_1780465039426@noemail.com</t>
  </si>
  <si>
    <t>lead_1780465039425@noemail.com</t>
  </si>
  <si>
    <t>lead_1780465039424@noemail.com</t>
  </si>
  <si>
    <t>lead_1780465039423@noemail.com</t>
  </si>
  <si>
    <t>lead_1780465039422@noemail.com</t>
  </si>
  <si>
    <t>lead_1780465039420@noemail.com</t>
  </si>
  <si>
    <t>lead_1780465039416@noemail.com</t>
  </si>
  <si>
    <t>lead_1780465039414@noemail.com</t>
  </si>
  <si>
    <t>lead_1780465039413@noemail.com</t>
  </si>
  <si>
    <t>lead_1780465039412@noemail.com</t>
  </si>
  <si>
    <t>lead_1780465039399@noemail.com</t>
  </si>
  <si>
    <t>lead_1780465039322@noemail.com</t>
  </si>
  <si>
    <t>lead_1780465039305@noemail.com</t>
  </si>
  <si>
    <t>lead_1780465039304@noemail.com</t>
  </si>
  <si>
    <t>lead_1780465039303@noemail.com</t>
  </si>
  <si>
    <t>lead_1780465039301@noemail.com</t>
  </si>
  <si>
    <t>lead_1780465039224@noemail.com</t>
  </si>
  <si>
    <t>lead_1780465039206@noemail.com</t>
  </si>
  <si>
    <t>lead_1780465039205@noemail.com</t>
  </si>
  <si>
    <t>lead_1780465039204@noemail.com</t>
  </si>
  <si>
    <t>lead_1780465039179@noemail.com</t>
  </si>
  <si>
    <t>lead_1780465039110@noemail.com</t>
  </si>
  <si>
    <t>lead_1780465039109@noemail.com</t>
  </si>
  <si>
    <t>lead_1780465039108@noemail.com</t>
  </si>
  <si>
    <t>lead_1780465039107@noemail.com</t>
  </si>
  <si>
    <t>lead_1780465039105@noemail.com</t>
  </si>
  <si>
    <t>lead_1780465039104@noemail.com</t>
  </si>
  <si>
    <t>lead_1780465039103@noemail.com</t>
  </si>
  <si>
    <t>lead_1780465039102@noemail.com</t>
  </si>
  <si>
    <t>lead_1780465039101@noemail.com</t>
  </si>
  <si>
    <t>lead_1780465039100@noemail.com</t>
  </si>
  <si>
    <t>lead_1780465039099@noemail.com</t>
  </si>
  <si>
    <t>lead_1780465039097@noemail.com</t>
  </si>
  <si>
    <t>lead_1780465039096@noemail.com</t>
  </si>
  <si>
    <t>lead_1780465039089@noemail.com</t>
  </si>
  <si>
    <t>lead_1780465039019@noemail.com</t>
  </si>
  <si>
    <t>lead_1780465038995@noemail.com</t>
  </si>
  <si>
    <t>lead_1780465038993@noemail.com</t>
  </si>
  <si>
    <t>lead_1780465038992@noemail.com</t>
  </si>
  <si>
    <t>lead_1780465038923@noemail.com</t>
  </si>
  <si>
    <t>lead_1780465038899@noemail.com</t>
  </si>
  <si>
    <t>lead_1780465038898@noemail.com</t>
  </si>
  <si>
    <t>lead_1780465038897@noemail.com</t>
  </si>
  <si>
    <t>lead_1780465038896@noemail.com</t>
  </si>
  <si>
    <t>lead_1780465038895@noemail.com</t>
  </si>
  <si>
    <t>lead_1780465038894@noemail.com</t>
  </si>
  <si>
    <t>lead_1780465038893@noemail.com</t>
  </si>
  <si>
    <t>lead_1780465038892@noemail.com</t>
  </si>
  <si>
    <t>lead_1780465038886@noemail.com</t>
  </si>
  <si>
    <t>lead_1780465038885@noemail.com</t>
  </si>
  <si>
    <t>lead_1780465038884@noemail.com</t>
  </si>
  <si>
    <t>lead_1780465038883@noemail.com</t>
  </si>
  <si>
    <t>lead_1780465038881@noemail.com</t>
  </si>
  <si>
    <t>lead_1780465038816@noemail.com</t>
  </si>
  <si>
    <t>lead_1780465038788@noemail.com</t>
  </si>
  <si>
    <t>lead_1780465038787@noemail.com</t>
  </si>
  <si>
    <t>lead_1780465038786@noemail.com</t>
  </si>
  <si>
    <t>lead_1780465038785@noemail.com</t>
  </si>
  <si>
    <t>lead_1780465038784@noemail.com</t>
  </si>
  <si>
    <t>lead_1780465038762@noemail.com</t>
  </si>
  <si>
    <t>lead_1780465038761@noemail.com</t>
  </si>
  <si>
    <t>lead_1780465038760@noemail.com</t>
  </si>
  <si>
    <t>lead_1780465038759@noemail.com</t>
  </si>
  <si>
    <t>lead_1780465038758@noemail.com</t>
  </si>
  <si>
    <t>lead_1780465038757@noemail.com</t>
  </si>
  <si>
    <t>lead_1780465038756@noemail.com</t>
  </si>
  <si>
    <t>lead_1780465038754@noemail.com</t>
  </si>
  <si>
    <t>lead_1780465038753@noemail.com</t>
  </si>
  <si>
    <t>lead_1780465038752@noemail.com</t>
  </si>
  <si>
    <t>lead_1780465038708@noemail.com</t>
  </si>
  <si>
    <t>lead_1780465038659@noemail.com</t>
  </si>
  <si>
    <t>lead_1780465038657@noemail.com</t>
  </si>
  <si>
    <t>lead_1780465038656@noemail.com</t>
  </si>
  <si>
    <t>lead_1780465038587@noemail.com</t>
  </si>
  <si>
    <t>lead_1780465038572@noemail.com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</si>
</sst>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, h:mm:ss am/pm"/>
  </numFmts>
  <fonts count="25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Calibri"/>
    </font>
    <font>
      <sz val="9.0"/>
      <color rgb="FF000000"/>
      <name val="Arial"/>
    </font>
    <font>
      <sz val="11.0"/>
      <color rgb="FF000000"/>
      <name val="Calibri"/>
    </font>
    <font>
      <sz val="11.0"/>
      <color theme="1"/>
      <name val="Calibri"/>
    </font>
    <font>
      <color rgb="FF000000"/>
      <name val="Arial"/>
    </font>
    <font>
      <sz val="9.0"/>
      <color theme="1"/>
      <name val="Arial"/>
    </font>
    <font>
      <sz val="12.0"/>
      <color rgb="FF000000"/>
      <name val="&quot;Times New Roman&quot;"/>
    </font>
    <font>
      <sz val="11.0"/>
      <color rgb="FF000000"/>
      <name val="&quot;Aptos Narrow&quot;"/>
    </font>
    <font>
      <sz val="9.0"/>
      <color rgb="FF111111"/>
      <name val="Arial"/>
    </font>
    <font>
      <i/>
      <sz val="9.0"/>
      <color rgb="FF2D6A4F"/>
      <name val="Arial"/>
    </font>
    <font>
      <sz val="9.0"/>
      <color rgb="FF721C24"/>
      <name val="Arial"/>
    </font>
    <font>
      <b/>
      <sz val="9.0"/>
      <color rgb="FF0C5460"/>
      <name val="Arial"/>
    </font>
    <font>
      <sz val="9.0"/>
      <color rgb="FF333333"/>
      <name val="Arial"/>
    </font>
    <font>
      <b/>
      <sz val="9.0"/>
      <color rgb="FF155724"/>
      <name val="Arial"/>
    </font>
    <font>
      <sz val="9.0"/>
      <color rgb="FF856404"/>
      <name val="Arial"/>
    </font>
    <font>
      <sz val="11.0"/>
      <color rgb="FF000000"/>
      <name val="&quot;Times New Roman&quot;"/>
    </font>
    <font>
      <u/>
      <sz val="11.0"/>
      <color rgb="FF0000FF"/>
      <name val="Calibri"/>
    </font>
    <font>
      <u/>
      <sz val="11.0"/>
      <color rgb="FF000000"/>
      <name val="&quot;Times New Roman&quot;"/>
    </font>
    <font>
      <sz val="9.0"/>
      <color rgb="FF495057"/>
      <name val="Arial"/>
    </font>
    <font>
      <u/>
      <sz val="11.0"/>
      <color rgb="FF0000FF"/>
      <name val="Calibri"/>
    </font>
    <font>
      <sz val="11.0"/>
      <color rgb="FF222222"/>
      <name val="&quot;Google Sans&quot;"/>
    </font>
    <font>
      <sz val="9.0"/>
      <color rgb="FF4A235A"/>
      <name val="Arial"/>
    </font>
    <font>
      <color theme="1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8E1"/>
        <bgColor rgb="FFFFF8E1"/>
      </patternFill>
    </fill>
    <fill>
      <patternFill patternType="solid">
        <fgColor rgb="FFFFFF00"/>
        <bgColor rgb="FFFFFF00"/>
      </patternFill>
    </fill>
    <fill>
      <patternFill patternType="solid">
        <fgColor rgb="FFF9FAFB"/>
        <bgColor rgb="FFF9FAFB"/>
      </patternFill>
    </fill>
    <fill>
      <patternFill patternType="solid">
        <fgColor rgb="FFE8F5E9"/>
        <bgColor rgb="FFE8F5E9"/>
      </patternFill>
    </fill>
    <fill>
      <patternFill patternType="solid">
        <fgColor rgb="FFF8D7DA"/>
        <bgColor rgb="FFF8D7DA"/>
      </patternFill>
    </fill>
    <fill>
      <patternFill patternType="solid">
        <fgColor rgb="FFD1ECF1"/>
        <bgColor rgb="FFD1ECF1"/>
      </patternFill>
    </fill>
    <fill>
      <patternFill patternType="solid">
        <fgColor rgb="FFF1FAF4"/>
        <bgColor rgb="FFF1FAF4"/>
      </patternFill>
    </fill>
    <fill>
      <patternFill patternType="solid">
        <fgColor rgb="FFF5F5F5"/>
        <bgColor rgb="FFF5F5F5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  <fill>
      <patternFill patternType="solid">
        <fgColor rgb="FFE8F7FB"/>
        <bgColor rgb="FFE8F7FB"/>
      </patternFill>
    </fill>
    <fill>
      <patternFill patternType="solid">
        <fgColor rgb="FFE2E3E5"/>
        <bgColor rgb="FFE2E3E5"/>
      </patternFill>
    </fill>
    <fill>
      <patternFill patternType="solid">
        <fgColor rgb="FFF3E5F5"/>
        <bgColor rgb="FFF3E5F5"/>
      </patternFill>
    </fill>
    <fill>
      <patternFill patternType="solid">
        <fgColor rgb="FFF6F8F9"/>
        <bgColor rgb="FFF6F8F9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</border>
    <border>
      <left style="thin">
        <color rgb="FFF6F8F9"/>
      </left>
      <right style="thin">
        <color rgb="FFF6F8F9"/>
      </right>
      <top style="thin">
        <color rgb="FFF6F8F9"/>
      </top>
    </border>
  </borders>
  <cellStyleXfs count="1">
    <xf borderId="0" fillId="0" fontId="0" numFmtId="0" applyAlignment="1" applyFont="1"/>
  </cellStyleXfs>
  <cellXfs count="1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1" fillId="2" fontId="3" numFmtId="0" xfId="0" applyAlignment="1" applyBorder="1" applyFill="1" applyFont="1">
      <alignment readingOrder="0" shrinkToFit="0" vertical="bottom" wrapText="0"/>
    </xf>
    <xf borderId="1" fillId="2" fontId="4" numFmtId="0" xfId="0" applyAlignment="1" applyBorder="1" applyFont="1">
      <alignment shrinkToFit="0" vertical="bottom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1" fillId="3" fontId="3" numFmtId="0" xfId="0" applyAlignment="1" applyBorder="1" applyFill="1" applyFont="1">
      <alignment readingOrder="0" shrinkToFit="0" vertical="bottom" wrapText="0"/>
    </xf>
    <xf borderId="1" fillId="3" fontId="4" numFmtId="0" xfId="0" applyAlignment="1" applyBorder="1" applyFont="1">
      <alignment shrinkToFit="0" vertical="bottom" wrapText="0"/>
    </xf>
    <xf borderId="1" fillId="0" fontId="4" numFmtId="0" xfId="0" applyAlignment="1" applyBorder="1" applyFont="1">
      <alignment readingOrder="0" shrinkToFit="0" vertical="bottom" wrapText="0"/>
    </xf>
    <xf borderId="2" fillId="0" fontId="4" numFmtId="0" xfId="0" applyAlignment="1" applyBorder="1" applyFont="1">
      <alignment readingOrder="0" shrinkToFit="0" vertical="bottom" wrapText="0"/>
    </xf>
    <xf borderId="1" fillId="4" fontId="4" numFmtId="0" xfId="0" applyAlignment="1" applyBorder="1" applyFill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5" numFmtId="0" xfId="0" applyAlignment="1" applyBorder="1" applyFont="1">
      <alignment horizontal="left" shrinkToFit="0" vertical="center" wrapText="0"/>
    </xf>
    <xf borderId="1" fillId="0" fontId="1" numFmtId="0" xfId="0" applyAlignment="1" applyBorder="1" applyFont="1">
      <alignment horizontal="left" readingOrder="0" shrinkToFit="0" vertical="center" wrapText="0"/>
    </xf>
    <xf borderId="1" fillId="0" fontId="5" numFmtId="0" xfId="0" applyAlignment="1" applyBorder="1" applyFont="1">
      <alignment horizontal="left" shrinkToFit="0" vertical="center" wrapText="1"/>
    </xf>
    <xf borderId="1" fillId="0" fontId="5" numFmtId="0" xfId="0" applyAlignment="1" applyBorder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1" fillId="0" fontId="5" numFmtId="0" xfId="0" applyAlignment="1" applyBorder="1" applyFont="1">
      <alignment horizontal="left"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shrinkToFit="0" vertical="bottom" wrapText="0"/>
    </xf>
    <xf borderId="1" fillId="0" fontId="4" numFmtId="0" xfId="0" applyAlignment="1" applyBorder="1" applyFont="1">
      <alignment horizontal="center" readingOrder="0" shrinkToFit="0" vertical="bottom" wrapText="0"/>
    </xf>
    <xf borderId="1" fillId="0" fontId="4" numFmtId="0" xfId="0" applyAlignment="1" applyBorder="1" applyFont="1">
      <alignment readingOrder="0" shrinkToFit="0" vertical="bottom" wrapText="0"/>
    </xf>
    <xf borderId="3" fillId="0" fontId="4" numFmtId="0" xfId="0" applyAlignment="1" applyBorder="1" applyFont="1">
      <alignment readingOrder="0" shrinkToFit="0" vertical="bottom" wrapText="0"/>
    </xf>
    <xf borderId="0" fillId="0" fontId="4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6" numFmtId="0" xfId="0" applyAlignment="1" applyFont="1">
      <alignment horizontal="left"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horizontal="left" readingOrder="0" shrinkToFit="0" vertical="bottom" wrapText="1"/>
    </xf>
    <xf borderId="0" fillId="0" fontId="2" numFmtId="49" xfId="0" applyAlignment="1" applyFont="1" applyNumberFormat="1">
      <alignment horizontal="left" readingOrder="0" shrinkToFit="0" vertical="bottom" wrapText="0"/>
    </xf>
    <xf borderId="0" fillId="0" fontId="4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4" numFmtId="0" xfId="0" applyAlignment="1" applyFont="1">
      <alignment horizontal="right" readingOrder="0" shrinkToFit="0" vertical="bottom" wrapText="1"/>
    </xf>
    <xf borderId="1" fillId="3" fontId="3" numFmtId="0" xfId="0" applyAlignment="1" applyBorder="1" applyFont="1">
      <alignment horizontal="left" readingOrder="0" shrinkToFit="0" vertical="center" wrapText="0"/>
    </xf>
    <xf borderId="1" fillId="3" fontId="3" numFmtId="0" xfId="0" applyAlignment="1" applyBorder="1" applyFont="1">
      <alignment horizontal="left" shrinkToFit="0" vertical="center" wrapText="0"/>
    </xf>
    <xf borderId="0" fillId="0" fontId="4" numFmtId="0" xfId="0" applyAlignment="1" applyFont="1">
      <alignment readingOrder="0" shrinkToFit="0" vertical="bottom" wrapText="1"/>
    </xf>
    <xf borderId="0" fillId="0" fontId="4" numFmtId="0" xfId="0" applyAlignment="1" applyFont="1">
      <alignment horizontal="right" readingOrder="0" shrinkToFit="0" vertical="bottom" wrapText="1"/>
    </xf>
    <xf borderId="1" fillId="2" fontId="3" numFmtId="0" xfId="0" applyAlignment="1" applyBorder="1" applyFont="1">
      <alignment horizontal="left" readingOrder="0" shrinkToFit="0" vertical="center" wrapText="0"/>
    </xf>
    <xf borderId="1" fillId="2" fontId="3" numFmtId="0" xfId="0" applyAlignment="1" applyBorder="1" applyFont="1">
      <alignment horizontal="left" shrinkToFit="0" vertical="center" wrapText="0"/>
    </xf>
    <xf borderId="0" fillId="0" fontId="1" numFmtId="0" xfId="0" applyAlignment="1" applyFont="1">
      <alignment readingOrder="0" shrinkToFit="0" vertical="center" wrapText="1"/>
    </xf>
    <xf borderId="1" fillId="3" fontId="7" numFmtId="0" xfId="0" applyAlignment="1" applyBorder="1" applyFont="1">
      <alignment shrinkToFit="0" vertical="center" wrapText="1"/>
    </xf>
    <xf borderId="4" fillId="2" fontId="7" numFmtId="0" xfId="0" applyAlignment="1" applyBorder="1" applyFont="1">
      <alignment shrinkToFit="0" vertical="center" wrapText="1"/>
    </xf>
    <xf borderId="0" fillId="0" fontId="1" numFmtId="0" xfId="0" applyAlignment="1" applyFont="1">
      <alignment shrinkToFit="0" vertical="center" wrapText="0"/>
    </xf>
    <xf borderId="4" fillId="3" fontId="7" numFmtId="0" xfId="0" applyAlignment="1" applyBorder="1" applyFont="1">
      <alignment shrinkToFit="0" vertical="center" wrapText="1"/>
    </xf>
    <xf borderId="4" fillId="3" fontId="5" numFmtId="0" xfId="0" applyAlignment="1" applyBorder="1" applyFont="1">
      <alignment shrinkToFit="0" vertical="center" wrapText="0"/>
    </xf>
    <xf borderId="4" fillId="2" fontId="5" numFmtId="0" xfId="0" applyAlignment="1" applyBorder="1" applyFont="1">
      <alignment shrinkToFit="0" vertical="center" wrapText="0"/>
    </xf>
    <xf borderId="0" fillId="2" fontId="7" numFmtId="0" xfId="0" applyAlignment="1" applyFont="1">
      <alignment shrinkToFit="0" vertical="center" wrapText="1"/>
    </xf>
    <xf borderId="0" fillId="2" fontId="5" numFmtId="0" xfId="0" applyAlignment="1" applyFont="1">
      <alignment shrinkToFit="0" vertical="center" wrapText="0"/>
    </xf>
    <xf borderId="0" fillId="3" fontId="7" numFmtId="0" xfId="0" applyAlignment="1" applyFont="1">
      <alignment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8" numFmtId="0" xfId="0" applyAlignment="1" applyFont="1">
      <alignment readingOrder="0" shrinkToFit="0" vertical="bottom" wrapText="0"/>
    </xf>
    <xf borderId="0" fillId="0" fontId="8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readingOrder="0" shrinkToFit="0" vertical="center" wrapText="0"/>
    </xf>
    <xf borderId="0" fillId="0" fontId="9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5" fontId="10" numFmtId="0" xfId="0" applyAlignment="1" applyFill="1" applyFont="1">
      <alignment horizontal="center" readingOrder="0" shrinkToFit="0" vertical="center" wrapText="0"/>
    </xf>
    <xf borderId="0" fillId="5" fontId="10" numFmtId="0" xfId="0" applyAlignment="1" applyFont="1">
      <alignment horizontal="left" readingOrder="0" shrinkToFit="0" vertical="center" wrapText="0"/>
    </xf>
    <xf borderId="0" fillId="5" fontId="10" numFmtId="0" xfId="0" applyAlignment="1" applyFont="1">
      <alignment horizontal="left" shrinkToFit="0" vertical="center" wrapText="0"/>
    </xf>
    <xf borderId="0" fillId="6" fontId="11" numFmtId="0" xfId="0" applyAlignment="1" applyFill="1" applyFont="1">
      <alignment readingOrder="0" shrinkToFit="0" vertical="center" wrapText="0"/>
    </xf>
    <xf borderId="0" fillId="6" fontId="11" numFmtId="0" xfId="0" applyAlignment="1" applyFont="1">
      <alignment horizontal="left" readingOrder="0" shrinkToFit="0" vertical="center" wrapText="0"/>
    </xf>
    <xf borderId="0" fillId="7" fontId="12" numFmtId="0" xfId="0" applyAlignment="1" applyFill="1" applyFont="1">
      <alignment horizontal="center" readingOrder="0" shrinkToFit="0" vertical="center" wrapText="0"/>
    </xf>
    <xf borderId="0" fillId="5" fontId="10" numFmtId="0" xfId="0" applyAlignment="1" applyFont="1">
      <alignment horizontal="left" shrinkToFit="0" vertical="center" wrapText="0"/>
    </xf>
    <xf borderId="0" fillId="8" fontId="13" numFmtId="0" xfId="0" applyAlignment="1" applyFill="1" applyFont="1">
      <alignment horizontal="center" readingOrder="0" shrinkToFit="0" vertical="center" wrapText="0"/>
    </xf>
    <xf borderId="0" fillId="8" fontId="13" numFmtId="0" xfId="0" applyAlignment="1" applyFont="1">
      <alignment horizontal="center" readingOrder="0" shrinkToFit="0" vertical="center" wrapText="0"/>
    </xf>
    <xf borderId="0" fillId="2" fontId="10" numFmtId="0" xfId="0" applyAlignment="1" applyFont="1">
      <alignment horizontal="center" readingOrder="0" shrinkToFit="0" vertical="center" wrapText="0"/>
    </xf>
    <xf borderId="0" fillId="2" fontId="10" numFmtId="0" xfId="0" applyAlignment="1" applyFont="1">
      <alignment horizontal="left" readingOrder="0" shrinkToFit="0" vertical="center" wrapText="0"/>
    </xf>
    <xf borderId="0" fillId="2" fontId="10" numFmtId="0" xfId="0" applyAlignment="1" applyFont="1">
      <alignment horizontal="left" shrinkToFit="0" vertical="center" wrapText="0"/>
    </xf>
    <xf borderId="0" fillId="9" fontId="11" numFmtId="0" xfId="0" applyAlignment="1" applyFill="1" applyFont="1">
      <alignment readingOrder="0" shrinkToFit="0" vertical="center" wrapText="0"/>
    </xf>
    <xf borderId="0" fillId="2" fontId="10" numFmtId="0" xfId="0" applyAlignment="1" applyFont="1">
      <alignment horizontal="left" shrinkToFit="0" vertical="center" wrapText="0"/>
    </xf>
    <xf borderId="0" fillId="10" fontId="14" numFmtId="0" xfId="0" applyAlignment="1" applyFill="1" applyFont="1">
      <alignment horizontal="center" readingOrder="0" shrinkToFit="0" vertical="center" wrapText="0"/>
    </xf>
    <xf borderId="0" fillId="11" fontId="15" numFmtId="0" xfId="0" applyAlignment="1" applyFill="1" applyFont="1">
      <alignment horizontal="center" readingOrder="0" shrinkToFit="0" vertical="center" wrapText="0"/>
    </xf>
    <xf borderId="0" fillId="12" fontId="16" numFmtId="0" xfId="0" applyAlignment="1" applyFill="1" applyFont="1">
      <alignment horizontal="center" readingOrder="0" shrinkToFit="0" vertical="center" wrapText="0"/>
    </xf>
    <xf borderId="0" fillId="8" fontId="13" numFmtId="0" xfId="0" applyAlignment="1" applyFont="1">
      <alignment horizontal="center" readingOrder="0" shrinkToFit="0" vertical="center" wrapText="0"/>
    </xf>
    <xf borderId="0" fillId="9" fontId="1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7" numFmtId="0" xfId="0" applyAlignment="1" applyFont="1">
      <alignment horizontal="right" readingOrder="0" shrinkToFit="0" vertical="bottom" wrapText="0"/>
    </xf>
    <xf borderId="0" fillId="0" fontId="17" numFmtId="49" xfId="0" applyAlignment="1" applyFont="1" applyNumberFormat="1">
      <alignment horizontal="left" readingOrder="0" shrinkToFit="0" vertical="bottom" wrapText="0"/>
    </xf>
    <xf borderId="0" fillId="0" fontId="17" numFmtId="0" xfId="0" applyAlignment="1" applyFont="1">
      <alignment horizontal="left" readingOrder="0" shrinkToFit="0" vertical="bottom" wrapText="0"/>
    </xf>
    <xf borderId="0" fillId="0" fontId="17" numFmtId="0" xfId="0" applyAlignment="1" applyFont="1">
      <alignment horizontal="left" shrinkToFit="0" vertical="bottom" wrapText="0"/>
    </xf>
    <xf borderId="0" fillId="0" fontId="18" numFmtId="0" xfId="0" applyAlignment="1" applyFont="1">
      <alignment horizontal="left" readingOrder="0" shrinkToFit="0" vertical="bottom" wrapText="0"/>
    </xf>
    <xf borderId="0" fillId="0" fontId="19" numFmtId="0" xfId="0" applyAlignment="1" applyFont="1">
      <alignment horizontal="left" readingOrder="0" shrinkToFit="0" vertical="bottom" wrapText="0"/>
    </xf>
    <xf borderId="0" fillId="0" fontId="17" numFmtId="49" xfId="0" applyAlignment="1" applyFont="1" applyNumberFormat="1">
      <alignment shrinkToFit="0" vertical="bottom" wrapText="0"/>
    </xf>
    <xf borderId="0" fillId="0" fontId="17" numFmtId="0" xfId="0" applyAlignment="1" applyFont="1">
      <alignment shrinkToFit="0" vertical="bottom" wrapText="0"/>
    </xf>
    <xf borderId="0" fillId="0" fontId="17" numFmtId="0" xfId="0" applyAlignment="1" applyFont="1">
      <alignment shrinkToFit="0" vertical="bottom" wrapText="0"/>
    </xf>
    <xf borderId="0" fillId="0" fontId="17" numFmtId="49" xfId="0" applyAlignment="1" applyFont="1" applyNumberFormat="1">
      <alignment horizontal="right" readingOrder="0" shrinkToFit="0" vertical="bottom" wrapText="0"/>
    </xf>
    <xf borderId="0" fillId="0" fontId="17" numFmtId="0" xfId="0" applyAlignment="1" applyFont="1">
      <alignment horizontal="right" readingOrder="0" shrinkToFit="0" vertical="bottom" wrapText="0"/>
    </xf>
    <xf borderId="0" fillId="5" fontId="10" numFmtId="0" xfId="0" applyAlignment="1" applyFont="1">
      <alignment horizontal="left" readingOrder="0" shrinkToFit="0" vertical="center" wrapText="0"/>
    </xf>
    <xf borderId="0" fillId="7" fontId="12" numFmtId="0" xfId="0" applyAlignment="1" applyFont="1">
      <alignment horizontal="center" readingOrder="0" shrinkToFit="0" vertical="center" wrapText="0"/>
    </xf>
    <xf borderId="0" fillId="2" fontId="10" numFmtId="0" xfId="0" applyAlignment="1" applyFont="1">
      <alignment horizontal="left" readingOrder="0" shrinkToFit="0" vertical="center" wrapText="0"/>
    </xf>
    <xf borderId="0" fillId="13" fontId="13" numFmtId="0" xfId="0" applyAlignment="1" applyFill="1" applyFont="1">
      <alignment horizontal="center" readingOrder="0" shrinkToFit="0" vertical="center" wrapText="0"/>
    </xf>
    <xf borderId="0" fillId="5" fontId="10" numFmtId="0" xfId="0" applyAlignment="1" applyFont="1">
      <alignment horizontal="center" shrinkToFit="0" vertical="center" wrapText="0"/>
    </xf>
    <xf borderId="0" fillId="11" fontId="15" numFmtId="0" xfId="0" applyAlignment="1" applyFont="1">
      <alignment horizontal="center" readingOrder="0" shrinkToFit="0" vertical="center" wrapText="0"/>
    </xf>
    <xf borderId="0" fillId="14" fontId="20" numFmtId="0" xfId="0" applyAlignment="1" applyFill="1" applyFont="1">
      <alignment horizontal="center" readingOrder="0" shrinkToFit="0" vertical="center" wrapText="0"/>
    </xf>
    <xf borderId="0" fillId="0" fontId="21" numFmtId="0" xfId="0" applyAlignment="1" applyFont="1">
      <alignment horizontal="left" readingOrder="0" shrinkToFit="0" vertical="center" wrapText="0"/>
    </xf>
    <xf borderId="0" fillId="10" fontId="14" numFmtId="0" xfId="0" applyAlignment="1" applyFont="1">
      <alignment horizontal="center" readingOrder="0" shrinkToFit="0" vertical="center" wrapText="0"/>
    </xf>
    <xf borderId="0" fillId="5" fontId="10" numFmtId="0" xfId="0" applyAlignment="1" applyFont="1">
      <alignment horizontal="left" shrinkToFit="0" vertical="center" wrapText="0"/>
    </xf>
    <xf borderId="0" fillId="2" fontId="10" numFmtId="0" xfId="0" applyAlignment="1" applyFont="1">
      <alignment horizontal="center" shrinkToFit="0" vertical="center" wrapText="0"/>
    </xf>
    <xf borderId="0" fillId="2" fontId="10" numFmtId="0" xfId="0" applyAlignment="1" applyFont="1">
      <alignment horizontal="left" shrinkToFit="0" vertical="center" wrapText="0"/>
    </xf>
    <xf borderId="0" fillId="12" fontId="16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5" fontId="10" numFmtId="0" xfId="0" applyAlignment="1" applyFont="1">
      <alignment horizontal="center" readingOrder="0" shrinkToFit="0" vertical="center" wrapText="0"/>
    </xf>
    <xf borderId="0" fillId="2" fontId="22" numFmtId="0" xfId="0" applyAlignment="1" applyFont="1">
      <alignment readingOrder="0" shrinkToFit="0" vertical="center" wrapText="0"/>
    </xf>
    <xf borderId="0" fillId="7" fontId="12" numFmtId="0" xfId="0" applyAlignment="1" applyFont="1">
      <alignment horizontal="center" readingOrder="0" shrinkToFit="0" vertical="center" wrapText="0"/>
    </xf>
    <xf borderId="0" fillId="2" fontId="10" numFmtId="0" xfId="0" applyAlignment="1" applyFont="1">
      <alignment horizontal="center" readingOrder="0" shrinkToFit="0" vertical="center" wrapText="0"/>
    </xf>
    <xf borderId="0" fillId="14" fontId="20" numFmtId="0" xfId="0" applyAlignment="1" applyFont="1">
      <alignment horizontal="center" readingOrder="0" shrinkToFit="0" vertical="center" wrapText="0"/>
    </xf>
    <xf borderId="0" fillId="11" fontId="15" numFmtId="0" xfId="0" applyAlignment="1" applyFont="1">
      <alignment horizontal="center" readingOrder="0" shrinkToFit="0" vertical="center" wrapText="0"/>
    </xf>
    <xf borderId="0" fillId="5" fontId="10" numFmtId="0" xfId="0" applyAlignment="1" applyFont="1">
      <alignment horizontal="left" readingOrder="0" shrinkToFit="0" vertical="center" wrapText="0"/>
    </xf>
    <xf borderId="0" fillId="12" fontId="16" numFmtId="0" xfId="0" applyAlignment="1" applyFont="1">
      <alignment horizontal="center" readingOrder="0" shrinkToFit="0" vertical="center" wrapText="0"/>
    </xf>
    <xf borderId="0" fillId="15" fontId="23" numFmtId="0" xfId="0" applyAlignment="1" applyFill="1" applyFont="1">
      <alignment horizontal="center" readingOrder="0" shrinkToFit="0" vertical="center" wrapText="0"/>
    </xf>
    <xf borderId="0" fillId="5" fontId="10" numFmtId="46" xfId="0" applyAlignment="1" applyFont="1" applyNumberFormat="1">
      <alignment horizontal="left" readingOrder="0" shrinkToFit="0" vertical="center" wrapText="0"/>
    </xf>
    <xf borderId="0" fillId="10" fontId="14" numFmtId="0" xfId="0" applyAlignment="1" applyFont="1">
      <alignment horizontal="center" readingOrder="0" shrinkToFit="0" vertical="center" wrapText="0"/>
    </xf>
    <xf borderId="0" fillId="0" fontId="2" numFmtId="49" xfId="0" applyAlignment="1" applyFont="1" applyNumberFormat="1">
      <alignment horizontal="left" readingOrder="0" shrinkToFit="0" vertical="bottom" wrapText="0"/>
    </xf>
    <xf borderId="0" fillId="0" fontId="1" numFmtId="49" xfId="0" applyAlignment="1" applyFont="1" applyNumberFormat="1">
      <alignment horizontal="left" readingOrder="0" shrinkToFit="0" vertical="center" wrapText="0"/>
    </xf>
    <xf borderId="5" fillId="2" fontId="5" numFmtId="0" xfId="0" applyAlignment="1" applyBorder="1" applyFont="1">
      <alignment shrinkToFit="0" vertical="bottom" wrapText="0"/>
    </xf>
    <xf borderId="6" fillId="2" fontId="5" numFmtId="0" xfId="0" applyAlignment="1" applyBorder="1" applyFont="1">
      <alignment horizontal="right" shrinkToFit="0" vertical="bottom" wrapText="0"/>
    </xf>
    <xf borderId="7" fillId="16" fontId="5" numFmtId="0" xfId="0" applyAlignment="1" applyBorder="1" applyFill="1" applyFont="1">
      <alignment shrinkToFit="0" vertical="bottom" wrapText="0"/>
    </xf>
    <xf borderId="8" fillId="16" fontId="5" numFmtId="0" xfId="0" applyAlignment="1" applyBorder="1" applyFont="1">
      <alignment horizontal="right" shrinkToFit="0" vertical="bottom" wrapText="0"/>
    </xf>
    <xf borderId="0" fillId="0" fontId="1" numFmtId="0" xfId="0" applyAlignment="1" applyFont="1">
      <alignment shrinkToFit="0" vertical="center" wrapText="0"/>
    </xf>
    <xf borderId="9" fillId="16" fontId="5" numFmtId="0" xfId="0" applyAlignment="1" applyBorder="1" applyFont="1">
      <alignment shrinkToFit="0" vertical="bottom" wrapText="0"/>
    </xf>
    <xf borderId="10" fillId="16" fontId="5" numFmtId="0" xfId="0" applyAlignment="1" applyBorder="1" applyFont="1">
      <alignment horizontal="right" shrinkToFit="0" vertical="bottom" wrapText="0"/>
    </xf>
    <xf borderId="1" fillId="0" fontId="5" numFmtId="0" xfId="0" applyAlignment="1" applyBorder="1" applyFont="1">
      <alignment shrinkToFit="0" vertical="bottom" wrapText="0"/>
    </xf>
    <xf borderId="1" fillId="0" fontId="5" numFmtId="0" xfId="0" applyAlignment="1" applyBorder="1" applyFont="1">
      <alignment shrinkToFit="0" vertical="bottom" wrapText="0"/>
    </xf>
    <xf borderId="1" fillId="0" fontId="5" numFmtId="0" xfId="0" applyAlignment="1" applyBorder="1" applyFont="1">
      <alignment shrinkToFit="0" vertical="bottom" wrapText="0"/>
    </xf>
    <xf borderId="1" fillId="0" fontId="24" numFmtId="0" xfId="0" applyAlignment="1" applyBorder="1" applyFont="1">
      <alignment shrinkToFit="0" vertical="bottom" wrapText="0"/>
    </xf>
    <xf borderId="1" fillId="0" fontId="5" numFmtId="0" xfId="0" applyAlignment="1" applyBorder="1" applyFont="1">
      <alignment horizontal="right"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164" xfId="0" applyAlignment="1" applyFont="1" applyNumberForma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3">
    <tableStyle count="4" pivot="0" name="Soe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oCD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SSSoA_U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SSSoA_P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. Tech Dair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. Tech Phyt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. Tech A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iplom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ursi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oM_BB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oF_BFSc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oM_MBA ABM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oF_MFSc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J170" displayName="Table1" name="Table1" id="1">
  <autoFilter ref="$A$2:$J$170"/>
  <tableColumns count="10">
    <tableColumn name="Sl. No." id="1"/>
    <tableColumn name="Full_name" id="2"/>
    <tableColumn name="Email" id="3"/>
    <tableColumn name="Phone_number" id="4"/>
    <tableColumn name="State" id="5"/>
    <tableColumn name="City" id="6"/>
    <tableColumn name="FACULTY/STAFF NAME WHO CALLED" id="7"/>
    <tableColumn name="STATUS" id="8"/>
    <tableColumn name="REMARKS" id="9"/>
    <tableColumn name="Lead Source" id="10"/>
  </tableColumns>
  <tableStyleInfo name="SoeT-style" showColumnStripes="0" showFirstColumn="1" showLastColumn="1" showRowStripes="1"/>
</table>
</file>

<file path=xl/tables/table2.xml><?xml version="1.0" encoding="utf-8"?>
<table xmlns="http://schemas.openxmlformats.org/spreadsheetml/2006/main" ref="A2:K300" displayName="Table2" name="Table2" id="2">
  <tableColumns count="11">
    <tableColumn name="Sl. No." id="1"/>
    <tableColumn name="Full_name" id="2"/>
    <tableColumn name="Email" id="3"/>
    <tableColumn name="Phone_number" id="4"/>
    <tableColumn name="State" id="5"/>
    <tableColumn name="City" id="6"/>
    <tableColumn name="FACULTY/STAFF NAME WHO CALLED" id="7"/>
    <tableColumn name="Faculty Email Address _x000a_" id="8"/>
    <tableColumn name="STATUS" id="9"/>
    <tableColumn name="REMARKS" id="10"/>
    <tableColumn name="Lead Source" id="11"/>
  </tableColumns>
  <tableStyleInfo name="SoCDS-style" showColumnStripes="0" showFirstColumn="1" showLastColumn="1" showRowStripes="1"/>
</table>
</file>

<file path=xl/tables/table3.xml><?xml version="1.0" encoding="utf-8"?>
<table xmlns="http://schemas.openxmlformats.org/spreadsheetml/2006/main" ref="A2:L2889" displayName="Table3" name="Table3" id="3">
  <tableColumns count="12">
    <tableColumn name="Sl. No." id="1"/>
    <tableColumn name="Full_name" id="2"/>
    <tableColumn name="Email" id="3"/>
    <tableColumn name="Phone_number" id="4"/>
    <tableColumn name="State" id="5"/>
    <tableColumn name="City" id="6"/>
    <tableColumn name="FACULTY/STAFF NAME WHO CALLED" id="7"/>
    <tableColumn name="Faculty Email Address" id="8"/>
    <tableColumn name="STATUS" id="9"/>
    <tableColumn name="REMARKS" id="10"/>
    <tableColumn name="Lead Source" id="11"/>
    <tableColumn name="Column 1" id="12"/>
  </tableColumns>
  <tableStyleInfo name="MSSSoA_UG-style" showColumnStripes="0" showFirstColumn="1" showLastColumn="1" showRowStripes="1"/>
</table>
</file>

<file path=xl/tables/table4.xml><?xml version="1.0" encoding="utf-8"?>
<table xmlns="http://schemas.openxmlformats.org/spreadsheetml/2006/main" ref="A2:K65" displayName="Table4" name="Table4" id="4">
  <tableColumns count="11">
    <tableColumn name="Sl. No." id="1"/>
    <tableColumn name="Full_name" id="2"/>
    <tableColumn name="Email" id="3"/>
    <tableColumn name="Phone_number" id="4"/>
    <tableColumn name="State" id="5"/>
    <tableColumn name="City" id="6"/>
    <tableColumn name="FACULTY/STAFF NAME WHO CALLED" id="7"/>
    <tableColumn name="Faculty Email Address" id="8"/>
    <tableColumn name="STATUS" id="9"/>
    <tableColumn name="REMARKS" id="10"/>
    <tableColumn name="Lead Source" id="11"/>
  </tableColumns>
  <tableStyleInfo name="MSSSoA_PG-style" showColumnStripes="0" showFirstColumn="1" showLastColumn="1" showRowStripes="1"/>
</table>
</file>

<file path=xl/tables/table5.xml><?xml version="1.0" encoding="utf-8"?>
<table xmlns="http://schemas.openxmlformats.org/spreadsheetml/2006/main" ref="A2:K183" displayName="Table5" name="Table5" id="5">
  <tableColumns count="11">
    <tableColumn name="Sl. No." id="1"/>
    <tableColumn name="Full_name" id="2"/>
    <tableColumn name="Email" id="3"/>
    <tableColumn name="Phone_number" id="4"/>
    <tableColumn name="State" id="5"/>
    <tableColumn name="City" id="6"/>
    <tableColumn name="FACULTY/STAFF NAME WHO CALLED" id="7"/>
    <tableColumn name="Faculty Email Address" id="8"/>
    <tableColumn name="STATUS" id="9"/>
    <tableColumn name="REMARKS" id="10"/>
    <tableColumn name="Lead Source" id="11"/>
  </tableColumns>
  <tableStyleInfo name="B. Tech Dairy-style" showColumnStripes="0" showFirstColumn="1" showLastColumn="1" showRowStripes="1"/>
</table>
</file>

<file path=xl/tables/table6.xml><?xml version="1.0" encoding="utf-8"?>
<table xmlns="http://schemas.openxmlformats.org/spreadsheetml/2006/main" ref="A2:K78" displayName="Table6" name="Table6" id="6">
  <tableColumns count="11">
    <tableColumn name="Sl. No." id="1"/>
    <tableColumn name="Full_name" id="2"/>
    <tableColumn name="Email" id="3"/>
    <tableColumn name="Phone_number" id="4"/>
    <tableColumn name="State" id="5"/>
    <tableColumn name="City" id="6"/>
    <tableColumn name="FACULTY/STAFF NAME WHO CALLED" id="7"/>
    <tableColumn name="Faculty Email Address" id="8"/>
    <tableColumn name="STATUS" id="9"/>
    <tableColumn name="REMARKS" id="10"/>
    <tableColumn name="Lead Source" id="11"/>
  </tableColumns>
  <tableStyleInfo name="B. Tech Phyto-style" showColumnStripes="0" showFirstColumn="1" showLastColumn="1" showRowStripes="1"/>
</table>
</file>

<file path=xl/tables/table7.xml><?xml version="1.0" encoding="utf-8"?>
<table xmlns="http://schemas.openxmlformats.org/spreadsheetml/2006/main" ref="A2:K121" displayName="Table7" name="Table7" id="7">
  <tableColumns count="11">
    <tableColumn name="Sl. No." id="1"/>
    <tableColumn name="Full_name" id="2"/>
    <tableColumn name="Email" id="3"/>
    <tableColumn name="Phone_number" id="4"/>
    <tableColumn name="State" id="5"/>
    <tableColumn name="City" id="6"/>
    <tableColumn name="FACULTY/STAFF NAME WHO CALLED" id="7"/>
    <tableColumn name="Faculty Email Address" id="8"/>
    <tableColumn name="STATUS" id="9"/>
    <tableColumn name="REMARKS" id="10"/>
    <tableColumn name="Lead Source" id="11"/>
  </tableColumns>
  <tableStyleInfo name="B. Tech Ag-style" showColumnStripes="0" showFirstColumn="1" showLastColumn="1" showRowStripes="1"/>
</table>
</file>

<file path=xl/tables/table8.xml><?xml version="1.0" encoding="utf-8"?>
<table xmlns="http://schemas.openxmlformats.org/spreadsheetml/2006/main" ref="A2:K3" displayName="Table8" name="Table8" id="8">
  <tableColumns count="11">
    <tableColumn name="Sl. No." id="1"/>
    <tableColumn name="Full_name" id="2"/>
    <tableColumn name="Email" id="3"/>
    <tableColumn name="Phone_number" id="4"/>
    <tableColumn name="State" id="5"/>
    <tableColumn name="City" id="6"/>
    <tableColumn name="FACULTY/STAFF NAME WHO CALLED" id="7"/>
    <tableColumn name="Faculty Email Address" id="8"/>
    <tableColumn name="STATUS" id="9"/>
    <tableColumn name="REMARKS" id="10"/>
    <tableColumn name="Lead Source" id="11"/>
  </tableColumns>
  <tableStyleInfo name="Diploma-style" showColumnStripes="0" showFirstColumn="1" showLastColumn="1" showRowStripes="1"/>
</table>
</file>

<file path=xl/tables/table9.xml><?xml version="1.0" encoding="utf-8"?>
<table xmlns="http://schemas.openxmlformats.org/spreadsheetml/2006/main" ref="A2:K3" displayName="Table9" name="Table9" id="9">
  <tableColumns count="11">
    <tableColumn name="Sl. No." id="1"/>
    <tableColumn name="Full_name" id="2"/>
    <tableColumn name="Email" id="3"/>
    <tableColumn name="Phone_number" id="4"/>
    <tableColumn name="State" id="5"/>
    <tableColumn name="City" id="6"/>
    <tableColumn name="FACULTY/STAFF NAME WHO CALLED" id="7"/>
    <tableColumn name="Faculty Email Address" id="8"/>
    <tableColumn name="STATUS" id="9"/>
    <tableColumn name="REMARKS" id="10"/>
    <tableColumn name="Lead Source" id="11"/>
  </tableColumns>
  <tableStyleInfo name="Nursing-style" showColumnStripes="0" showFirstColumn="1" showLastColumn="1" showRowStripes="1"/>
</table>
</file>

<file path=xl/tables/table10.xml><?xml version="1.0" encoding="utf-8"?>
<table xmlns="http://schemas.openxmlformats.org/spreadsheetml/2006/main" ref="A2:K318" displayName="Table10" name="Table10" id="10">
  <tableColumns count="11">
    <tableColumn name="Column 1" id="1"/>
    <tableColumn name="Column 2" id="2"/>
    <tableColumn name="Column 3" id="3"/>
    <tableColumn name="Column 4" id="4"/>
    <tableColumn name="Column 5" id="5"/>
    <tableColumn name="Column 6" id="6"/>
    <tableColumn name="Column 7" id="7"/>
    <tableColumn name="Column 8" id="8"/>
    <tableColumn name="Column 9" id="9"/>
    <tableColumn name="Column 10" id="10"/>
    <tableColumn name="Column 11" id="11"/>
  </tableColumns>
  <tableStyleInfo name="SoM_BBA-style" showColumnStripes="0" showFirstColumn="1" showLastColumn="1" showRowStripes="1"/>
</table>
</file>

<file path=xl/tables/table11.xml><?xml version="1.0" encoding="utf-8"?>
<table xmlns="http://schemas.openxmlformats.org/spreadsheetml/2006/main" ref="A2:K3" displayName="Table11" name="Table11" id="11">
  <tableColumns count="11">
    <tableColumn name="Sl. No." id="1"/>
    <tableColumn name="Full_name" id="2"/>
    <tableColumn name="Email" id="3"/>
    <tableColumn name="Phone_number" id="4"/>
    <tableColumn name="State" id="5"/>
    <tableColumn name="City" id="6"/>
    <tableColumn name="FACULTY/STAFF NAME WHO CALLED" id="7"/>
    <tableColumn name="Faculty Email Address" id="8"/>
    <tableColumn name="STATUS" id="9"/>
    <tableColumn name="REMARKS" id="10"/>
    <tableColumn name="Lead Source" id="11"/>
  </tableColumns>
  <tableStyleInfo name="SoF_BFSc-style" showColumnStripes="0" showFirstColumn="1" showLastColumn="1" showRowStripes="1"/>
</table>
</file>

<file path=xl/tables/table12.xml><?xml version="1.0" encoding="utf-8"?>
<table xmlns="http://schemas.openxmlformats.org/spreadsheetml/2006/main" ref="A2:K3" displayName="Table12" name="Table12" id="12">
  <tableColumns count="11">
    <tableColumn name="Sl. No." id="1"/>
    <tableColumn name="Full_name" id="2"/>
    <tableColumn name="Email" id="3"/>
    <tableColumn name="Phone_number" id="4"/>
    <tableColumn name="State" id="5"/>
    <tableColumn name="City" id="6"/>
    <tableColumn name="FACULTY/STAFF NAME WHO CALLED" id="7"/>
    <tableColumn name="Faculty Email Address" id="8"/>
    <tableColumn name="STATUS" id="9"/>
    <tableColumn name="REMARKS" id="10"/>
    <tableColumn name="Lead Source" id="11"/>
  </tableColumns>
  <tableStyleInfo name="SoM_MBA ABM-style" showColumnStripes="0" showFirstColumn="1" showLastColumn="1" showRowStripes="1"/>
</table>
</file>

<file path=xl/tables/table13.xml><?xml version="1.0" encoding="utf-8"?>
<table xmlns="http://schemas.openxmlformats.org/spreadsheetml/2006/main" ref="A2:K202" displayName="Table13" name="Table13" id="13">
  <tableColumns count="11">
    <tableColumn name="Sl. No." id="1"/>
    <tableColumn name="Full_name" id="2"/>
    <tableColumn name="Email" id="3"/>
    <tableColumn name="Phone_number" id="4"/>
    <tableColumn name="State" id="5"/>
    <tableColumn name="City" id="6"/>
    <tableColumn name="FACULTY/STAFF NAME WHO CALLED" id="7"/>
    <tableColumn name="Faculty Email Address" id="8"/>
    <tableColumn name="STATUS" id="9"/>
    <tableColumn name="REMARKS" id="10"/>
    <tableColumn name="Lead Source" id="11"/>
  </tableColumns>
  <tableStyleInfo name="SoF_MFSc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mailto:rajashree.jena@cutm.ac.in" TargetMode="External"/><Relationship Id="rId42" Type="http://schemas.openxmlformats.org/officeDocument/2006/relationships/hyperlink" Target="http://b.com" TargetMode="External"/><Relationship Id="rId41" Type="http://schemas.openxmlformats.org/officeDocument/2006/relationships/hyperlink" Target="mailto:rajashree.jena@cutm.ac.in" TargetMode="External"/><Relationship Id="rId44" Type="http://schemas.openxmlformats.org/officeDocument/2006/relationships/hyperlink" Target="mailto:rajashree.jena@cutm.ac.in" TargetMode="External"/><Relationship Id="rId43" Type="http://schemas.openxmlformats.org/officeDocument/2006/relationships/hyperlink" Target="mailto:rajashree.jena@cutm.ac.in" TargetMode="External"/><Relationship Id="rId46" Type="http://schemas.openxmlformats.org/officeDocument/2006/relationships/hyperlink" Target="mailto:rajashree.jena@cutm.ac.in" TargetMode="External"/><Relationship Id="rId45" Type="http://schemas.openxmlformats.org/officeDocument/2006/relationships/hyperlink" Target="mailto:rajashree.jena@cutm.ac.in" TargetMode="External"/><Relationship Id="rId107" Type="http://schemas.openxmlformats.org/officeDocument/2006/relationships/hyperlink" Target="mailto:rajashree.jena@cutm.ac.in" TargetMode="External"/><Relationship Id="rId106" Type="http://schemas.openxmlformats.org/officeDocument/2006/relationships/hyperlink" Target="mailto:rajashree.jena@cutm.ac.in" TargetMode="External"/><Relationship Id="rId105" Type="http://schemas.openxmlformats.org/officeDocument/2006/relationships/hyperlink" Target="mailto:rajashree.jena@cutm.ac.in" TargetMode="External"/><Relationship Id="rId104" Type="http://schemas.openxmlformats.org/officeDocument/2006/relationships/hyperlink" Target="http://b.com" TargetMode="External"/><Relationship Id="rId109" Type="http://schemas.openxmlformats.org/officeDocument/2006/relationships/hyperlink" Target="mailto:rajashree.jena@cutm.ac.in" TargetMode="External"/><Relationship Id="rId108" Type="http://schemas.openxmlformats.org/officeDocument/2006/relationships/hyperlink" Target="mailto:rajashree.jena@cutm.ac.in" TargetMode="External"/><Relationship Id="rId48" Type="http://schemas.openxmlformats.org/officeDocument/2006/relationships/hyperlink" Target="mailto:rajashree.jena@cutm.ac.in" TargetMode="External"/><Relationship Id="rId47" Type="http://schemas.openxmlformats.org/officeDocument/2006/relationships/hyperlink" Target="mailto:rajashree.jena@cutm.ac.in" TargetMode="External"/><Relationship Id="rId186" Type="http://schemas.openxmlformats.org/officeDocument/2006/relationships/table" Target="../tables/table5.xml"/><Relationship Id="rId49" Type="http://schemas.openxmlformats.org/officeDocument/2006/relationships/hyperlink" Target="mailto:rajashree.jena@cutm.ac.in" TargetMode="External"/><Relationship Id="rId184" Type="http://schemas.openxmlformats.org/officeDocument/2006/relationships/drawing" Target="../drawings/drawing5.xml"/><Relationship Id="rId103" Type="http://schemas.openxmlformats.org/officeDocument/2006/relationships/hyperlink" Target="mailto:rajashree.jena@cutm.ac.in" TargetMode="External"/><Relationship Id="rId102" Type="http://schemas.openxmlformats.org/officeDocument/2006/relationships/hyperlink" Target="mailto:rajashree.jena@cutm.ac.in" TargetMode="External"/><Relationship Id="rId101" Type="http://schemas.openxmlformats.org/officeDocument/2006/relationships/hyperlink" Target="mailto:rajashree.jena@cutm.ac.in" TargetMode="External"/><Relationship Id="rId100" Type="http://schemas.openxmlformats.org/officeDocument/2006/relationships/hyperlink" Target="mailto:rajashree.jena@cutm.ac.in" TargetMode="External"/><Relationship Id="rId31" Type="http://schemas.openxmlformats.org/officeDocument/2006/relationships/hyperlink" Target="mailto:rajashree.jena@cutm.ac.in" TargetMode="External"/><Relationship Id="rId30" Type="http://schemas.openxmlformats.org/officeDocument/2006/relationships/hyperlink" Target="mailto:rajashree.jena@cutm.ac.in" TargetMode="External"/><Relationship Id="rId33" Type="http://schemas.openxmlformats.org/officeDocument/2006/relationships/hyperlink" Target="mailto:rajashree.jena@cutm.ac.in" TargetMode="External"/><Relationship Id="rId183" Type="http://schemas.openxmlformats.org/officeDocument/2006/relationships/hyperlink" Target="mailto:rajashree.jena@cutm.ac.in" TargetMode="External"/><Relationship Id="rId32" Type="http://schemas.openxmlformats.org/officeDocument/2006/relationships/hyperlink" Target="mailto:rajashree.jena@cutm.ac.in" TargetMode="External"/><Relationship Id="rId182" Type="http://schemas.openxmlformats.org/officeDocument/2006/relationships/hyperlink" Target="mailto:rajashree.jena@cutm.ac.in" TargetMode="External"/><Relationship Id="rId35" Type="http://schemas.openxmlformats.org/officeDocument/2006/relationships/hyperlink" Target="mailto:rajashree.jena@cutm.ac.in" TargetMode="External"/><Relationship Id="rId181" Type="http://schemas.openxmlformats.org/officeDocument/2006/relationships/hyperlink" Target="mailto:rajashree.jena@cutm.ac.in" TargetMode="External"/><Relationship Id="rId34" Type="http://schemas.openxmlformats.org/officeDocument/2006/relationships/hyperlink" Target="mailto:rajashree.jena@cutm.ac.in" TargetMode="External"/><Relationship Id="rId180" Type="http://schemas.openxmlformats.org/officeDocument/2006/relationships/hyperlink" Target="mailto:rajashree.jena@cutm.ac.in" TargetMode="External"/><Relationship Id="rId37" Type="http://schemas.openxmlformats.org/officeDocument/2006/relationships/hyperlink" Target="mailto:rajashree.jena@cutm.ac.in" TargetMode="External"/><Relationship Id="rId176" Type="http://schemas.openxmlformats.org/officeDocument/2006/relationships/hyperlink" Target="mailto:rajashree.jena@cutm.ac.in" TargetMode="External"/><Relationship Id="rId36" Type="http://schemas.openxmlformats.org/officeDocument/2006/relationships/hyperlink" Target="mailto:rajashree.jena@cutm.ac.in" TargetMode="External"/><Relationship Id="rId175" Type="http://schemas.openxmlformats.org/officeDocument/2006/relationships/hyperlink" Target="mailto:rajashree.jena@cutm.ac.in" TargetMode="External"/><Relationship Id="rId39" Type="http://schemas.openxmlformats.org/officeDocument/2006/relationships/hyperlink" Target="mailto:rajashree.jena@cutm.ac.in" TargetMode="External"/><Relationship Id="rId174" Type="http://schemas.openxmlformats.org/officeDocument/2006/relationships/hyperlink" Target="mailto:rajashree.jena@cutm.ac.in" TargetMode="External"/><Relationship Id="rId38" Type="http://schemas.openxmlformats.org/officeDocument/2006/relationships/hyperlink" Target="mailto:rajashree.jena@cutm.ac.in" TargetMode="External"/><Relationship Id="rId173" Type="http://schemas.openxmlformats.org/officeDocument/2006/relationships/hyperlink" Target="mailto:rajashree.jena@cutm.ac.in" TargetMode="External"/><Relationship Id="rId179" Type="http://schemas.openxmlformats.org/officeDocument/2006/relationships/hyperlink" Target="mailto:rajashree.jena@cutm.ac.in" TargetMode="External"/><Relationship Id="rId178" Type="http://schemas.openxmlformats.org/officeDocument/2006/relationships/hyperlink" Target="mailto:rajashree.jena@cutm.ac.in" TargetMode="External"/><Relationship Id="rId177" Type="http://schemas.openxmlformats.org/officeDocument/2006/relationships/hyperlink" Target="mailto:rajashree.jena@cutm.ac.in" TargetMode="External"/><Relationship Id="rId20" Type="http://schemas.openxmlformats.org/officeDocument/2006/relationships/hyperlink" Target="mailto:rajashree.jena@cutm.ac.in" TargetMode="External"/><Relationship Id="rId22" Type="http://schemas.openxmlformats.org/officeDocument/2006/relationships/hyperlink" Target="mailto:rajashree.jena@cutm.ac.in" TargetMode="External"/><Relationship Id="rId21" Type="http://schemas.openxmlformats.org/officeDocument/2006/relationships/hyperlink" Target="mailto:rajashree.jena@cutm.ac.in" TargetMode="External"/><Relationship Id="rId24" Type="http://schemas.openxmlformats.org/officeDocument/2006/relationships/hyperlink" Target="mailto:rajashree.jena@cutm.ac.in" TargetMode="External"/><Relationship Id="rId23" Type="http://schemas.openxmlformats.org/officeDocument/2006/relationships/hyperlink" Target="mailto:rajashree.jena@cutm.ac.in" TargetMode="External"/><Relationship Id="rId129" Type="http://schemas.openxmlformats.org/officeDocument/2006/relationships/hyperlink" Target="mailto:rajashree.jena@cutm.ac.in" TargetMode="External"/><Relationship Id="rId128" Type="http://schemas.openxmlformats.org/officeDocument/2006/relationships/hyperlink" Target="mailto:rajashree.jena@cutm.ac.in" TargetMode="External"/><Relationship Id="rId127" Type="http://schemas.openxmlformats.org/officeDocument/2006/relationships/hyperlink" Target="mailto:rajashree.jena@cutm.ac.in" TargetMode="External"/><Relationship Id="rId126" Type="http://schemas.openxmlformats.org/officeDocument/2006/relationships/hyperlink" Target="mailto:rajashree.jena@cutm.ac.in" TargetMode="External"/><Relationship Id="rId26" Type="http://schemas.openxmlformats.org/officeDocument/2006/relationships/hyperlink" Target="mailto:rajashree.jena@cutm.ac.in" TargetMode="External"/><Relationship Id="rId121" Type="http://schemas.openxmlformats.org/officeDocument/2006/relationships/hyperlink" Target="mailto:rajashree.jena@cutm.ac.in" TargetMode="External"/><Relationship Id="rId25" Type="http://schemas.openxmlformats.org/officeDocument/2006/relationships/hyperlink" Target="mailto:rajashree.jena@cutm.ac.in" TargetMode="External"/><Relationship Id="rId120" Type="http://schemas.openxmlformats.org/officeDocument/2006/relationships/hyperlink" Target="mailto:rajashree.jena@cutm.ac.in" TargetMode="External"/><Relationship Id="rId28" Type="http://schemas.openxmlformats.org/officeDocument/2006/relationships/hyperlink" Target="mailto:rajashree.jena@cutm.ac.in" TargetMode="External"/><Relationship Id="rId27" Type="http://schemas.openxmlformats.org/officeDocument/2006/relationships/hyperlink" Target="mailto:rajashree.jena@cutm.ac.in" TargetMode="External"/><Relationship Id="rId125" Type="http://schemas.openxmlformats.org/officeDocument/2006/relationships/hyperlink" Target="mailto:rajashree.jena@cutm.ac.in" TargetMode="External"/><Relationship Id="rId29" Type="http://schemas.openxmlformats.org/officeDocument/2006/relationships/hyperlink" Target="mailto:rajashree.jena@cutm.ac.in" TargetMode="External"/><Relationship Id="rId124" Type="http://schemas.openxmlformats.org/officeDocument/2006/relationships/hyperlink" Target="mailto:rajashree.jena@cutm.ac.in" TargetMode="External"/><Relationship Id="rId123" Type="http://schemas.openxmlformats.org/officeDocument/2006/relationships/hyperlink" Target="mailto:rajashree.jena@cutm.ac.in" TargetMode="External"/><Relationship Id="rId122" Type="http://schemas.openxmlformats.org/officeDocument/2006/relationships/hyperlink" Target="mailto:rajashree.jena@cutm.ac.in" TargetMode="External"/><Relationship Id="rId95" Type="http://schemas.openxmlformats.org/officeDocument/2006/relationships/hyperlink" Target="mailto:rajashree.jena@cutm.ac.in" TargetMode="External"/><Relationship Id="rId94" Type="http://schemas.openxmlformats.org/officeDocument/2006/relationships/hyperlink" Target="mailto:rajashree.jena@cutm.ac.in" TargetMode="External"/><Relationship Id="rId97" Type="http://schemas.openxmlformats.org/officeDocument/2006/relationships/hyperlink" Target="mailto:rajashree.jena@cutm.ac.in" TargetMode="External"/><Relationship Id="rId96" Type="http://schemas.openxmlformats.org/officeDocument/2006/relationships/hyperlink" Target="mailto:rajashree.jena@cutm.ac.in" TargetMode="External"/><Relationship Id="rId11" Type="http://schemas.openxmlformats.org/officeDocument/2006/relationships/hyperlink" Target="mailto:rajashree.jena@cutm.ac.in" TargetMode="External"/><Relationship Id="rId99" Type="http://schemas.openxmlformats.org/officeDocument/2006/relationships/hyperlink" Target="mailto:rajashree.jena@cutm.ac.in" TargetMode="External"/><Relationship Id="rId10" Type="http://schemas.openxmlformats.org/officeDocument/2006/relationships/hyperlink" Target="mailto:rajashree.jena@cutm.ac.in" TargetMode="External"/><Relationship Id="rId98" Type="http://schemas.openxmlformats.org/officeDocument/2006/relationships/hyperlink" Target="mailto:rajashree.jena@cutm.ac.in" TargetMode="External"/><Relationship Id="rId13" Type="http://schemas.openxmlformats.org/officeDocument/2006/relationships/hyperlink" Target="mailto:rajashree.jena@cutm.ac.in" TargetMode="External"/><Relationship Id="rId12" Type="http://schemas.openxmlformats.org/officeDocument/2006/relationships/hyperlink" Target="mailto:rajashree.jena@cutm.ac.in" TargetMode="External"/><Relationship Id="rId91" Type="http://schemas.openxmlformats.org/officeDocument/2006/relationships/hyperlink" Target="mailto:rajashree.jena@cutm.ac.in" TargetMode="External"/><Relationship Id="rId90" Type="http://schemas.openxmlformats.org/officeDocument/2006/relationships/hyperlink" Target="mailto:rajashree.jena@cutm.ac.in" TargetMode="External"/><Relationship Id="rId93" Type="http://schemas.openxmlformats.org/officeDocument/2006/relationships/hyperlink" Target="mailto:rajashree.jena@cutm.ac.in" TargetMode="External"/><Relationship Id="rId92" Type="http://schemas.openxmlformats.org/officeDocument/2006/relationships/hyperlink" Target="mailto:rajashree.jena@cutm.ac.in" TargetMode="External"/><Relationship Id="rId118" Type="http://schemas.openxmlformats.org/officeDocument/2006/relationships/hyperlink" Target="mailto:rajashree.jena@cutm.ac.in" TargetMode="External"/><Relationship Id="rId117" Type="http://schemas.openxmlformats.org/officeDocument/2006/relationships/hyperlink" Target="mailto:rajashree.jena@cutm.ac.in" TargetMode="External"/><Relationship Id="rId116" Type="http://schemas.openxmlformats.org/officeDocument/2006/relationships/hyperlink" Target="mailto:rajashree.jena@cutm.ac.in" TargetMode="External"/><Relationship Id="rId115" Type="http://schemas.openxmlformats.org/officeDocument/2006/relationships/hyperlink" Target="mailto:rajashree.jena@cutm.ac.in" TargetMode="External"/><Relationship Id="rId119" Type="http://schemas.openxmlformats.org/officeDocument/2006/relationships/hyperlink" Target="mailto:rajashree.jena@cutm.ac.in" TargetMode="External"/><Relationship Id="rId15" Type="http://schemas.openxmlformats.org/officeDocument/2006/relationships/hyperlink" Target="mailto:rajashree.jena@cutm.ac.in" TargetMode="External"/><Relationship Id="rId110" Type="http://schemas.openxmlformats.org/officeDocument/2006/relationships/hyperlink" Target="mailto:rajashree.jena@cutm.ac.in" TargetMode="External"/><Relationship Id="rId14" Type="http://schemas.openxmlformats.org/officeDocument/2006/relationships/hyperlink" Target="mailto:rajashree.jena@cutm.ac.in" TargetMode="External"/><Relationship Id="rId17" Type="http://schemas.openxmlformats.org/officeDocument/2006/relationships/hyperlink" Target="mailto:rajashree.jena@cutm.ac.in" TargetMode="External"/><Relationship Id="rId16" Type="http://schemas.openxmlformats.org/officeDocument/2006/relationships/hyperlink" Target="mailto:rajashree.jena@cutm.ac.in" TargetMode="External"/><Relationship Id="rId19" Type="http://schemas.openxmlformats.org/officeDocument/2006/relationships/hyperlink" Target="mailto:rajashree.jena@cutm.ac.in" TargetMode="External"/><Relationship Id="rId114" Type="http://schemas.openxmlformats.org/officeDocument/2006/relationships/hyperlink" Target="mailto:rajashree.jena@cutm.ac.in" TargetMode="External"/><Relationship Id="rId18" Type="http://schemas.openxmlformats.org/officeDocument/2006/relationships/hyperlink" Target="mailto:rajashree.jena@cutm.ac.in" TargetMode="External"/><Relationship Id="rId113" Type="http://schemas.openxmlformats.org/officeDocument/2006/relationships/hyperlink" Target="mailto:rajashree.jena@cutm.ac.in" TargetMode="External"/><Relationship Id="rId112" Type="http://schemas.openxmlformats.org/officeDocument/2006/relationships/hyperlink" Target="mailto:rajashree.jena@cutm.ac.in" TargetMode="External"/><Relationship Id="rId111" Type="http://schemas.openxmlformats.org/officeDocument/2006/relationships/hyperlink" Target="mailto:rajashree.jena@cutm.ac.in" TargetMode="External"/><Relationship Id="rId84" Type="http://schemas.openxmlformats.org/officeDocument/2006/relationships/hyperlink" Target="mailto:rajashree.jena@cutm.ac.in" TargetMode="External"/><Relationship Id="rId83" Type="http://schemas.openxmlformats.org/officeDocument/2006/relationships/hyperlink" Target="mailto:rajashree.jena@cutm.ac.in" TargetMode="External"/><Relationship Id="rId86" Type="http://schemas.openxmlformats.org/officeDocument/2006/relationships/hyperlink" Target="mailto:rajashree.jena@cutm.ac.in" TargetMode="External"/><Relationship Id="rId85" Type="http://schemas.openxmlformats.org/officeDocument/2006/relationships/hyperlink" Target="mailto:rajashree.jena@cutm.ac.in" TargetMode="External"/><Relationship Id="rId88" Type="http://schemas.openxmlformats.org/officeDocument/2006/relationships/hyperlink" Target="mailto:rajashree.jena@cutm.ac.in" TargetMode="External"/><Relationship Id="rId150" Type="http://schemas.openxmlformats.org/officeDocument/2006/relationships/hyperlink" Target="mailto:rajashree.jena@cutm.ac.in" TargetMode="External"/><Relationship Id="rId87" Type="http://schemas.openxmlformats.org/officeDocument/2006/relationships/hyperlink" Target="mailto:rajashree.jena@cutm.ac.in" TargetMode="External"/><Relationship Id="rId89" Type="http://schemas.openxmlformats.org/officeDocument/2006/relationships/hyperlink" Target="mailto:rajashree.jena@cutm.ac.in" TargetMode="External"/><Relationship Id="rId80" Type="http://schemas.openxmlformats.org/officeDocument/2006/relationships/hyperlink" Target="mailto:rajashree.jena@cutm.ac.in" TargetMode="External"/><Relationship Id="rId82" Type="http://schemas.openxmlformats.org/officeDocument/2006/relationships/hyperlink" Target="mailto:rajashree.jena@cutm.ac.in" TargetMode="External"/><Relationship Id="rId81" Type="http://schemas.openxmlformats.org/officeDocument/2006/relationships/hyperlink" Target="mailto:rajashree.jena@cutm.ac.in" TargetMode="External"/><Relationship Id="rId1" Type="http://schemas.openxmlformats.org/officeDocument/2006/relationships/hyperlink" Target="mailto:rajashree.jena@cutm.ac.in" TargetMode="External"/><Relationship Id="rId2" Type="http://schemas.openxmlformats.org/officeDocument/2006/relationships/hyperlink" Target="mailto:rajashree.jena@cutm.ac.in" TargetMode="External"/><Relationship Id="rId3" Type="http://schemas.openxmlformats.org/officeDocument/2006/relationships/hyperlink" Target="mailto:rajashree.jena@cutm.ac.in" TargetMode="External"/><Relationship Id="rId149" Type="http://schemas.openxmlformats.org/officeDocument/2006/relationships/hyperlink" Target="mailto:rajashree.jena@cutm.ac.in" TargetMode="External"/><Relationship Id="rId4" Type="http://schemas.openxmlformats.org/officeDocument/2006/relationships/hyperlink" Target="mailto:rajashree.jena@cutm.ac.in" TargetMode="External"/><Relationship Id="rId148" Type="http://schemas.openxmlformats.org/officeDocument/2006/relationships/hyperlink" Target="mailto:rajashree.jena@cutm.ac.in" TargetMode="External"/><Relationship Id="rId9" Type="http://schemas.openxmlformats.org/officeDocument/2006/relationships/hyperlink" Target="mailto:rajashree.jena@cutm.ac.in" TargetMode="External"/><Relationship Id="rId143" Type="http://schemas.openxmlformats.org/officeDocument/2006/relationships/hyperlink" Target="mailto:rajashree.jena@cutm.ac.in" TargetMode="External"/><Relationship Id="rId142" Type="http://schemas.openxmlformats.org/officeDocument/2006/relationships/hyperlink" Target="mailto:rajashree.jena@cutm.ac.in" TargetMode="External"/><Relationship Id="rId141" Type="http://schemas.openxmlformats.org/officeDocument/2006/relationships/hyperlink" Target="mailto:rajashree.jena@cutm.ac.in" TargetMode="External"/><Relationship Id="rId140" Type="http://schemas.openxmlformats.org/officeDocument/2006/relationships/hyperlink" Target="mailto:rajashree.jena@cutm.ac.in" TargetMode="External"/><Relationship Id="rId5" Type="http://schemas.openxmlformats.org/officeDocument/2006/relationships/hyperlink" Target="mailto:rajashree.jena@cutm.ac.in" TargetMode="External"/><Relationship Id="rId147" Type="http://schemas.openxmlformats.org/officeDocument/2006/relationships/hyperlink" Target="mailto:rajashree.jena@cutm.ac.in" TargetMode="External"/><Relationship Id="rId6" Type="http://schemas.openxmlformats.org/officeDocument/2006/relationships/hyperlink" Target="mailto:rajashree.jena@cutm.ac.in" TargetMode="External"/><Relationship Id="rId146" Type="http://schemas.openxmlformats.org/officeDocument/2006/relationships/hyperlink" Target="mailto:rajashree.jena@cutm.ac.in" TargetMode="External"/><Relationship Id="rId7" Type="http://schemas.openxmlformats.org/officeDocument/2006/relationships/hyperlink" Target="mailto:rajashree.jena@cutm.ac.in" TargetMode="External"/><Relationship Id="rId145" Type="http://schemas.openxmlformats.org/officeDocument/2006/relationships/hyperlink" Target="mailto:rajashree.jena@cutm.ac.in" TargetMode="External"/><Relationship Id="rId8" Type="http://schemas.openxmlformats.org/officeDocument/2006/relationships/hyperlink" Target="mailto:rajashree.jena@cutm.ac.in" TargetMode="External"/><Relationship Id="rId144" Type="http://schemas.openxmlformats.org/officeDocument/2006/relationships/hyperlink" Target="mailto:rajashree.jena@cutm.ac.in" TargetMode="External"/><Relationship Id="rId73" Type="http://schemas.openxmlformats.org/officeDocument/2006/relationships/hyperlink" Target="mailto:rajashree.jena@cutm.ac.in" TargetMode="External"/><Relationship Id="rId72" Type="http://schemas.openxmlformats.org/officeDocument/2006/relationships/hyperlink" Target="mailto:rajashree.jena@cutm.ac.in" TargetMode="External"/><Relationship Id="rId75" Type="http://schemas.openxmlformats.org/officeDocument/2006/relationships/hyperlink" Target="mailto:rajashree.jena@cutm.ac.in" TargetMode="External"/><Relationship Id="rId74" Type="http://schemas.openxmlformats.org/officeDocument/2006/relationships/hyperlink" Target="mailto:rajashree.jena@cutm.ac.in" TargetMode="External"/><Relationship Id="rId77" Type="http://schemas.openxmlformats.org/officeDocument/2006/relationships/hyperlink" Target="mailto:rajashree.jena@cutm.ac.in" TargetMode="External"/><Relationship Id="rId76" Type="http://schemas.openxmlformats.org/officeDocument/2006/relationships/hyperlink" Target="mailto:rajashree.jena@cutm.ac.in" TargetMode="External"/><Relationship Id="rId79" Type="http://schemas.openxmlformats.org/officeDocument/2006/relationships/hyperlink" Target="mailto:rajashree.jena@cutm.ac.in" TargetMode="External"/><Relationship Id="rId78" Type="http://schemas.openxmlformats.org/officeDocument/2006/relationships/hyperlink" Target="mailto:rajashree.jena@cutm.ac.in" TargetMode="External"/><Relationship Id="rId71" Type="http://schemas.openxmlformats.org/officeDocument/2006/relationships/hyperlink" Target="mailto:rajashree.jena@cutm.ac.in" TargetMode="External"/><Relationship Id="rId70" Type="http://schemas.openxmlformats.org/officeDocument/2006/relationships/hyperlink" Target="mailto:rajashree.jena@cutm.ac.in" TargetMode="External"/><Relationship Id="rId139" Type="http://schemas.openxmlformats.org/officeDocument/2006/relationships/hyperlink" Target="mailto:rajashree.jena@cutm.ac.in" TargetMode="External"/><Relationship Id="rId138" Type="http://schemas.openxmlformats.org/officeDocument/2006/relationships/hyperlink" Target="mailto:rajashree.jena@cutm.ac.in" TargetMode="External"/><Relationship Id="rId137" Type="http://schemas.openxmlformats.org/officeDocument/2006/relationships/hyperlink" Target="mailto:rajashree.jena@cutm.ac.in" TargetMode="External"/><Relationship Id="rId132" Type="http://schemas.openxmlformats.org/officeDocument/2006/relationships/hyperlink" Target="mailto:rajashree.jena@cutm.ac.in" TargetMode="External"/><Relationship Id="rId131" Type="http://schemas.openxmlformats.org/officeDocument/2006/relationships/hyperlink" Target="mailto:rajashree.jena@cutm.ac.in" TargetMode="External"/><Relationship Id="rId130" Type="http://schemas.openxmlformats.org/officeDocument/2006/relationships/hyperlink" Target="mailto:rajashree.jena@cutm.ac.in" TargetMode="External"/><Relationship Id="rId136" Type="http://schemas.openxmlformats.org/officeDocument/2006/relationships/hyperlink" Target="mailto:rajashree.jena@cutm.ac.in" TargetMode="External"/><Relationship Id="rId135" Type="http://schemas.openxmlformats.org/officeDocument/2006/relationships/hyperlink" Target="mailto:rajashree.jena@cutm.ac.in" TargetMode="External"/><Relationship Id="rId134" Type="http://schemas.openxmlformats.org/officeDocument/2006/relationships/hyperlink" Target="mailto:rajashree.jena@cutm.ac.in" TargetMode="External"/><Relationship Id="rId133" Type="http://schemas.openxmlformats.org/officeDocument/2006/relationships/hyperlink" Target="mailto:rajashree.jena@cutm.ac.in" TargetMode="External"/><Relationship Id="rId62" Type="http://schemas.openxmlformats.org/officeDocument/2006/relationships/hyperlink" Target="mailto:rajashree.jena@cutm.ac.in" TargetMode="External"/><Relationship Id="rId61" Type="http://schemas.openxmlformats.org/officeDocument/2006/relationships/hyperlink" Target="mailto:rajashree.jena@cutm.ac.in" TargetMode="External"/><Relationship Id="rId64" Type="http://schemas.openxmlformats.org/officeDocument/2006/relationships/hyperlink" Target="mailto:rajashree.jena@cutm.ac.in" TargetMode="External"/><Relationship Id="rId63" Type="http://schemas.openxmlformats.org/officeDocument/2006/relationships/hyperlink" Target="mailto:rajashree.jena@cutm.ac.in" TargetMode="External"/><Relationship Id="rId66" Type="http://schemas.openxmlformats.org/officeDocument/2006/relationships/hyperlink" Target="mailto:rajashree.jena@cutm.ac.in" TargetMode="External"/><Relationship Id="rId172" Type="http://schemas.openxmlformats.org/officeDocument/2006/relationships/hyperlink" Target="mailto:rajashree.jena@cutm.ac.in" TargetMode="External"/><Relationship Id="rId65" Type="http://schemas.openxmlformats.org/officeDocument/2006/relationships/hyperlink" Target="mailto:rajashree.jena@cutm.ac.in" TargetMode="External"/><Relationship Id="rId171" Type="http://schemas.openxmlformats.org/officeDocument/2006/relationships/hyperlink" Target="mailto:rajashree.jena@cutm.ac.in" TargetMode="External"/><Relationship Id="rId68" Type="http://schemas.openxmlformats.org/officeDocument/2006/relationships/hyperlink" Target="mailto:rajashree.jena@cutm.ac.in" TargetMode="External"/><Relationship Id="rId170" Type="http://schemas.openxmlformats.org/officeDocument/2006/relationships/hyperlink" Target="mailto:rajashree.jena@cutm.ac.in" TargetMode="External"/><Relationship Id="rId67" Type="http://schemas.openxmlformats.org/officeDocument/2006/relationships/hyperlink" Target="mailto:rajashree.jena@cutm.ac.in" TargetMode="External"/><Relationship Id="rId60" Type="http://schemas.openxmlformats.org/officeDocument/2006/relationships/hyperlink" Target="mailto:rajashree.jena@cutm.ac.in" TargetMode="External"/><Relationship Id="rId165" Type="http://schemas.openxmlformats.org/officeDocument/2006/relationships/hyperlink" Target="mailto:rajashree.jena@cutm.ac.in" TargetMode="External"/><Relationship Id="rId69" Type="http://schemas.openxmlformats.org/officeDocument/2006/relationships/hyperlink" Target="mailto:rajashree.jena@cutm.ac.in" TargetMode="External"/><Relationship Id="rId164" Type="http://schemas.openxmlformats.org/officeDocument/2006/relationships/hyperlink" Target="mailto:rajashree.jena@cutm.ac.in" TargetMode="External"/><Relationship Id="rId163" Type="http://schemas.openxmlformats.org/officeDocument/2006/relationships/hyperlink" Target="mailto:rajashree.jena@cutm.ac.in" TargetMode="External"/><Relationship Id="rId162" Type="http://schemas.openxmlformats.org/officeDocument/2006/relationships/hyperlink" Target="mailto:rajashree.jena@cutm.ac.in" TargetMode="External"/><Relationship Id="rId169" Type="http://schemas.openxmlformats.org/officeDocument/2006/relationships/hyperlink" Target="mailto:rajashree.jena@cutm.ac.in" TargetMode="External"/><Relationship Id="rId168" Type="http://schemas.openxmlformats.org/officeDocument/2006/relationships/hyperlink" Target="mailto:rajashree.jena@cutm.ac.in" TargetMode="External"/><Relationship Id="rId167" Type="http://schemas.openxmlformats.org/officeDocument/2006/relationships/hyperlink" Target="mailto:rajashree.jena@cutm.ac.in" TargetMode="External"/><Relationship Id="rId166" Type="http://schemas.openxmlformats.org/officeDocument/2006/relationships/hyperlink" Target="mailto:rajashree.jena@cutm.ac.in" TargetMode="External"/><Relationship Id="rId51" Type="http://schemas.openxmlformats.org/officeDocument/2006/relationships/hyperlink" Target="mailto:rajashree.jena@cutm.ac.in" TargetMode="External"/><Relationship Id="rId50" Type="http://schemas.openxmlformats.org/officeDocument/2006/relationships/hyperlink" Target="mailto:rajashree.jena@cutm.ac.in" TargetMode="External"/><Relationship Id="rId53" Type="http://schemas.openxmlformats.org/officeDocument/2006/relationships/hyperlink" Target="mailto:rajashree.jena@cutm.ac.in" TargetMode="External"/><Relationship Id="rId52" Type="http://schemas.openxmlformats.org/officeDocument/2006/relationships/hyperlink" Target="mailto:rajashree.jena@cutm.ac.in" TargetMode="External"/><Relationship Id="rId55" Type="http://schemas.openxmlformats.org/officeDocument/2006/relationships/hyperlink" Target="mailto:rajashree.jena@cutm.ac.in" TargetMode="External"/><Relationship Id="rId161" Type="http://schemas.openxmlformats.org/officeDocument/2006/relationships/hyperlink" Target="mailto:rajashree.jena@cutm.ac.in" TargetMode="External"/><Relationship Id="rId54" Type="http://schemas.openxmlformats.org/officeDocument/2006/relationships/hyperlink" Target="mailto:rajashree.jena@cutm.ac.in" TargetMode="External"/><Relationship Id="rId160" Type="http://schemas.openxmlformats.org/officeDocument/2006/relationships/hyperlink" Target="mailto:rajashree.jena@cutm.ac.in" TargetMode="External"/><Relationship Id="rId57" Type="http://schemas.openxmlformats.org/officeDocument/2006/relationships/hyperlink" Target="mailto:rajashree.jena@cutm.ac.in" TargetMode="External"/><Relationship Id="rId56" Type="http://schemas.openxmlformats.org/officeDocument/2006/relationships/hyperlink" Target="mailto:rajashree.jena@cutm.ac.in" TargetMode="External"/><Relationship Id="rId159" Type="http://schemas.openxmlformats.org/officeDocument/2006/relationships/hyperlink" Target="mailto:rajashree.jena@cutm.ac.in" TargetMode="External"/><Relationship Id="rId59" Type="http://schemas.openxmlformats.org/officeDocument/2006/relationships/hyperlink" Target="mailto:rajashree.jena@cutm.ac.in" TargetMode="External"/><Relationship Id="rId154" Type="http://schemas.openxmlformats.org/officeDocument/2006/relationships/hyperlink" Target="mailto:rajashree.jena@cutm.ac.in" TargetMode="External"/><Relationship Id="rId58" Type="http://schemas.openxmlformats.org/officeDocument/2006/relationships/hyperlink" Target="mailto:rajashree.jena@cutm.ac.in" TargetMode="External"/><Relationship Id="rId153" Type="http://schemas.openxmlformats.org/officeDocument/2006/relationships/hyperlink" Target="mailto:rajashree.jena@cutm.ac.in" TargetMode="External"/><Relationship Id="rId152" Type="http://schemas.openxmlformats.org/officeDocument/2006/relationships/hyperlink" Target="mailto:rajashree.jena@cutm.ac.in" TargetMode="External"/><Relationship Id="rId151" Type="http://schemas.openxmlformats.org/officeDocument/2006/relationships/hyperlink" Target="mailto:rajashree.jena@cutm.ac.in" TargetMode="External"/><Relationship Id="rId158" Type="http://schemas.openxmlformats.org/officeDocument/2006/relationships/hyperlink" Target="mailto:rajashree.jena@cutm.ac.in" TargetMode="External"/><Relationship Id="rId157" Type="http://schemas.openxmlformats.org/officeDocument/2006/relationships/hyperlink" Target="mailto:rajashree.jena@cutm.ac.in" TargetMode="External"/><Relationship Id="rId156" Type="http://schemas.openxmlformats.org/officeDocument/2006/relationships/hyperlink" Target="mailto:rajashree.jena@cutm.ac.in" TargetMode="External"/><Relationship Id="rId155" Type="http://schemas.openxmlformats.org/officeDocument/2006/relationships/hyperlink" Target="mailto:rajashree.jena@cutm.ac.in" TargetMode="Externa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mailto:anshuman.panda@cutm.ac.in" TargetMode="External"/><Relationship Id="rId42" Type="http://schemas.openxmlformats.org/officeDocument/2006/relationships/hyperlink" Target="mailto:anshuman.panda@cutm.ac.in" TargetMode="External"/><Relationship Id="rId41" Type="http://schemas.openxmlformats.org/officeDocument/2006/relationships/hyperlink" Target="mailto:anshuman.panda@cutm.ac.in" TargetMode="External"/><Relationship Id="rId44" Type="http://schemas.openxmlformats.org/officeDocument/2006/relationships/hyperlink" Target="mailto:anshuman.panda@cutm.ac.in" TargetMode="External"/><Relationship Id="rId43" Type="http://schemas.openxmlformats.org/officeDocument/2006/relationships/hyperlink" Target="mailto:anshuman.panda@cutm.ac.in" TargetMode="External"/><Relationship Id="rId46" Type="http://schemas.openxmlformats.org/officeDocument/2006/relationships/hyperlink" Target="mailto:anshuman.panda@cutm.ac.in" TargetMode="External"/><Relationship Id="rId45" Type="http://schemas.openxmlformats.org/officeDocument/2006/relationships/hyperlink" Target="mailto:anshuman.panda@cutm.ac.in" TargetMode="External"/><Relationship Id="rId48" Type="http://schemas.openxmlformats.org/officeDocument/2006/relationships/hyperlink" Target="mailto:anshuman.panda@cutm.ac.in" TargetMode="External"/><Relationship Id="rId47" Type="http://schemas.openxmlformats.org/officeDocument/2006/relationships/hyperlink" Target="mailto:anshuman.panda@cutm.ac.in" TargetMode="External"/><Relationship Id="rId49" Type="http://schemas.openxmlformats.org/officeDocument/2006/relationships/hyperlink" Target="mailto:anshuman.panda@cutm.ac.in" TargetMode="External"/><Relationship Id="rId31" Type="http://schemas.openxmlformats.org/officeDocument/2006/relationships/hyperlink" Target="mailto:anshuman.panda@cutm.ac.in" TargetMode="External"/><Relationship Id="rId30" Type="http://schemas.openxmlformats.org/officeDocument/2006/relationships/hyperlink" Target="mailto:anshuman.panda@cutm.ac.in" TargetMode="External"/><Relationship Id="rId33" Type="http://schemas.openxmlformats.org/officeDocument/2006/relationships/hyperlink" Target="mailto:anshuman.panda@cutm.ac.in" TargetMode="External"/><Relationship Id="rId32" Type="http://schemas.openxmlformats.org/officeDocument/2006/relationships/hyperlink" Target="mailto:anshuman.panda@cutm.ac.in" TargetMode="External"/><Relationship Id="rId35" Type="http://schemas.openxmlformats.org/officeDocument/2006/relationships/hyperlink" Target="mailto:anshuman.panda@cutm.ac.in" TargetMode="External"/><Relationship Id="rId34" Type="http://schemas.openxmlformats.org/officeDocument/2006/relationships/hyperlink" Target="mailto:anshuman.panda@cutm.ac.in" TargetMode="External"/><Relationship Id="rId37" Type="http://schemas.openxmlformats.org/officeDocument/2006/relationships/hyperlink" Target="mailto:anshuman.panda@cutm.ac.in" TargetMode="External"/><Relationship Id="rId36" Type="http://schemas.openxmlformats.org/officeDocument/2006/relationships/hyperlink" Target="mailto:anshuman.panda@cutm.ac.in" TargetMode="External"/><Relationship Id="rId39" Type="http://schemas.openxmlformats.org/officeDocument/2006/relationships/hyperlink" Target="mailto:anshuman.panda@cutm.ac.in" TargetMode="External"/><Relationship Id="rId38" Type="http://schemas.openxmlformats.org/officeDocument/2006/relationships/hyperlink" Target="mailto:anshuman.panda@cutm.ac.in" TargetMode="External"/><Relationship Id="rId20" Type="http://schemas.openxmlformats.org/officeDocument/2006/relationships/hyperlink" Target="mailto:anshuman.panda@cutm.ac.in" TargetMode="External"/><Relationship Id="rId22" Type="http://schemas.openxmlformats.org/officeDocument/2006/relationships/hyperlink" Target="mailto:anshuman.panda@cutm.ac.in" TargetMode="External"/><Relationship Id="rId21" Type="http://schemas.openxmlformats.org/officeDocument/2006/relationships/hyperlink" Target="mailto:anshuman.panda@cutm.ac.in" TargetMode="External"/><Relationship Id="rId24" Type="http://schemas.openxmlformats.org/officeDocument/2006/relationships/hyperlink" Target="mailto:anshuman.panda@cutm.ac.in" TargetMode="External"/><Relationship Id="rId23" Type="http://schemas.openxmlformats.org/officeDocument/2006/relationships/hyperlink" Target="mailto:anshuman.panda@cutm.ac.in" TargetMode="External"/><Relationship Id="rId26" Type="http://schemas.openxmlformats.org/officeDocument/2006/relationships/hyperlink" Target="mailto:anshuman.panda@cutm.ac.in" TargetMode="External"/><Relationship Id="rId25" Type="http://schemas.openxmlformats.org/officeDocument/2006/relationships/hyperlink" Target="mailto:anshuman.panda@cutm.ac.in" TargetMode="External"/><Relationship Id="rId28" Type="http://schemas.openxmlformats.org/officeDocument/2006/relationships/hyperlink" Target="mailto:anshuman.panda@cutm.ac.in" TargetMode="External"/><Relationship Id="rId27" Type="http://schemas.openxmlformats.org/officeDocument/2006/relationships/hyperlink" Target="mailto:anshuman.panda@cutm.ac.in" TargetMode="External"/><Relationship Id="rId29" Type="http://schemas.openxmlformats.org/officeDocument/2006/relationships/hyperlink" Target="mailto:anshuman.panda@cutm.ac.in" TargetMode="External"/><Relationship Id="rId11" Type="http://schemas.openxmlformats.org/officeDocument/2006/relationships/hyperlink" Target="mailto:anshuman.panda@cutm.ac.in" TargetMode="External"/><Relationship Id="rId10" Type="http://schemas.openxmlformats.org/officeDocument/2006/relationships/hyperlink" Target="mailto:anshuman.panda@cutm.ac.in" TargetMode="External"/><Relationship Id="rId13" Type="http://schemas.openxmlformats.org/officeDocument/2006/relationships/hyperlink" Target="mailto:anshuman.panda@cutm.ac.in" TargetMode="External"/><Relationship Id="rId12" Type="http://schemas.openxmlformats.org/officeDocument/2006/relationships/hyperlink" Target="mailto:anshuman.panda@cutm.ac.in" TargetMode="External"/><Relationship Id="rId15" Type="http://schemas.openxmlformats.org/officeDocument/2006/relationships/hyperlink" Target="mailto:anshuman.panda@cutm.ac.in" TargetMode="External"/><Relationship Id="rId14" Type="http://schemas.openxmlformats.org/officeDocument/2006/relationships/hyperlink" Target="mailto:anshuman.panda@cutm.ac.in" TargetMode="External"/><Relationship Id="rId17" Type="http://schemas.openxmlformats.org/officeDocument/2006/relationships/hyperlink" Target="mailto:anshuman.panda@cutm.ac.in" TargetMode="External"/><Relationship Id="rId16" Type="http://schemas.openxmlformats.org/officeDocument/2006/relationships/hyperlink" Target="mailto:anshuman.panda@cutm.ac.in" TargetMode="External"/><Relationship Id="rId19" Type="http://schemas.openxmlformats.org/officeDocument/2006/relationships/hyperlink" Target="mailto:anshuman.panda@cutm.ac.in" TargetMode="External"/><Relationship Id="rId18" Type="http://schemas.openxmlformats.org/officeDocument/2006/relationships/hyperlink" Target="mailto:anshuman.panda@cutm.ac.in" TargetMode="External"/><Relationship Id="rId1" Type="http://schemas.openxmlformats.org/officeDocument/2006/relationships/hyperlink" Target="mailto:anshuman.panda@cutm.ac.in" TargetMode="External"/><Relationship Id="rId2" Type="http://schemas.openxmlformats.org/officeDocument/2006/relationships/hyperlink" Target="mailto:anshuman.panda@cutm.ac.in" TargetMode="External"/><Relationship Id="rId3" Type="http://schemas.openxmlformats.org/officeDocument/2006/relationships/hyperlink" Target="mailto:anshuman.panda@cutm.ac.in" TargetMode="External"/><Relationship Id="rId4" Type="http://schemas.openxmlformats.org/officeDocument/2006/relationships/hyperlink" Target="mailto:anshuman.panda@cutm.ac.in" TargetMode="External"/><Relationship Id="rId9" Type="http://schemas.openxmlformats.org/officeDocument/2006/relationships/hyperlink" Target="mailto:anshuman.panda@cutm.ac.in" TargetMode="External"/><Relationship Id="rId5" Type="http://schemas.openxmlformats.org/officeDocument/2006/relationships/hyperlink" Target="mailto:anshuman.panda@cutm.ac.in" TargetMode="External"/><Relationship Id="rId6" Type="http://schemas.openxmlformats.org/officeDocument/2006/relationships/hyperlink" Target="mailto:anshuman.panda@cutm.ac.in" TargetMode="External"/><Relationship Id="rId7" Type="http://schemas.openxmlformats.org/officeDocument/2006/relationships/hyperlink" Target="mailto:anshuman.panda@cutm.ac.in" TargetMode="External"/><Relationship Id="rId8" Type="http://schemas.openxmlformats.org/officeDocument/2006/relationships/hyperlink" Target="mailto:anshuman.panda@cutm.ac.in" TargetMode="External"/><Relationship Id="rId62" Type="http://schemas.openxmlformats.org/officeDocument/2006/relationships/table" Target="../tables/table6.xml"/><Relationship Id="rId60" Type="http://schemas.openxmlformats.org/officeDocument/2006/relationships/drawing" Target="../drawings/drawing6.xml"/><Relationship Id="rId51" Type="http://schemas.openxmlformats.org/officeDocument/2006/relationships/hyperlink" Target="mailto:anshuman.panda@cutm.ac.in" TargetMode="External"/><Relationship Id="rId50" Type="http://schemas.openxmlformats.org/officeDocument/2006/relationships/hyperlink" Target="mailto:anshuman.panda@cutm.ac.in" TargetMode="External"/><Relationship Id="rId53" Type="http://schemas.openxmlformats.org/officeDocument/2006/relationships/hyperlink" Target="mailto:anshuman.panda@cutm.ac.in" TargetMode="External"/><Relationship Id="rId52" Type="http://schemas.openxmlformats.org/officeDocument/2006/relationships/hyperlink" Target="mailto:anshuman.panda@cutm.ac.in" TargetMode="External"/><Relationship Id="rId55" Type="http://schemas.openxmlformats.org/officeDocument/2006/relationships/hyperlink" Target="mailto:anshuman.panda@cutm.ac.in" TargetMode="External"/><Relationship Id="rId54" Type="http://schemas.openxmlformats.org/officeDocument/2006/relationships/hyperlink" Target="mailto:anshuman.panda@cutm.ac.in" TargetMode="External"/><Relationship Id="rId57" Type="http://schemas.openxmlformats.org/officeDocument/2006/relationships/hyperlink" Target="mailto:anshuman.panda@cutm.ac.in" TargetMode="External"/><Relationship Id="rId56" Type="http://schemas.openxmlformats.org/officeDocument/2006/relationships/hyperlink" Target="mailto:anshuman.panda@cutm.ac.in" TargetMode="External"/><Relationship Id="rId59" Type="http://schemas.openxmlformats.org/officeDocument/2006/relationships/hyperlink" Target="mailto:anshuman.panda@cutm.ac.in" TargetMode="External"/><Relationship Id="rId58" Type="http://schemas.openxmlformats.org/officeDocument/2006/relationships/hyperlink" Target="mailto:anshuman.panda@cutm.ac.in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5"/>
    <col customWidth="1" min="2" max="2" width="21.63"/>
    <col customWidth="1" min="3" max="3" width="30.0"/>
    <col customWidth="1" min="4" max="4" width="22.25"/>
    <col customWidth="1" min="5" max="6" width="16.88"/>
    <col customWidth="1" min="7" max="7" width="36.25"/>
    <col customWidth="1" min="8" max="8" width="18.75"/>
    <col customWidth="1" min="9" max="9" width="38.0"/>
  </cols>
  <sheetData>
    <row r="1">
      <c r="A1" s="1"/>
    </row>
    <row r="2" ht="22.5" customHeight="1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4" t="s">
        <v>7</v>
      </c>
      <c r="I2" s="3" t="s">
        <v>8</v>
      </c>
      <c r="J2" s="5" t="s">
        <v>9</v>
      </c>
    </row>
    <row r="3" ht="22.5" customHeight="1">
      <c r="A3" s="6">
        <v>1.0</v>
      </c>
      <c r="B3" s="7" t="s">
        <v>10</v>
      </c>
      <c r="C3" s="8"/>
      <c r="D3" s="7">
        <v>8.763258993E9</v>
      </c>
      <c r="E3" s="9" t="s">
        <v>11</v>
      </c>
      <c r="F3" s="7" t="s">
        <v>12</v>
      </c>
      <c r="G3" s="10" t="s">
        <v>13</v>
      </c>
      <c r="H3" s="10" t="s">
        <v>14</v>
      </c>
      <c r="I3" s="9" t="s">
        <v>15</v>
      </c>
      <c r="J3" s="11" t="s">
        <v>16</v>
      </c>
    </row>
    <row r="4" ht="22.5" customHeight="1">
      <c r="A4" s="6">
        <v>2.0</v>
      </c>
      <c r="B4" s="12" t="s">
        <v>17</v>
      </c>
      <c r="C4" s="12" t="s">
        <v>18</v>
      </c>
      <c r="D4" s="12">
        <v>7.735087885E9</v>
      </c>
      <c r="E4" s="9" t="s">
        <v>11</v>
      </c>
      <c r="F4" s="12" t="s">
        <v>12</v>
      </c>
      <c r="G4" s="10" t="s">
        <v>13</v>
      </c>
      <c r="H4" s="10" t="s">
        <v>14</v>
      </c>
      <c r="I4" s="9" t="s">
        <v>19</v>
      </c>
      <c r="J4" s="10" t="s">
        <v>16</v>
      </c>
    </row>
    <row r="5" ht="22.5" customHeight="1">
      <c r="A5" s="6">
        <v>3.0</v>
      </c>
      <c r="B5" s="7" t="s">
        <v>20</v>
      </c>
      <c r="C5" s="7" t="s">
        <v>21</v>
      </c>
      <c r="D5" s="7">
        <v>6.372772436E9</v>
      </c>
      <c r="E5" s="9" t="s">
        <v>11</v>
      </c>
      <c r="F5" s="7" t="s">
        <v>12</v>
      </c>
      <c r="G5" s="10" t="s">
        <v>13</v>
      </c>
      <c r="H5" s="10" t="s">
        <v>14</v>
      </c>
      <c r="I5" s="9" t="s">
        <v>19</v>
      </c>
      <c r="J5" s="10" t="s">
        <v>16</v>
      </c>
    </row>
    <row r="6" ht="22.5" customHeight="1">
      <c r="A6" s="6">
        <v>4.0</v>
      </c>
      <c r="B6" s="7" t="s">
        <v>22</v>
      </c>
      <c r="C6" s="7" t="s">
        <v>23</v>
      </c>
      <c r="D6" s="7">
        <v>7.077293874E9</v>
      </c>
      <c r="E6" s="9" t="s">
        <v>11</v>
      </c>
      <c r="F6" s="7" t="s">
        <v>12</v>
      </c>
      <c r="G6" s="10" t="s">
        <v>13</v>
      </c>
      <c r="H6" s="10" t="s">
        <v>14</v>
      </c>
      <c r="I6" s="9" t="s">
        <v>19</v>
      </c>
      <c r="J6" s="10" t="s">
        <v>16</v>
      </c>
    </row>
    <row r="7" ht="22.5" customHeight="1">
      <c r="A7" s="6">
        <v>5.0</v>
      </c>
      <c r="B7" s="12" t="s">
        <v>24</v>
      </c>
      <c r="C7" s="13"/>
      <c r="D7" s="12">
        <v>8.260976239E9</v>
      </c>
      <c r="E7" s="9" t="s">
        <v>11</v>
      </c>
      <c r="F7" s="12" t="s">
        <v>12</v>
      </c>
      <c r="G7" s="10" t="s">
        <v>13</v>
      </c>
      <c r="H7" s="10" t="s">
        <v>14</v>
      </c>
      <c r="I7" s="9" t="s">
        <v>19</v>
      </c>
      <c r="J7" s="10" t="s">
        <v>16</v>
      </c>
    </row>
    <row r="8" ht="22.5" customHeight="1">
      <c r="A8" s="6">
        <v>6.0</v>
      </c>
      <c r="B8" s="12" t="s">
        <v>25</v>
      </c>
      <c r="C8" s="12" t="s">
        <v>26</v>
      </c>
      <c r="D8" s="12">
        <v>9.668329305E9</v>
      </c>
      <c r="E8" s="9" t="s">
        <v>11</v>
      </c>
      <c r="F8" s="12" t="s">
        <v>12</v>
      </c>
      <c r="G8" s="10" t="s">
        <v>13</v>
      </c>
      <c r="H8" s="10" t="s">
        <v>14</v>
      </c>
      <c r="I8" s="9" t="s">
        <v>15</v>
      </c>
      <c r="J8" s="10" t="s">
        <v>16</v>
      </c>
    </row>
    <row r="9" ht="22.5" customHeight="1">
      <c r="A9" s="6">
        <v>7.0</v>
      </c>
      <c r="B9" s="7" t="s">
        <v>27</v>
      </c>
      <c r="C9" s="7" t="s">
        <v>28</v>
      </c>
      <c r="D9" s="7">
        <v>7.978680835E9</v>
      </c>
      <c r="E9" s="9" t="s">
        <v>11</v>
      </c>
      <c r="F9" s="7" t="s">
        <v>12</v>
      </c>
      <c r="G9" s="10" t="s">
        <v>13</v>
      </c>
      <c r="H9" s="10" t="s">
        <v>14</v>
      </c>
      <c r="I9" s="9" t="s">
        <v>19</v>
      </c>
      <c r="J9" s="10" t="s">
        <v>16</v>
      </c>
    </row>
    <row r="10" ht="22.5" customHeight="1">
      <c r="A10" s="6">
        <v>8.0</v>
      </c>
      <c r="B10" s="12" t="s">
        <v>17</v>
      </c>
      <c r="C10" s="12" t="s">
        <v>18</v>
      </c>
      <c r="D10" s="12">
        <v>7.735087885E9</v>
      </c>
      <c r="E10" s="9" t="s">
        <v>11</v>
      </c>
      <c r="F10" s="12" t="s">
        <v>12</v>
      </c>
      <c r="G10" s="10" t="s">
        <v>13</v>
      </c>
      <c r="H10" s="10" t="s">
        <v>14</v>
      </c>
      <c r="I10" s="9" t="s">
        <v>19</v>
      </c>
      <c r="J10" s="10" t="s">
        <v>16</v>
      </c>
    </row>
    <row r="11" ht="22.5" customHeight="1">
      <c r="A11" s="6">
        <v>9.0</v>
      </c>
      <c r="B11" s="12" t="s">
        <v>29</v>
      </c>
      <c r="C11" s="12" t="s">
        <v>30</v>
      </c>
      <c r="D11" s="12">
        <v>8.114341587E9</v>
      </c>
      <c r="E11" s="9" t="s">
        <v>11</v>
      </c>
      <c r="F11" s="12" t="s">
        <v>12</v>
      </c>
      <c r="G11" s="10" t="s">
        <v>13</v>
      </c>
      <c r="H11" s="10" t="s">
        <v>14</v>
      </c>
      <c r="I11" s="9" t="s">
        <v>19</v>
      </c>
      <c r="J11" s="10" t="s">
        <v>16</v>
      </c>
    </row>
    <row r="12" ht="22.5" customHeight="1">
      <c r="A12" s="6">
        <v>10.0</v>
      </c>
      <c r="B12" s="14" t="s">
        <v>31</v>
      </c>
      <c r="C12" s="14" t="s">
        <v>32</v>
      </c>
      <c r="D12" s="14" t="s">
        <v>33</v>
      </c>
      <c r="E12" s="9"/>
      <c r="F12" s="14" t="s">
        <v>34</v>
      </c>
      <c r="G12" s="10" t="s">
        <v>35</v>
      </c>
      <c r="H12" s="10"/>
      <c r="I12" s="14" t="s">
        <v>36</v>
      </c>
      <c r="J12" s="10" t="s">
        <v>37</v>
      </c>
    </row>
    <row r="13" ht="22.5" customHeight="1">
      <c r="A13" s="6">
        <v>11.0</v>
      </c>
      <c r="B13" s="14" t="s">
        <v>38</v>
      </c>
      <c r="C13" s="14" t="s">
        <v>39</v>
      </c>
      <c r="D13" s="14" t="s">
        <v>40</v>
      </c>
      <c r="E13" s="9"/>
      <c r="F13" s="14" t="s">
        <v>41</v>
      </c>
      <c r="G13" s="10" t="s">
        <v>35</v>
      </c>
      <c r="H13" s="10"/>
      <c r="I13" s="15" t="s">
        <v>42</v>
      </c>
      <c r="J13" s="10" t="s">
        <v>37</v>
      </c>
    </row>
    <row r="14" ht="22.5" customHeight="1">
      <c r="A14" s="6">
        <v>12.0</v>
      </c>
      <c r="B14" s="14" t="s">
        <v>43</v>
      </c>
      <c r="C14" s="14" t="s">
        <v>44</v>
      </c>
      <c r="D14" s="14" t="s">
        <v>45</v>
      </c>
      <c r="E14" s="9"/>
      <c r="F14" s="14" t="s">
        <v>46</v>
      </c>
      <c r="G14" s="10" t="s">
        <v>35</v>
      </c>
      <c r="H14" s="10"/>
      <c r="I14" s="14" t="s">
        <v>47</v>
      </c>
      <c r="J14" s="10" t="s">
        <v>37</v>
      </c>
    </row>
    <row r="15" ht="22.5" customHeight="1">
      <c r="A15" s="6">
        <v>13.0</v>
      </c>
      <c r="B15" s="14" t="s">
        <v>48</v>
      </c>
      <c r="C15" s="14" t="s">
        <v>49</v>
      </c>
      <c r="D15" s="14" t="s">
        <v>50</v>
      </c>
      <c r="E15" s="9"/>
      <c r="F15" s="14" t="s">
        <v>51</v>
      </c>
      <c r="G15" s="10" t="s">
        <v>35</v>
      </c>
      <c r="H15" s="10"/>
      <c r="I15" s="14" t="s">
        <v>52</v>
      </c>
      <c r="J15" s="10" t="s">
        <v>37</v>
      </c>
    </row>
    <row r="16" ht="22.5" customHeight="1">
      <c r="A16" s="6">
        <v>14.0</v>
      </c>
      <c r="B16" s="14" t="s">
        <v>53</v>
      </c>
      <c r="C16" s="14" t="s">
        <v>54</v>
      </c>
      <c r="D16" s="14" t="s">
        <v>55</v>
      </c>
      <c r="E16" s="9"/>
      <c r="F16" s="14" t="s">
        <v>56</v>
      </c>
      <c r="G16" s="10" t="s">
        <v>35</v>
      </c>
      <c r="H16" s="10"/>
      <c r="I16" s="14" t="s">
        <v>57</v>
      </c>
      <c r="J16" s="10" t="s">
        <v>37</v>
      </c>
    </row>
    <row r="17" ht="22.5" customHeight="1">
      <c r="A17" s="6">
        <v>15.0</v>
      </c>
      <c r="B17" s="14" t="s">
        <v>58</v>
      </c>
      <c r="C17" s="14" t="s">
        <v>59</v>
      </c>
      <c r="D17" s="14" t="s">
        <v>60</v>
      </c>
      <c r="E17" s="9"/>
      <c r="F17" s="14" t="s">
        <v>61</v>
      </c>
      <c r="G17" s="10" t="s">
        <v>35</v>
      </c>
      <c r="H17" s="10"/>
      <c r="I17" s="14" t="s">
        <v>62</v>
      </c>
      <c r="J17" s="10" t="s">
        <v>37</v>
      </c>
    </row>
    <row r="18" ht="22.5" customHeight="1">
      <c r="A18" s="6">
        <v>16.0</v>
      </c>
      <c r="B18" s="16" t="s">
        <v>63</v>
      </c>
      <c r="C18" s="16" t="s">
        <v>64</v>
      </c>
      <c r="D18" s="16" t="s">
        <v>65</v>
      </c>
      <c r="E18" s="9"/>
      <c r="F18" s="16" t="s">
        <v>66</v>
      </c>
      <c r="G18" s="10" t="s">
        <v>35</v>
      </c>
      <c r="H18" s="10" t="s">
        <v>14</v>
      </c>
      <c r="I18" s="9" t="s">
        <v>67</v>
      </c>
      <c r="J18" s="10" t="s">
        <v>37</v>
      </c>
    </row>
    <row r="19" ht="22.5" customHeight="1">
      <c r="A19" s="6">
        <v>17.0</v>
      </c>
      <c r="B19" s="16" t="s">
        <v>68</v>
      </c>
      <c r="C19" s="16" t="s">
        <v>69</v>
      </c>
      <c r="D19" s="16" t="s">
        <v>70</v>
      </c>
      <c r="E19" s="9"/>
      <c r="F19" s="16" t="s">
        <v>71</v>
      </c>
      <c r="G19" s="10" t="s">
        <v>35</v>
      </c>
      <c r="H19" s="10" t="s">
        <v>14</v>
      </c>
      <c r="I19" s="9" t="s">
        <v>72</v>
      </c>
      <c r="J19" s="10" t="s">
        <v>37</v>
      </c>
    </row>
    <row r="20" ht="22.5" customHeight="1">
      <c r="A20" s="6">
        <v>18.0</v>
      </c>
      <c r="B20" s="14" t="s">
        <v>73</v>
      </c>
      <c r="C20" s="14" t="s">
        <v>74</v>
      </c>
      <c r="D20" s="14" t="s">
        <v>75</v>
      </c>
      <c r="E20" s="9"/>
      <c r="F20" s="14" t="s">
        <v>76</v>
      </c>
      <c r="G20" s="10" t="s">
        <v>35</v>
      </c>
      <c r="H20" s="10"/>
      <c r="I20" s="14" t="s">
        <v>36</v>
      </c>
      <c r="J20" s="10" t="s">
        <v>37</v>
      </c>
    </row>
    <row r="21" ht="22.5" customHeight="1">
      <c r="A21" s="6">
        <v>19.0</v>
      </c>
      <c r="B21" s="14" t="s">
        <v>77</v>
      </c>
      <c r="C21" s="14" t="s">
        <v>78</v>
      </c>
      <c r="D21" s="14" t="s">
        <v>79</v>
      </c>
      <c r="E21" s="9"/>
      <c r="F21" s="14" t="s">
        <v>80</v>
      </c>
      <c r="G21" s="10" t="s">
        <v>35</v>
      </c>
      <c r="H21" s="10"/>
      <c r="I21" s="14" t="s">
        <v>81</v>
      </c>
      <c r="J21" s="10" t="s">
        <v>37</v>
      </c>
    </row>
    <row r="22" ht="22.5" customHeight="1">
      <c r="A22" s="6">
        <v>20.0</v>
      </c>
      <c r="B22" s="14" t="s">
        <v>82</v>
      </c>
      <c r="C22" s="14" t="s">
        <v>83</v>
      </c>
      <c r="D22" s="14" t="s">
        <v>84</v>
      </c>
      <c r="E22" s="9"/>
      <c r="F22" s="14" t="s">
        <v>85</v>
      </c>
      <c r="G22" s="10" t="s">
        <v>35</v>
      </c>
      <c r="H22" s="10"/>
      <c r="I22" s="14" t="s">
        <v>86</v>
      </c>
      <c r="J22" s="10" t="s">
        <v>37</v>
      </c>
    </row>
    <row r="23" ht="22.5" customHeight="1">
      <c r="A23" s="6">
        <v>21.0</v>
      </c>
      <c r="B23" s="14" t="s">
        <v>87</v>
      </c>
      <c r="C23" s="14" t="s">
        <v>88</v>
      </c>
      <c r="D23" s="14" t="s">
        <v>89</v>
      </c>
      <c r="E23" s="9"/>
      <c r="F23" s="14" t="s">
        <v>90</v>
      </c>
      <c r="G23" s="10" t="s">
        <v>35</v>
      </c>
      <c r="H23" s="10"/>
      <c r="I23" s="14" t="s">
        <v>86</v>
      </c>
      <c r="J23" s="10" t="s">
        <v>37</v>
      </c>
    </row>
    <row r="24" ht="22.5" customHeight="1">
      <c r="A24" s="6">
        <v>22.0</v>
      </c>
      <c r="B24" s="14" t="s">
        <v>91</v>
      </c>
      <c r="C24" s="14" t="s">
        <v>92</v>
      </c>
      <c r="D24" s="14" t="s">
        <v>93</v>
      </c>
      <c r="E24" s="9"/>
      <c r="F24" s="14" t="s">
        <v>94</v>
      </c>
      <c r="G24" s="10" t="s">
        <v>35</v>
      </c>
      <c r="H24" s="10"/>
      <c r="I24" s="14" t="s">
        <v>86</v>
      </c>
      <c r="J24" s="10" t="s">
        <v>37</v>
      </c>
    </row>
    <row r="25" ht="22.5" customHeight="1">
      <c r="A25" s="6">
        <v>23.0</v>
      </c>
      <c r="B25" s="14" t="s">
        <v>95</v>
      </c>
      <c r="C25" s="14" t="s">
        <v>96</v>
      </c>
      <c r="D25" s="14" t="s">
        <v>97</v>
      </c>
      <c r="E25" s="9"/>
      <c r="F25" s="14" t="s">
        <v>66</v>
      </c>
      <c r="G25" s="10" t="s">
        <v>35</v>
      </c>
      <c r="H25" s="10"/>
      <c r="I25" s="14" t="s">
        <v>36</v>
      </c>
      <c r="J25" s="10" t="s">
        <v>37</v>
      </c>
    </row>
    <row r="26" ht="22.5" customHeight="1">
      <c r="A26" s="6">
        <v>24.0</v>
      </c>
      <c r="B26" s="14" t="s">
        <v>98</v>
      </c>
      <c r="C26" s="14" t="s">
        <v>99</v>
      </c>
      <c r="D26" s="14" t="s">
        <v>100</v>
      </c>
      <c r="E26" s="9"/>
      <c r="F26" s="14" t="s">
        <v>101</v>
      </c>
      <c r="G26" s="10" t="s">
        <v>35</v>
      </c>
      <c r="H26" s="10"/>
      <c r="I26" s="14" t="s">
        <v>86</v>
      </c>
      <c r="J26" s="10" t="s">
        <v>37</v>
      </c>
    </row>
    <row r="27" ht="22.5" customHeight="1">
      <c r="A27" s="6">
        <v>25.0</v>
      </c>
      <c r="B27" s="14" t="s">
        <v>102</v>
      </c>
      <c r="C27" s="14" t="s">
        <v>103</v>
      </c>
      <c r="D27" s="14" t="s">
        <v>104</v>
      </c>
      <c r="E27" s="9"/>
      <c r="F27" s="14" t="s">
        <v>105</v>
      </c>
      <c r="G27" s="10" t="s">
        <v>35</v>
      </c>
      <c r="H27" s="10"/>
      <c r="I27" s="14" t="s">
        <v>86</v>
      </c>
      <c r="J27" s="10" t="s">
        <v>37</v>
      </c>
    </row>
    <row r="28" ht="22.5" customHeight="1">
      <c r="A28" s="6">
        <v>26.0</v>
      </c>
      <c r="B28" s="14" t="s">
        <v>106</v>
      </c>
      <c r="C28" s="14" t="s">
        <v>107</v>
      </c>
      <c r="D28" s="14" t="s">
        <v>108</v>
      </c>
      <c r="E28" s="9"/>
      <c r="F28" s="14" t="s">
        <v>109</v>
      </c>
      <c r="G28" s="10" t="s">
        <v>35</v>
      </c>
      <c r="H28" s="10"/>
      <c r="I28" s="14" t="s">
        <v>86</v>
      </c>
      <c r="J28" s="10" t="s">
        <v>37</v>
      </c>
    </row>
    <row r="29" ht="22.5" customHeight="1">
      <c r="A29" s="6">
        <v>27.0</v>
      </c>
      <c r="B29" s="14" t="s">
        <v>110</v>
      </c>
      <c r="C29" s="14" t="s">
        <v>111</v>
      </c>
      <c r="D29" s="14" t="s">
        <v>112</v>
      </c>
      <c r="E29" s="9"/>
      <c r="F29" s="14" t="s">
        <v>113</v>
      </c>
      <c r="G29" s="10" t="s">
        <v>35</v>
      </c>
      <c r="H29" s="10"/>
      <c r="I29" s="14" t="s">
        <v>62</v>
      </c>
      <c r="J29" s="10" t="s">
        <v>37</v>
      </c>
    </row>
    <row r="30" ht="22.5" customHeight="1">
      <c r="A30" s="6">
        <v>28.0</v>
      </c>
      <c r="B30" s="14" t="s">
        <v>114</v>
      </c>
      <c r="C30" s="14" t="s">
        <v>115</v>
      </c>
      <c r="D30" s="14" t="s">
        <v>116</v>
      </c>
      <c r="E30" s="9"/>
      <c r="F30" s="14" t="s">
        <v>117</v>
      </c>
      <c r="G30" s="10" t="s">
        <v>35</v>
      </c>
      <c r="H30" s="10"/>
      <c r="I30" s="14" t="s">
        <v>81</v>
      </c>
      <c r="J30" s="10" t="s">
        <v>37</v>
      </c>
    </row>
    <row r="31" ht="22.5" customHeight="1">
      <c r="A31" s="6">
        <v>29.0</v>
      </c>
      <c r="B31" s="14" t="s">
        <v>118</v>
      </c>
      <c r="C31" s="14" t="s">
        <v>119</v>
      </c>
      <c r="D31" s="14" t="s">
        <v>120</v>
      </c>
      <c r="E31" s="9"/>
      <c r="F31" s="14" t="s">
        <v>121</v>
      </c>
      <c r="G31" s="10" t="s">
        <v>35</v>
      </c>
      <c r="H31" s="10"/>
      <c r="I31" s="14" t="s">
        <v>52</v>
      </c>
      <c r="J31" s="10" t="s">
        <v>37</v>
      </c>
    </row>
    <row r="32" ht="22.5" customHeight="1">
      <c r="A32" s="6">
        <v>30.0</v>
      </c>
      <c r="B32" s="14" t="s">
        <v>122</v>
      </c>
      <c r="C32" s="14" t="s">
        <v>123</v>
      </c>
      <c r="D32" s="14" t="s">
        <v>124</v>
      </c>
      <c r="E32" s="9"/>
      <c r="F32" s="14" t="s">
        <v>125</v>
      </c>
      <c r="G32" s="10" t="s">
        <v>35</v>
      </c>
      <c r="H32" s="10"/>
      <c r="I32" s="14" t="s">
        <v>62</v>
      </c>
      <c r="J32" s="10" t="s">
        <v>37</v>
      </c>
    </row>
    <row r="33" ht="22.5" customHeight="1">
      <c r="A33" s="6">
        <v>31.0</v>
      </c>
      <c r="B33" s="14" t="s">
        <v>126</v>
      </c>
      <c r="C33" s="14" t="s">
        <v>127</v>
      </c>
      <c r="D33" s="14" t="s">
        <v>128</v>
      </c>
      <c r="E33" s="9"/>
      <c r="F33" s="14" t="s">
        <v>129</v>
      </c>
      <c r="G33" s="10" t="s">
        <v>35</v>
      </c>
      <c r="H33" s="10"/>
      <c r="I33" s="14" t="s">
        <v>36</v>
      </c>
      <c r="J33" s="10" t="s">
        <v>37</v>
      </c>
    </row>
    <row r="34" ht="22.5" customHeight="1">
      <c r="A34" s="6">
        <v>32.0</v>
      </c>
      <c r="B34" s="14" t="s">
        <v>130</v>
      </c>
      <c r="C34" s="14" t="s">
        <v>131</v>
      </c>
      <c r="D34" s="14" t="s">
        <v>132</v>
      </c>
      <c r="E34" s="9"/>
      <c r="F34" s="14" t="s">
        <v>133</v>
      </c>
      <c r="G34" s="10" t="s">
        <v>35</v>
      </c>
      <c r="H34" s="10"/>
      <c r="I34" s="14" t="s">
        <v>36</v>
      </c>
      <c r="J34" s="10" t="s">
        <v>37</v>
      </c>
    </row>
    <row r="35" ht="22.5" customHeight="1">
      <c r="A35" s="17">
        <v>33.0</v>
      </c>
      <c r="B35" s="18" t="s">
        <v>134</v>
      </c>
      <c r="C35" s="18" t="s">
        <v>135</v>
      </c>
      <c r="D35" s="18" t="s">
        <v>136</v>
      </c>
      <c r="E35" s="18" t="s">
        <v>137</v>
      </c>
      <c r="F35" s="18" t="s">
        <v>138</v>
      </c>
      <c r="G35" s="19" t="s">
        <v>139</v>
      </c>
      <c r="H35" s="19" t="s">
        <v>140</v>
      </c>
      <c r="I35" s="20" t="s">
        <v>141</v>
      </c>
      <c r="J35" s="10" t="s">
        <v>37</v>
      </c>
    </row>
    <row r="36" ht="22.5" customHeight="1">
      <c r="A36" s="17">
        <v>34.0</v>
      </c>
      <c r="B36" s="18" t="s">
        <v>142</v>
      </c>
      <c r="C36" s="18" t="s">
        <v>143</v>
      </c>
      <c r="D36" s="18" t="s">
        <v>144</v>
      </c>
      <c r="E36" s="18" t="s">
        <v>145</v>
      </c>
      <c r="F36" s="18" t="s">
        <v>90</v>
      </c>
      <c r="G36" s="19" t="s">
        <v>139</v>
      </c>
      <c r="H36" s="19" t="s">
        <v>14</v>
      </c>
      <c r="I36" s="21" t="s">
        <v>146</v>
      </c>
      <c r="J36" s="10" t="s">
        <v>37</v>
      </c>
    </row>
    <row r="37" ht="22.5" customHeight="1">
      <c r="A37" s="17">
        <v>35.0</v>
      </c>
      <c r="B37" s="18" t="s">
        <v>147</v>
      </c>
      <c r="C37" s="18" t="s">
        <v>148</v>
      </c>
      <c r="D37" s="18" t="s">
        <v>149</v>
      </c>
      <c r="E37" s="18"/>
      <c r="F37" s="18" t="s">
        <v>150</v>
      </c>
      <c r="G37" s="19" t="s">
        <v>139</v>
      </c>
      <c r="H37" s="19" t="s">
        <v>140</v>
      </c>
      <c r="I37" s="20" t="s">
        <v>151</v>
      </c>
      <c r="J37" s="10" t="s">
        <v>37</v>
      </c>
    </row>
    <row r="38" ht="22.5" customHeight="1">
      <c r="A38" s="17">
        <v>36.0</v>
      </c>
      <c r="B38" s="18" t="s">
        <v>152</v>
      </c>
      <c r="C38" s="18" t="s">
        <v>153</v>
      </c>
      <c r="D38" s="18" t="s">
        <v>154</v>
      </c>
      <c r="E38" s="18"/>
      <c r="F38" s="18" t="s">
        <v>155</v>
      </c>
      <c r="G38" s="19" t="s">
        <v>139</v>
      </c>
      <c r="H38" s="19" t="s">
        <v>14</v>
      </c>
      <c r="I38" s="21" t="s">
        <v>146</v>
      </c>
      <c r="J38" s="10" t="s">
        <v>37</v>
      </c>
    </row>
    <row r="39" ht="22.5" customHeight="1">
      <c r="A39" s="17">
        <v>37.0</v>
      </c>
      <c r="B39" s="18" t="s">
        <v>156</v>
      </c>
      <c r="C39" s="18" t="s">
        <v>157</v>
      </c>
      <c r="D39" s="18" t="s">
        <v>158</v>
      </c>
      <c r="E39" s="18" t="s">
        <v>159</v>
      </c>
      <c r="F39" s="18" t="s">
        <v>160</v>
      </c>
      <c r="G39" s="19" t="s">
        <v>139</v>
      </c>
      <c r="H39" s="19" t="s">
        <v>161</v>
      </c>
      <c r="I39" s="20" t="s">
        <v>162</v>
      </c>
      <c r="J39" s="10" t="s">
        <v>37</v>
      </c>
    </row>
    <row r="40" ht="22.5" customHeight="1">
      <c r="A40" s="17">
        <v>38.0</v>
      </c>
      <c r="B40" s="18" t="s">
        <v>163</v>
      </c>
      <c r="C40" s="18" t="s">
        <v>164</v>
      </c>
      <c r="D40" s="18" t="s">
        <v>165</v>
      </c>
      <c r="E40" s="18" t="s">
        <v>11</v>
      </c>
      <c r="F40" s="18" t="s">
        <v>166</v>
      </c>
      <c r="G40" s="19" t="s">
        <v>139</v>
      </c>
      <c r="H40" s="19" t="s">
        <v>161</v>
      </c>
      <c r="I40" s="20" t="s">
        <v>167</v>
      </c>
      <c r="J40" s="10" t="s">
        <v>37</v>
      </c>
    </row>
    <row r="41" ht="22.5" customHeight="1">
      <c r="A41" s="17">
        <v>39.0</v>
      </c>
      <c r="B41" s="18" t="s">
        <v>168</v>
      </c>
      <c r="C41" s="18" t="s">
        <v>169</v>
      </c>
      <c r="D41" s="18" t="s">
        <v>170</v>
      </c>
      <c r="E41" s="18" t="s">
        <v>11</v>
      </c>
      <c r="F41" s="18" t="s">
        <v>171</v>
      </c>
      <c r="G41" s="19" t="s">
        <v>139</v>
      </c>
      <c r="H41" s="19" t="s">
        <v>14</v>
      </c>
      <c r="I41" s="21" t="s">
        <v>146</v>
      </c>
      <c r="J41" s="10" t="s">
        <v>37</v>
      </c>
    </row>
    <row r="42" ht="22.5" customHeight="1">
      <c r="A42" s="17">
        <v>40.0</v>
      </c>
      <c r="B42" s="18" t="s">
        <v>172</v>
      </c>
      <c r="C42" s="18" t="s">
        <v>173</v>
      </c>
      <c r="D42" s="18" t="s">
        <v>174</v>
      </c>
      <c r="E42" s="18" t="s">
        <v>175</v>
      </c>
      <c r="F42" s="18" t="s">
        <v>66</v>
      </c>
      <c r="G42" s="19" t="s">
        <v>139</v>
      </c>
      <c r="H42" s="19" t="s">
        <v>176</v>
      </c>
      <c r="I42" s="20" t="s">
        <v>177</v>
      </c>
      <c r="J42" s="10" t="s">
        <v>37</v>
      </c>
    </row>
    <row r="43" ht="22.5" customHeight="1">
      <c r="A43" s="17">
        <v>41.0</v>
      </c>
      <c r="B43" s="18" t="s">
        <v>178</v>
      </c>
      <c r="C43" s="18" t="s">
        <v>179</v>
      </c>
      <c r="D43" s="18" t="s">
        <v>180</v>
      </c>
      <c r="E43" s="18"/>
      <c r="F43" s="18"/>
      <c r="G43" s="19" t="s">
        <v>139</v>
      </c>
      <c r="H43" s="19" t="s">
        <v>140</v>
      </c>
      <c r="I43" s="20" t="s">
        <v>181</v>
      </c>
      <c r="J43" s="10" t="s">
        <v>37</v>
      </c>
    </row>
    <row r="44" ht="22.5" customHeight="1">
      <c r="A44" s="17">
        <v>42.0</v>
      </c>
      <c r="B44" s="18" t="s">
        <v>182</v>
      </c>
      <c r="C44" s="18" t="s">
        <v>183</v>
      </c>
      <c r="D44" s="18" t="s">
        <v>184</v>
      </c>
      <c r="E44" s="18" t="s">
        <v>145</v>
      </c>
      <c r="F44" s="18" t="s">
        <v>145</v>
      </c>
      <c r="G44" s="19" t="s">
        <v>139</v>
      </c>
      <c r="H44" s="19" t="s">
        <v>161</v>
      </c>
      <c r="I44" s="20" t="s">
        <v>185</v>
      </c>
      <c r="J44" s="10" t="s">
        <v>37</v>
      </c>
    </row>
    <row r="45" ht="22.5" customHeight="1">
      <c r="A45" s="17">
        <v>43.0</v>
      </c>
      <c r="B45" s="18" t="s">
        <v>186</v>
      </c>
      <c r="C45" s="18" t="s">
        <v>187</v>
      </c>
      <c r="D45" s="18" t="s">
        <v>188</v>
      </c>
      <c r="E45" s="18" t="s">
        <v>189</v>
      </c>
      <c r="F45" s="18" t="s">
        <v>186</v>
      </c>
      <c r="G45" s="19" t="s">
        <v>139</v>
      </c>
      <c r="H45" s="19" t="s">
        <v>140</v>
      </c>
      <c r="I45" s="20" t="s">
        <v>190</v>
      </c>
      <c r="J45" s="22"/>
    </row>
    <row r="46" ht="22.5" customHeight="1">
      <c r="A46" s="17">
        <v>44.0</v>
      </c>
      <c r="B46" s="18" t="s">
        <v>191</v>
      </c>
      <c r="C46" s="18" t="s">
        <v>192</v>
      </c>
      <c r="D46" s="18" t="s">
        <v>193</v>
      </c>
      <c r="E46" s="18" t="s">
        <v>11</v>
      </c>
      <c r="F46" s="18" t="s">
        <v>194</v>
      </c>
      <c r="G46" s="19" t="s">
        <v>139</v>
      </c>
      <c r="H46" s="19" t="s">
        <v>161</v>
      </c>
      <c r="I46" s="20" t="s">
        <v>195</v>
      </c>
      <c r="J46" s="22"/>
    </row>
    <row r="47" ht="22.5" customHeight="1">
      <c r="A47" s="17">
        <v>45.0</v>
      </c>
      <c r="B47" s="18" t="s">
        <v>196</v>
      </c>
      <c r="C47" s="18" t="s">
        <v>197</v>
      </c>
      <c r="D47" s="18" t="s">
        <v>198</v>
      </c>
      <c r="E47" s="18" t="s">
        <v>199</v>
      </c>
      <c r="F47" s="18" t="s">
        <v>200</v>
      </c>
      <c r="G47" s="19" t="s">
        <v>139</v>
      </c>
      <c r="H47" s="19" t="s">
        <v>161</v>
      </c>
      <c r="I47" s="20" t="s">
        <v>201</v>
      </c>
      <c r="J47" s="22"/>
    </row>
    <row r="48" ht="22.5" customHeight="1">
      <c r="A48" s="17">
        <v>46.0</v>
      </c>
      <c r="B48" s="18" t="s">
        <v>202</v>
      </c>
      <c r="C48" s="18" t="s">
        <v>203</v>
      </c>
      <c r="D48" s="18" t="s">
        <v>204</v>
      </c>
      <c r="E48" s="18" t="s">
        <v>205</v>
      </c>
      <c r="F48" s="18" t="s">
        <v>206</v>
      </c>
      <c r="G48" s="19" t="s">
        <v>139</v>
      </c>
      <c r="H48" s="19" t="s">
        <v>161</v>
      </c>
      <c r="I48" s="20" t="s">
        <v>207</v>
      </c>
      <c r="J48" s="22"/>
    </row>
    <row r="49" ht="22.5" customHeight="1">
      <c r="A49" s="17">
        <v>47.0</v>
      </c>
      <c r="B49" s="18" t="s">
        <v>208</v>
      </c>
      <c r="C49" s="18" t="s">
        <v>209</v>
      </c>
      <c r="D49" s="18" t="s">
        <v>210</v>
      </c>
      <c r="E49" s="18" t="s">
        <v>211</v>
      </c>
      <c r="F49" s="18" t="s">
        <v>66</v>
      </c>
      <c r="G49" s="19" t="s">
        <v>139</v>
      </c>
      <c r="H49" s="19" t="s">
        <v>176</v>
      </c>
      <c r="I49" s="20" t="s">
        <v>212</v>
      </c>
      <c r="J49" s="22"/>
    </row>
    <row r="50" ht="22.5" customHeight="1">
      <c r="A50" s="17">
        <v>48.0</v>
      </c>
      <c r="B50" s="18" t="s">
        <v>213</v>
      </c>
      <c r="C50" s="18" t="s">
        <v>214</v>
      </c>
      <c r="D50" s="18" t="s">
        <v>215</v>
      </c>
      <c r="E50" s="18" t="s">
        <v>216</v>
      </c>
      <c r="F50" s="18" t="s">
        <v>217</v>
      </c>
      <c r="G50" s="19" t="s">
        <v>139</v>
      </c>
      <c r="H50" s="19" t="s">
        <v>161</v>
      </c>
      <c r="I50" s="20" t="s">
        <v>218</v>
      </c>
      <c r="J50" s="22"/>
    </row>
    <row r="51" ht="22.5" customHeight="1">
      <c r="A51" s="17">
        <v>49.0</v>
      </c>
      <c r="B51" s="18" t="s">
        <v>219</v>
      </c>
      <c r="C51" s="18" t="s">
        <v>220</v>
      </c>
      <c r="D51" s="18" t="s">
        <v>221</v>
      </c>
      <c r="E51" s="18" t="s">
        <v>222</v>
      </c>
      <c r="F51" s="18" t="s">
        <v>223</v>
      </c>
      <c r="G51" s="19" t="s">
        <v>139</v>
      </c>
      <c r="H51" s="19" t="s">
        <v>176</v>
      </c>
      <c r="I51" s="20" t="s">
        <v>224</v>
      </c>
      <c r="J51" s="22"/>
    </row>
    <row r="52" ht="22.5" customHeight="1">
      <c r="A52" s="17">
        <v>50.0</v>
      </c>
      <c r="B52" s="18" t="s">
        <v>225</v>
      </c>
      <c r="C52" s="18" t="s">
        <v>226</v>
      </c>
      <c r="D52" s="18" t="s">
        <v>227</v>
      </c>
      <c r="E52" s="18" t="s">
        <v>228</v>
      </c>
      <c r="F52" s="18" t="s">
        <v>229</v>
      </c>
      <c r="G52" s="19" t="s">
        <v>139</v>
      </c>
      <c r="H52" s="19" t="s">
        <v>14</v>
      </c>
      <c r="I52" s="21" t="s">
        <v>146</v>
      </c>
      <c r="J52" s="22"/>
    </row>
    <row r="53" ht="22.5" customHeight="1">
      <c r="A53" s="17">
        <v>51.0</v>
      </c>
      <c r="B53" s="18" t="s">
        <v>230</v>
      </c>
      <c r="C53" s="18" t="s">
        <v>231</v>
      </c>
      <c r="D53" s="18" t="s">
        <v>232</v>
      </c>
      <c r="E53" s="18" t="s">
        <v>233</v>
      </c>
      <c r="F53" s="18" t="s">
        <v>234</v>
      </c>
      <c r="G53" s="19" t="s">
        <v>139</v>
      </c>
      <c r="H53" s="19" t="s">
        <v>176</v>
      </c>
      <c r="I53" s="20" t="s">
        <v>212</v>
      </c>
      <c r="J53" s="22"/>
    </row>
    <row r="54" ht="22.5" customHeight="1">
      <c r="A54" s="17">
        <v>52.0</v>
      </c>
      <c r="B54" s="23" t="s">
        <v>235</v>
      </c>
      <c r="C54" s="23" t="s">
        <v>236</v>
      </c>
      <c r="D54" s="23" t="s">
        <v>237</v>
      </c>
      <c r="E54" s="23" t="s">
        <v>238</v>
      </c>
      <c r="F54" s="23" t="s">
        <v>239</v>
      </c>
      <c r="G54" s="19" t="s">
        <v>139</v>
      </c>
      <c r="H54" s="19" t="s">
        <v>14</v>
      </c>
      <c r="I54" s="21" t="s">
        <v>146</v>
      </c>
      <c r="J54" s="22"/>
    </row>
    <row r="55" ht="22.5" customHeight="1">
      <c r="A55" s="17">
        <v>53.0</v>
      </c>
      <c r="B55" s="23" t="s">
        <v>240</v>
      </c>
      <c r="C55" s="23" t="s">
        <v>241</v>
      </c>
      <c r="D55" s="23" t="s">
        <v>242</v>
      </c>
      <c r="E55" s="23" t="s">
        <v>11</v>
      </c>
      <c r="F55" s="23" t="s">
        <v>243</v>
      </c>
      <c r="G55" s="19" t="s">
        <v>139</v>
      </c>
      <c r="H55" s="19" t="s">
        <v>161</v>
      </c>
      <c r="I55" s="24" t="s">
        <v>244</v>
      </c>
      <c r="J55" s="22"/>
    </row>
    <row r="56" ht="22.5" customHeight="1">
      <c r="A56" s="17">
        <v>54.0</v>
      </c>
      <c r="B56" s="23" t="s">
        <v>245</v>
      </c>
      <c r="C56" s="23" t="s">
        <v>246</v>
      </c>
      <c r="D56" s="23" t="s">
        <v>247</v>
      </c>
      <c r="E56" s="23" t="s">
        <v>211</v>
      </c>
      <c r="F56" s="23" t="s">
        <v>248</v>
      </c>
      <c r="G56" s="19" t="s">
        <v>139</v>
      </c>
      <c r="H56" s="19" t="s">
        <v>176</v>
      </c>
      <c r="I56" s="24" t="s">
        <v>249</v>
      </c>
      <c r="J56" s="22"/>
    </row>
    <row r="57" ht="22.5" customHeight="1">
      <c r="A57" s="17">
        <v>55.0</v>
      </c>
      <c r="B57" s="23" t="s">
        <v>250</v>
      </c>
      <c r="C57" s="23" t="s">
        <v>251</v>
      </c>
      <c r="D57" s="23" t="s">
        <v>252</v>
      </c>
      <c r="E57" s="23" t="s">
        <v>216</v>
      </c>
      <c r="F57" s="23" t="s">
        <v>253</v>
      </c>
      <c r="G57" s="19" t="s">
        <v>139</v>
      </c>
      <c r="H57" s="19" t="s">
        <v>176</v>
      </c>
      <c r="I57" s="24" t="s">
        <v>249</v>
      </c>
      <c r="J57" s="22"/>
    </row>
    <row r="58" ht="22.5" customHeight="1">
      <c r="A58" s="17">
        <v>56.0</v>
      </c>
      <c r="B58" s="23" t="s">
        <v>254</v>
      </c>
      <c r="C58" s="23" t="s">
        <v>255</v>
      </c>
      <c r="D58" s="23" t="s">
        <v>256</v>
      </c>
      <c r="E58" s="23" t="s">
        <v>257</v>
      </c>
      <c r="F58" s="23"/>
      <c r="G58" s="19" t="s">
        <v>139</v>
      </c>
      <c r="H58" s="19" t="s">
        <v>176</v>
      </c>
      <c r="I58" s="24" t="s">
        <v>249</v>
      </c>
      <c r="J58" s="22"/>
    </row>
    <row r="59" ht="22.5" customHeight="1">
      <c r="A59" s="17">
        <v>57.0</v>
      </c>
      <c r="B59" s="23" t="s">
        <v>258</v>
      </c>
      <c r="C59" s="23" t="s">
        <v>259</v>
      </c>
      <c r="D59" s="23" t="s">
        <v>260</v>
      </c>
      <c r="E59" s="23"/>
      <c r="F59" s="23"/>
      <c r="G59" s="19" t="s">
        <v>139</v>
      </c>
      <c r="H59" s="19" t="s">
        <v>176</v>
      </c>
      <c r="I59" s="24" t="s">
        <v>249</v>
      </c>
      <c r="J59" s="22"/>
    </row>
    <row r="60" ht="22.5" customHeight="1">
      <c r="A60" s="17">
        <v>58.0</v>
      </c>
      <c r="B60" s="23" t="s">
        <v>261</v>
      </c>
      <c r="C60" s="23" t="s">
        <v>262</v>
      </c>
      <c r="D60" s="23" t="s">
        <v>263</v>
      </c>
      <c r="E60" s="23" t="s">
        <v>264</v>
      </c>
      <c r="F60" s="23" t="s">
        <v>265</v>
      </c>
      <c r="G60" s="19" t="s">
        <v>139</v>
      </c>
      <c r="H60" s="19" t="s">
        <v>176</v>
      </c>
      <c r="I60" s="24" t="s">
        <v>249</v>
      </c>
      <c r="J60" s="22"/>
    </row>
    <row r="61" ht="22.5" customHeight="1">
      <c r="A61" s="17">
        <v>59.0</v>
      </c>
      <c r="B61" s="23" t="s">
        <v>266</v>
      </c>
      <c r="C61" s="23" t="s">
        <v>267</v>
      </c>
      <c r="D61" s="23" t="s">
        <v>268</v>
      </c>
      <c r="E61" s="23" t="s">
        <v>269</v>
      </c>
      <c r="F61" s="23" t="s">
        <v>270</v>
      </c>
      <c r="G61" s="19" t="s">
        <v>139</v>
      </c>
      <c r="H61" s="19" t="s">
        <v>161</v>
      </c>
      <c r="I61" s="24" t="s">
        <v>271</v>
      </c>
      <c r="J61" s="22"/>
    </row>
    <row r="62" ht="22.5" customHeight="1">
      <c r="A62" s="17">
        <v>60.0</v>
      </c>
      <c r="B62" s="23" t="s">
        <v>272</v>
      </c>
      <c r="C62" s="23" t="s">
        <v>273</v>
      </c>
      <c r="D62" s="23" t="s">
        <v>274</v>
      </c>
      <c r="E62" s="23" t="s">
        <v>275</v>
      </c>
      <c r="F62" s="23" t="s">
        <v>276</v>
      </c>
      <c r="G62" s="19" t="s">
        <v>139</v>
      </c>
      <c r="H62" s="19" t="s">
        <v>161</v>
      </c>
      <c r="I62" s="24" t="s">
        <v>271</v>
      </c>
      <c r="J62" s="22"/>
    </row>
    <row r="63" ht="22.5" customHeight="1">
      <c r="A63" s="17">
        <v>61.0</v>
      </c>
      <c r="B63" s="23" t="s">
        <v>277</v>
      </c>
      <c r="C63" s="23" t="s">
        <v>278</v>
      </c>
      <c r="D63" s="23" t="s">
        <v>279</v>
      </c>
      <c r="E63" s="23" t="s">
        <v>280</v>
      </c>
      <c r="F63" s="23" t="s">
        <v>281</v>
      </c>
      <c r="G63" s="19" t="s">
        <v>139</v>
      </c>
      <c r="H63" s="19" t="s">
        <v>161</v>
      </c>
      <c r="I63" s="24" t="s">
        <v>271</v>
      </c>
      <c r="J63" s="22"/>
    </row>
    <row r="64" ht="22.5" customHeight="1">
      <c r="A64" s="17">
        <v>62.0</v>
      </c>
      <c r="B64" s="23" t="s">
        <v>282</v>
      </c>
      <c r="C64" s="23" t="s">
        <v>283</v>
      </c>
      <c r="D64" s="23" t="s">
        <v>284</v>
      </c>
      <c r="E64" s="23" t="s">
        <v>229</v>
      </c>
      <c r="F64" s="23" t="s">
        <v>285</v>
      </c>
      <c r="G64" s="19" t="s">
        <v>139</v>
      </c>
      <c r="H64" s="19" t="s">
        <v>14</v>
      </c>
      <c r="I64" s="24" t="s">
        <v>146</v>
      </c>
      <c r="J64" s="22"/>
    </row>
    <row r="65" ht="22.5" customHeight="1">
      <c r="A65" s="17">
        <v>63.0</v>
      </c>
      <c r="B65" s="23" t="s">
        <v>286</v>
      </c>
      <c r="C65" s="23" t="s">
        <v>287</v>
      </c>
      <c r="D65" s="23" t="s">
        <v>288</v>
      </c>
      <c r="E65" s="23" t="s">
        <v>289</v>
      </c>
      <c r="F65" s="23" t="s">
        <v>290</v>
      </c>
      <c r="G65" s="19" t="s">
        <v>139</v>
      </c>
      <c r="H65" s="19" t="s">
        <v>176</v>
      </c>
      <c r="I65" s="24" t="s">
        <v>249</v>
      </c>
      <c r="J65" s="22"/>
    </row>
    <row r="66" ht="22.5" customHeight="1">
      <c r="A66" s="17">
        <v>64.0</v>
      </c>
      <c r="B66" s="23" t="s">
        <v>291</v>
      </c>
      <c r="C66" s="23" t="s">
        <v>292</v>
      </c>
      <c r="D66" s="23" t="s">
        <v>293</v>
      </c>
      <c r="E66" s="23" t="s">
        <v>228</v>
      </c>
      <c r="F66" s="23" t="s">
        <v>34</v>
      </c>
      <c r="G66" s="19" t="s">
        <v>139</v>
      </c>
      <c r="H66" s="19" t="s">
        <v>14</v>
      </c>
      <c r="I66" s="24" t="s">
        <v>146</v>
      </c>
      <c r="J66" s="22"/>
    </row>
    <row r="67" ht="22.5" customHeight="1">
      <c r="A67" s="17">
        <v>65.0</v>
      </c>
      <c r="B67" s="23" t="s">
        <v>294</v>
      </c>
      <c r="C67" s="23" t="s">
        <v>295</v>
      </c>
      <c r="D67" s="23" t="s">
        <v>296</v>
      </c>
      <c r="E67" s="23" t="s">
        <v>297</v>
      </c>
      <c r="F67" s="23" t="s">
        <v>206</v>
      </c>
      <c r="G67" s="19" t="s">
        <v>139</v>
      </c>
      <c r="H67" s="19" t="s">
        <v>161</v>
      </c>
      <c r="I67" s="24" t="s">
        <v>298</v>
      </c>
      <c r="J67" s="22"/>
    </row>
    <row r="68" ht="22.5" customHeight="1">
      <c r="A68" s="17">
        <v>66.0</v>
      </c>
      <c r="B68" s="23" t="s">
        <v>299</v>
      </c>
      <c r="C68" s="23" t="s">
        <v>300</v>
      </c>
      <c r="D68" s="23" t="s">
        <v>301</v>
      </c>
      <c r="E68" s="23" t="s">
        <v>11</v>
      </c>
      <c r="F68" s="23" t="s">
        <v>302</v>
      </c>
      <c r="G68" s="19" t="s">
        <v>139</v>
      </c>
      <c r="H68" s="19" t="s">
        <v>14</v>
      </c>
      <c r="I68" s="24" t="s">
        <v>146</v>
      </c>
      <c r="J68" s="22"/>
    </row>
    <row r="69" ht="22.5" customHeight="1">
      <c r="A69" s="17">
        <v>67.0</v>
      </c>
      <c r="B69" s="23" t="s">
        <v>303</v>
      </c>
      <c r="C69" s="23" t="s">
        <v>304</v>
      </c>
      <c r="D69" s="23" t="s">
        <v>305</v>
      </c>
      <c r="E69" s="23" t="s">
        <v>145</v>
      </c>
      <c r="F69" s="23" t="s">
        <v>90</v>
      </c>
      <c r="G69" s="19" t="s">
        <v>139</v>
      </c>
      <c r="H69" s="19" t="s">
        <v>176</v>
      </c>
      <c r="I69" s="24" t="s">
        <v>249</v>
      </c>
      <c r="J69" s="22"/>
    </row>
    <row r="70" ht="22.5" customHeight="1">
      <c r="A70" s="17">
        <v>68.0</v>
      </c>
      <c r="B70" s="23" t="s">
        <v>306</v>
      </c>
      <c r="C70" s="23" t="s">
        <v>307</v>
      </c>
      <c r="D70" s="23" t="s">
        <v>308</v>
      </c>
      <c r="E70" s="23" t="s">
        <v>229</v>
      </c>
      <c r="F70" s="23" t="s">
        <v>309</v>
      </c>
      <c r="G70" s="19" t="s">
        <v>139</v>
      </c>
      <c r="H70" s="19" t="s">
        <v>161</v>
      </c>
      <c r="I70" s="24" t="s">
        <v>298</v>
      </c>
      <c r="J70" s="22"/>
    </row>
    <row r="71" ht="22.5" customHeight="1">
      <c r="A71" s="17">
        <v>69.0</v>
      </c>
      <c r="B71" s="23" t="s">
        <v>310</v>
      </c>
      <c r="C71" s="23" t="s">
        <v>311</v>
      </c>
      <c r="D71" s="23" t="s">
        <v>312</v>
      </c>
      <c r="E71" s="23" t="s">
        <v>313</v>
      </c>
      <c r="F71" s="23" t="s">
        <v>206</v>
      </c>
      <c r="G71" s="19" t="s">
        <v>139</v>
      </c>
      <c r="H71" s="19" t="s">
        <v>161</v>
      </c>
      <c r="I71" s="24" t="s">
        <v>298</v>
      </c>
      <c r="J71" s="22"/>
    </row>
    <row r="72" ht="22.5" customHeight="1">
      <c r="A72" s="17">
        <v>70.0</v>
      </c>
      <c r="B72" s="23" t="s">
        <v>314</v>
      </c>
      <c r="C72" s="23" t="s">
        <v>315</v>
      </c>
      <c r="D72" s="23" t="s">
        <v>316</v>
      </c>
      <c r="E72" s="23" t="s">
        <v>145</v>
      </c>
      <c r="F72" s="23" t="s">
        <v>317</v>
      </c>
      <c r="G72" s="19" t="s">
        <v>139</v>
      </c>
      <c r="H72" s="19" t="s">
        <v>14</v>
      </c>
      <c r="I72" s="24" t="s">
        <v>146</v>
      </c>
      <c r="J72" s="22"/>
    </row>
    <row r="73" ht="22.5" customHeight="1">
      <c r="A73" s="17">
        <v>71.0</v>
      </c>
      <c r="B73" s="23" t="s">
        <v>318</v>
      </c>
      <c r="C73" s="23" t="s">
        <v>319</v>
      </c>
      <c r="D73" s="23" t="s">
        <v>320</v>
      </c>
      <c r="E73" s="23" t="s">
        <v>216</v>
      </c>
      <c r="F73" s="23" t="s">
        <v>321</v>
      </c>
      <c r="G73" s="19" t="s">
        <v>139</v>
      </c>
      <c r="H73" s="19" t="s">
        <v>161</v>
      </c>
      <c r="I73" s="24" t="s">
        <v>298</v>
      </c>
      <c r="J73" s="22"/>
    </row>
    <row r="74" ht="22.5" customHeight="1">
      <c r="A74" s="17">
        <v>72.0</v>
      </c>
      <c r="B74" s="23" t="s">
        <v>322</v>
      </c>
      <c r="C74" s="23" t="s">
        <v>323</v>
      </c>
      <c r="D74" s="23" t="s">
        <v>324</v>
      </c>
      <c r="E74" s="23" t="s">
        <v>325</v>
      </c>
      <c r="F74" s="23" t="s">
        <v>326</v>
      </c>
      <c r="G74" s="19" t="s">
        <v>139</v>
      </c>
      <c r="H74" s="19" t="s">
        <v>161</v>
      </c>
      <c r="I74" s="24" t="s">
        <v>298</v>
      </c>
      <c r="J74" s="22"/>
    </row>
    <row r="75" ht="22.5" customHeight="1">
      <c r="A75" s="17">
        <v>73.0</v>
      </c>
      <c r="B75" s="23" t="s">
        <v>327</v>
      </c>
      <c r="C75" s="23" t="s">
        <v>328</v>
      </c>
      <c r="D75" s="23" t="s">
        <v>329</v>
      </c>
      <c r="E75" s="23" t="s">
        <v>330</v>
      </c>
      <c r="F75" s="23" t="s">
        <v>331</v>
      </c>
      <c r="G75" s="19" t="s">
        <v>139</v>
      </c>
      <c r="H75" s="19" t="s">
        <v>161</v>
      </c>
      <c r="I75" s="24" t="s">
        <v>271</v>
      </c>
      <c r="J75" s="22"/>
    </row>
    <row r="76" ht="22.5" customHeight="1">
      <c r="A76" s="17">
        <v>74.0</v>
      </c>
      <c r="B76" s="23" t="s">
        <v>332</v>
      </c>
      <c r="C76" s="23" t="s">
        <v>333</v>
      </c>
      <c r="D76" s="23" t="s">
        <v>334</v>
      </c>
      <c r="E76" s="23" t="s">
        <v>335</v>
      </c>
      <c r="F76" s="23" t="s">
        <v>336</v>
      </c>
      <c r="G76" s="19" t="s">
        <v>139</v>
      </c>
      <c r="H76" s="19" t="s">
        <v>161</v>
      </c>
      <c r="I76" s="24" t="s">
        <v>271</v>
      </c>
      <c r="J76" s="22"/>
    </row>
    <row r="77" ht="22.5" customHeight="1">
      <c r="A77" s="17">
        <v>75.0</v>
      </c>
      <c r="B77" s="23" t="s">
        <v>337</v>
      </c>
      <c r="C77" s="23" t="s">
        <v>338</v>
      </c>
      <c r="D77" s="23" t="s">
        <v>339</v>
      </c>
      <c r="E77" s="23"/>
      <c r="F77" s="23"/>
      <c r="G77" s="19" t="s">
        <v>139</v>
      </c>
      <c r="H77" s="19" t="s">
        <v>176</v>
      </c>
      <c r="I77" s="24" t="s">
        <v>340</v>
      </c>
      <c r="J77" s="22"/>
    </row>
    <row r="78" ht="22.5" customHeight="1">
      <c r="A78" s="17">
        <v>76.0</v>
      </c>
      <c r="B78" s="23" t="s">
        <v>341</v>
      </c>
      <c r="C78" s="23" t="s">
        <v>342</v>
      </c>
      <c r="D78" s="23" t="s">
        <v>343</v>
      </c>
      <c r="E78" s="23" t="s">
        <v>344</v>
      </c>
      <c r="F78" s="23" t="s">
        <v>345</v>
      </c>
      <c r="G78" s="19" t="s">
        <v>139</v>
      </c>
      <c r="H78" s="19" t="s">
        <v>161</v>
      </c>
      <c r="I78" s="24" t="s">
        <v>271</v>
      </c>
      <c r="J78" s="22"/>
    </row>
    <row r="79" ht="22.5" customHeight="1">
      <c r="A79" s="17">
        <v>77.0</v>
      </c>
      <c r="B79" s="23" t="s">
        <v>346</v>
      </c>
      <c r="C79" s="23" t="s">
        <v>347</v>
      </c>
      <c r="D79" s="23" t="s">
        <v>348</v>
      </c>
      <c r="E79" s="23" t="s">
        <v>229</v>
      </c>
      <c r="F79" s="23" t="s">
        <v>61</v>
      </c>
      <c r="G79" s="19" t="s">
        <v>139</v>
      </c>
      <c r="H79" s="19" t="s">
        <v>161</v>
      </c>
      <c r="I79" s="24" t="s">
        <v>298</v>
      </c>
      <c r="J79" s="22"/>
    </row>
    <row r="80" ht="22.5" customHeight="1">
      <c r="A80" s="17">
        <v>78.0</v>
      </c>
      <c r="B80" s="23" t="s">
        <v>349</v>
      </c>
      <c r="C80" s="23" t="s">
        <v>350</v>
      </c>
      <c r="D80" s="23" t="s">
        <v>351</v>
      </c>
      <c r="E80" s="23" t="s">
        <v>344</v>
      </c>
      <c r="F80" s="23" t="s">
        <v>352</v>
      </c>
      <c r="G80" s="19" t="s">
        <v>139</v>
      </c>
      <c r="H80" s="19" t="s">
        <v>161</v>
      </c>
      <c r="I80" s="24" t="s">
        <v>271</v>
      </c>
      <c r="J80" s="22"/>
    </row>
    <row r="81" ht="22.5" customHeight="1">
      <c r="A81" s="17">
        <v>79.0</v>
      </c>
      <c r="B81" s="23" t="s">
        <v>353</v>
      </c>
      <c r="C81" s="23" t="s">
        <v>354</v>
      </c>
      <c r="D81" s="23" t="s">
        <v>355</v>
      </c>
      <c r="E81" s="23" t="s">
        <v>344</v>
      </c>
      <c r="F81" s="23" t="s">
        <v>356</v>
      </c>
      <c r="G81" s="19" t="s">
        <v>139</v>
      </c>
      <c r="H81" s="19" t="s">
        <v>161</v>
      </c>
      <c r="I81" s="24" t="s">
        <v>271</v>
      </c>
      <c r="J81" s="22"/>
    </row>
    <row r="82" ht="22.5" customHeight="1">
      <c r="A82" s="17">
        <v>80.0</v>
      </c>
      <c r="B82" s="23" t="s">
        <v>357</v>
      </c>
      <c r="C82" s="23" t="s">
        <v>358</v>
      </c>
      <c r="D82" s="23" t="s">
        <v>359</v>
      </c>
      <c r="E82" s="23" t="s">
        <v>360</v>
      </c>
      <c r="F82" s="23" t="s">
        <v>361</v>
      </c>
      <c r="G82" s="19" t="s">
        <v>139</v>
      </c>
      <c r="H82" s="19" t="s">
        <v>161</v>
      </c>
      <c r="I82" s="24" t="s">
        <v>298</v>
      </c>
      <c r="J82" s="22"/>
    </row>
    <row r="83" ht="22.5" customHeight="1">
      <c r="A83" s="17">
        <v>81.0</v>
      </c>
      <c r="B83" s="23" t="s">
        <v>362</v>
      </c>
      <c r="C83" s="23" t="s">
        <v>363</v>
      </c>
      <c r="D83" s="23" t="s">
        <v>364</v>
      </c>
      <c r="E83" s="23" t="s">
        <v>11</v>
      </c>
      <c r="F83" s="23" t="s">
        <v>365</v>
      </c>
      <c r="G83" s="19" t="s">
        <v>139</v>
      </c>
      <c r="H83" s="19" t="s">
        <v>140</v>
      </c>
      <c r="I83" s="24" t="s">
        <v>249</v>
      </c>
      <c r="J83" s="22"/>
    </row>
    <row r="84" ht="22.5" customHeight="1">
      <c r="A84" s="6"/>
      <c r="B84" s="25"/>
      <c r="C84" s="26"/>
      <c r="D84" s="26"/>
      <c r="E84" s="26"/>
      <c r="F84" s="26"/>
      <c r="G84" s="10"/>
      <c r="H84" s="10"/>
      <c r="I84" s="9"/>
      <c r="J84" s="22"/>
    </row>
    <row r="85" ht="22.5" customHeight="1">
      <c r="A85" s="6"/>
      <c r="B85" s="25"/>
      <c r="C85" s="26"/>
      <c r="D85" s="26"/>
      <c r="E85" s="26"/>
      <c r="F85" s="26"/>
      <c r="G85" s="10"/>
      <c r="H85" s="10"/>
      <c r="I85" s="9"/>
      <c r="J85" s="22"/>
    </row>
    <row r="86" ht="22.5" customHeight="1">
      <c r="A86" s="6"/>
      <c r="B86" s="25"/>
      <c r="C86" s="26"/>
      <c r="D86" s="26"/>
      <c r="E86" s="26"/>
      <c r="F86" s="26"/>
      <c r="G86" s="10"/>
      <c r="H86" s="10"/>
      <c r="I86" s="9"/>
      <c r="J86" s="22"/>
    </row>
    <row r="87" ht="22.5" customHeight="1">
      <c r="A87" s="6"/>
      <c r="B87" s="27" t="s">
        <v>366</v>
      </c>
      <c r="C87" s="27" t="s">
        <v>367</v>
      </c>
      <c r="D87" s="27" t="s">
        <v>368</v>
      </c>
      <c r="E87" s="27" t="s">
        <v>369</v>
      </c>
      <c r="F87" s="27" t="s">
        <v>370</v>
      </c>
      <c r="G87" s="10" t="s">
        <v>371</v>
      </c>
      <c r="H87" s="10" t="s">
        <v>161</v>
      </c>
      <c r="I87" s="9" t="s">
        <v>372</v>
      </c>
      <c r="J87" s="22"/>
    </row>
    <row r="88" ht="22.5" customHeight="1">
      <c r="A88" s="6"/>
      <c r="B88" s="27" t="s">
        <v>373</v>
      </c>
      <c r="C88" s="27" t="s">
        <v>374</v>
      </c>
      <c r="D88" s="27" t="s">
        <v>375</v>
      </c>
      <c r="E88" s="27" t="s">
        <v>137</v>
      </c>
      <c r="F88" s="27" t="s">
        <v>376</v>
      </c>
      <c r="G88" s="10" t="s">
        <v>371</v>
      </c>
      <c r="H88" s="10" t="s">
        <v>176</v>
      </c>
      <c r="I88" s="9"/>
      <c r="J88" s="22"/>
    </row>
    <row r="89" ht="22.5" customHeight="1">
      <c r="A89" s="6"/>
      <c r="B89" s="27" t="s">
        <v>377</v>
      </c>
      <c r="C89" s="27" t="s">
        <v>378</v>
      </c>
      <c r="D89" s="27" t="s">
        <v>379</v>
      </c>
      <c r="E89" s="27" t="s">
        <v>380</v>
      </c>
      <c r="F89" s="27" t="s">
        <v>66</v>
      </c>
      <c r="G89" s="10" t="s">
        <v>371</v>
      </c>
      <c r="H89" s="10" t="s">
        <v>161</v>
      </c>
      <c r="I89" s="9" t="s">
        <v>381</v>
      </c>
      <c r="J89" s="22"/>
    </row>
    <row r="90" ht="22.5" customHeight="1">
      <c r="A90" s="6"/>
      <c r="B90" s="27" t="s">
        <v>382</v>
      </c>
      <c r="C90" s="27" t="s">
        <v>383</v>
      </c>
      <c r="D90" s="27" t="s">
        <v>384</v>
      </c>
      <c r="E90" s="27" t="s">
        <v>216</v>
      </c>
      <c r="F90" s="27" t="s">
        <v>385</v>
      </c>
      <c r="G90" s="10" t="s">
        <v>371</v>
      </c>
      <c r="H90" s="10" t="s">
        <v>161</v>
      </c>
      <c r="I90" s="9"/>
      <c r="J90" s="22"/>
    </row>
    <row r="91" ht="22.5" customHeight="1">
      <c r="A91" s="6"/>
      <c r="B91" s="27" t="s">
        <v>386</v>
      </c>
      <c r="C91" s="27" t="s">
        <v>387</v>
      </c>
      <c r="D91" s="27" t="s">
        <v>388</v>
      </c>
      <c r="E91" s="27" t="s">
        <v>385</v>
      </c>
      <c r="F91" s="27" t="s">
        <v>385</v>
      </c>
      <c r="G91" s="10" t="s">
        <v>371</v>
      </c>
      <c r="H91" s="10" t="s">
        <v>14</v>
      </c>
      <c r="I91" s="9" t="s">
        <v>389</v>
      </c>
      <c r="J91" s="22"/>
    </row>
    <row r="92" ht="22.5" customHeight="1">
      <c r="A92" s="6"/>
      <c r="B92" s="27" t="s">
        <v>390</v>
      </c>
      <c r="C92" s="27" t="s">
        <v>391</v>
      </c>
      <c r="D92" s="27" t="s">
        <v>392</v>
      </c>
      <c r="E92" s="27" t="s">
        <v>393</v>
      </c>
      <c r="F92" s="27" t="s">
        <v>394</v>
      </c>
      <c r="G92" s="10" t="s">
        <v>371</v>
      </c>
      <c r="H92" s="10" t="s">
        <v>176</v>
      </c>
      <c r="I92" s="9"/>
      <c r="J92" s="22"/>
    </row>
    <row r="93" ht="22.5" customHeight="1">
      <c r="A93" s="6"/>
      <c r="B93" s="27" t="s">
        <v>395</v>
      </c>
      <c r="C93" s="27" t="s">
        <v>396</v>
      </c>
      <c r="D93" s="27" t="s">
        <v>397</v>
      </c>
      <c r="E93" s="27" t="s">
        <v>398</v>
      </c>
      <c r="F93" s="27" t="s">
        <v>399</v>
      </c>
      <c r="G93" s="10" t="s">
        <v>371</v>
      </c>
      <c r="H93" s="10" t="s">
        <v>161</v>
      </c>
      <c r="I93" s="9" t="s">
        <v>400</v>
      </c>
      <c r="J93" s="22"/>
    </row>
    <row r="94" ht="22.5" customHeight="1">
      <c r="A94" s="6"/>
      <c r="B94" s="27" t="s">
        <v>401</v>
      </c>
      <c r="C94" s="27" t="s">
        <v>402</v>
      </c>
      <c r="D94" s="27" t="s">
        <v>403</v>
      </c>
      <c r="E94" s="28">
        <v>9.987738155E9</v>
      </c>
      <c r="F94" s="27" t="s">
        <v>404</v>
      </c>
      <c r="G94" s="10" t="s">
        <v>371</v>
      </c>
      <c r="H94" s="10" t="s">
        <v>161</v>
      </c>
      <c r="I94" s="9"/>
      <c r="J94" s="22"/>
    </row>
    <row r="95" ht="22.5" customHeight="1">
      <c r="A95" s="6"/>
      <c r="B95" s="27" t="s">
        <v>405</v>
      </c>
      <c r="C95" s="27" t="s">
        <v>406</v>
      </c>
      <c r="D95" s="27" t="s">
        <v>407</v>
      </c>
      <c r="E95" s="27" t="s">
        <v>408</v>
      </c>
      <c r="F95" s="27" t="s">
        <v>409</v>
      </c>
      <c r="G95" s="10" t="s">
        <v>371</v>
      </c>
      <c r="H95" s="10" t="s">
        <v>176</v>
      </c>
      <c r="I95" s="29"/>
      <c r="J95" s="22"/>
    </row>
    <row r="96" ht="22.5" customHeight="1">
      <c r="A96" s="30"/>
      <c r="B96" s="14" t="s">
        <v>410</v>
      </c>
      <c r="C96" s="14" t="s">
        <v>411</v>
      </c>
      <c r="D96" s="14" t="s">
        <v>412</v>
      </c>
      <c r="E96" s="14" t="s">
        <v>216</v>
      </c>
      <c r="F96" s="14" t="s">
        <v>385</v>
      </c>
      <c r="G96" s="31" t="s">
        <v>413</v>
      </c>
      <c r="H96" s="32" t="s">
        <v>161</v>
      </c>
      <c r="I96" s="15" t="s">
        <v>414</v>
      </c>
      <c r="J96" s="22"/>
    </row>
    <row r="97" ht="22.5" customHeight="1">
      <c r="A97" s="30"/>
      <c r="B97" s="14" t="s">
        <v>415</v>
      </c>
      <c r="C97" s="14" t="s">
        <v>416</v>
      </c>
      <c r="D97" s="14" t="s">
        <v>417</v>
      </c>
      <c r="E97" s="14" t="s">
        <v>216</v>
      </c>
      <c r="F97" s="14" t="s">
        <v>365</v>
      </c>
      <c r="G97" s="31" t="s">
        <v>413</v>
      </c>
      <c r="H97" s="32" t="s">
        <v>176</v>
      </c>
      <c r="I97" s="15" t="s">
        <v>418</v>
      </c>
      <c r="J97" s="22"/>
    </row>
    <row r="98" ht="22.5" customHeight="1">
      <c r="A98" s="30"/>
      <c r="B98" s="14" t="s">
        <v>419</v>
      </c>
      <c r="C98" s="14" t="s">
        <v>420</v>
      </c>
      <c r="D98" s="14" t="s">
        <v>421</v>
      </c>
      <c r="E98" s="14" t="s">
        <v>11</v>
      </c>
      <c r="F98" s="14" t="s">
        <v>385</v>
      </c>
      <c r="G98" s="31" t="s">
        <v>413</v>
      </c>
      <c r="H98" s="32" t="s">
        <v>161</v>
      </c>
      <c r="I98" s="15" t="s">
        <v>422</v>
      </c>
      <c r="J98" s="22"/>
    </row>
    <row r="99" ht="22.5" customHeight="1">
      <c r="A99" s="30"/>
      <c r="B99" s="14" t="s">
        <v>423</v>
      </c>
      <c r="C99" s="14" t="s">
        <v>424</v>
      </c>
      <c r="D99" s="14" t="s">
        <v>425</v>
      </c>
      <c r="E99" s="14" t="s">
        <v>216</v>
      </c>
      <c r="F99" s="14" t="s">
        <v>426</v>
      </c>
      <c r="G99" s="31" t="s">
        <v>413</v>
      </c>
      <c r="H99" s="32" t="s">
        <v>427</v>
      </c>
      <c r="I99" s="15" t="s">
        <v>428</v>
      </c>
      <c r="J99" s="22"/>
    </row>
    <row r="100" ht="22.5" customHeight="1">
      <c r="A100" s="30"/>
      <c r="B100" s="14" t="s">
        <v>429</v>
      </c>
      <c r="C100" s="14" t="s">
        <v>430</v>
      </c>
      <c r="D100" s="14" t="s">
        <v>431</v>
      </c>
      <c r="E100" s="14" t="s">
        <v>216</v>
      </c>
      <c r="F100" s="14" t="s">
        <v>11</v>
      </c>
      <c r="G100" s="31" t="s">
        <v>413</v>
      </c>
      <c r="H100" s="32" t="s">
        <v>161</v>
      </c>
      <c r="I100" s="15" t="s">
        <v>432</v>
      </c>
      <c r="J100" s="22"/>
    </row>
    <row r="101" ht="22.5" customHeight="1">
      <c r="A101" s="30"/>
      <c r="B101" s="14" t="s">
        <v>433</v>
      </c>
      <c r="C101" s="14" t="s">
        <v>434</v>
      </c>
      <c r="D101" s="14" t="s">
        <v>435</v>
      </c>
      <c r="E101" s="14" t="s">
        <v>11</v>
      </c>
      <c r="F101" s="14" t="s">
        <v>365</v>
      </c>
      <c r="G101" s="31" t="s">
        <v>413</v>
      </c>
      <c r="H101" s="32" t="s">
        <v>161</v>
      </c>
      <c r="I101" s="15" t="s">
        <v>436</v>
      </c>
      <c r="J101" s="22"/>
    </row>
    <row r="102" ht="22.5" customHeight="1">
      <c r="A102" s="30"/>
      <c r="B102" s="14" t="s">
        <v>437</v>
      </c>
      <c r="C102" s="14" t="s">
        <v>438</v>
      </c>
      <c r="D102" s="14" t="s">
        <v>439</v>
      </c>
      <c r="E102" s="14" t="s">
        <v>11</v>
      </c>
      <c r="F102" s="14" t="s">
        <v>385</v>
      </c>
      <c r="G102" s="31" t="s">
        <v>413</v>
      </c>
      <c r="H102" s="32"/>
      <c r="I102" s="15" t="s">
        <v>440</v>
      </c>
      <c r="J102" s="22"/>
    </row>
    <row r="103" ht="22.5" customHeight="1">
      <c r="A103" s="30"/>
      <c r="B103" s="14" t="s">
        <v>441</v>
      </c>
      <c r="C103" s="14" t="s">
        <v>442</v>
      </c>
      <c r="D103" s="14" t="s">
        <v>443</v>
      </c>
      <c r="E103" s="14" t="s">
        <v>11</v>
      </c>
      <c r="F103" s="14" t="s">
        <v>444</v>
      </c>
      <c r="G103" s="31" t="s">
        <v>413</v>
      </c>
      <c r="H103" s="32" t="s">
        <v>427</v>
      </c>
      <c r="I103" s="15" t="s">
        <v>445</v>
      </c>
      <c r="J103" s="22"/>
    </row>
    <row r="104" ht="22.5" customHeight="1">
      <c r="A104" s="30"/>
      <c r="B104" s="14" t="s">
        <v>446</v>
      </c>
      <c r="C104" s="14" t="s">
        <v>447</v>
      </c>
      <c r="D104" s="14" t="s">
        <v>448</v>
      </c>
      <c r="E104" s="14" t="s">
        <v>449</v>
      </c>
      <c r="F104" s="14" t="s">
        <v>331</v>
      </c>
      <c r="G104" s="31" t="s">
        <v>413</v>
      </c>
      <c r="H104" s="32" t="s">
        <v>176</v>
      </c>
      <c r="I104" s="15" t="s">
        <v>422</v>
      </c>
      <c r="J104" s="22"/>
    </row>
    <row r="105" ht="22.5" customHeight="1">
      <c r="A105" s="30"/>
      <c r="B105" s="14" t="s">
        <v>450</v>
      </c>
      <c r="C105" s="14" t="s">
        <v>451</v>
      </c>
      <c r="D105" s="14" t="s">
        <v>452</v>
      </c>
      <c r="E105" s="14" t="s">
        <v>453</v>
      </c>
      <c r="F105" s="14" t="s">
        <v>454</v>
      </c>
      <c r="G105" s="31" t="s">
        <v>413</v>
      </c>
      <c r="H105" s="32" t="s">
        <v>176</v>
      </c>
      <c r="I105" s="15" t="s">
        <v>455</v>
      </c>
      <c r="J105" s="22"/>
    </row>
    <row r="106" ht="22.5" customHeight="1">
      <c r="A106" s="33"/>
      <c r="B106" s="34"/>
      <c r="C106" s="34"/>
      <c r="D106" s="34"/>
      <c r="E106" s="34"/>
      <c r="F106" s="34"/>
      <c r="G106" s="35"/>
      <c r="H106" s="35"/>
      <c r="I106" s="29"/>
      <c r="J106" s="22"/>
    </row>
    <row r="107" ht="22.5" customHeight="1">
      <c r="A107" s="33"/>
      <c r="B107" s="34"/>
      <c r="C107" s="34"/>
      <c r="D107" s="34"/>
      <c r="E107" s="34"/>
      <c r="F107" s="34"/>
      <c r="G107" s="35"/>
      <c r="H107" s="35"/>
      <c r="I107" s="29"/>
      <c r="J107" s="22"/>
    </row>
    <row r="108" ht="22.5" customHeight="1">
      <c r="A108" s="33"/>
      <c r="B108" s="34"/>
      <c r="C108" s="34"/>
      <c r="D108" s="34"/>
      <c r="E108" s="34"/>
      <c r="F108" s="34"/>
      <c r="G108" s="35"/>
      <c r="H108" s="35"/>
      <c r="I108" s="29"/>
      <c r="J108" s="22"/>
    </row>
    <row r="109" ht="22.5" customHeight="1">
      <c r="A109" s="33"/>
      <c r="B109" s="34"/>
      <c r="C109" s="34"/>
      <c r="D109" s="34"/>
      <c r="E109" s="34"/>
      <c r="F109" s="34"/>
      <c r="G109" s="35"/>
      <c r="H109" s="35"/>
      <c r="I109" s="29"/>
      <c r="J109" s="22"/>
    </row>
    <row r="110" ht="22.5" customHeight="1">
      <c r="A110" s="33"/>
      <c r="B110" s="34"/>
      <c r="C110" s="34"/>
      <c r="D110" s="34"/>
      <c r="E110" s="34"/>
      <c r="F110" s="34"/>
      <c r="G110" s="35"/>
      <c r="H110" s="35"/>
      <c r="I110" s="29"/>
      <c r="J110" s="22"/>
    </row>
    <row r="111" ht="22.5" customHeight="1">
      <c r="A111" s="33"/>
      <c r="B111" s="34"/>
      <c r="C111" s="34"/>
      <c r="D111" s="34"/>
      <c r="E111" s="34"/>
      <c r="F111" s="34"/>
      <c r="G111" s="35"/>
      <c r="H111" s="35"/>
      <c r="I111" s="29"/>
      <c r="J111" s="22"/>
    </row>
    <row r="112" ht="22.5" customHeight="1">
      <c r="A112" s="33"/>
      <c r="B112" s="34"/>
      <c r="C112" s="34"/>
      <c r="D112" s="34"/>
      <c r="E112" s="34"/>
      <c r="F112" s="34"/>
      <c r="G112" s="35"/>
      <c r="H112" s="35"/>
      <c r="I112" s="29"/>
      <c r="J112" s="22"/>
    </row>
    <row r="113" ht="22.5" customHeight="1">
      <c r="A113" s="33"/>
      <c r="B113" s="34"/>
      <c r="C113" s="34"/>
      <c r="D113" s="34"/>
      <c r="E113" s="34"/>
      <c r="F113" s="34"/>
      <c r="G113" s="35"/>
      <c r="H113" s="35"/>
      <c r="I113" s="29"/>
      <c r="J113" s="22"/>
    </row>
    <row r="114" ht="22.5" customHeight="1">
      <c r="A114" s="33"/>
      <c r="B114" s="34"/>
      <c r="C114" s="34"/>
      <c r="D114" s="34"/>
      <c r="E114" s="34"/>
      <c r="F114" s="34"/>
      <c r="G114" s="35"/>
      <c r="H114" s="35"/>
      <c r="I114" s="29"/>
      <c r="J114" s="22"/>
    </row>
    <row r="115" ht="22.5" customHeight="1">
      <c r="A115" s="33"/>
      <c r="B115" s="34"/>
      <c r="C115" s="34"/>
      <c r="D115" s="34"/>
      <c r="E115" s="34"/>
      <c r="F115" s="34"/>
      <c r="G115" s="35"/>
      <c r="H115" s="35"/>
      <c r="I115" s="29"/>
      <c r="J115" s="22"/>
    </row>
    <row r="116" ht="22.5" customHeight="1">
      <c r="A116" s="33"/>
      <c r="B116" s="34"/>
      <c r="C116" s="34"/>
      <c r="D116" s="34"/>
      <c r="E116" s="34"/>
      <c r="F116" s="34"/>
      <c r="G116" s="35"/>
      <c r="H116" s="35"/>
      <c r="I116" s="29"/>
      <c r="J116" s="22"/>
    </row>
    <row r="117" ht="22.5" customHeight="1">
      <c r="A117" s="33"/>
      <c r="B117" s="34"/>
      <c r="C117" s="34"/>
      <c r="D117" s="34"/>
      <c r="E117" s="34"/>
      <c r="F117" s="34"/>
      <c r="G117" s="35"/>
      <c r="H117" s="35"/>
      <c r="I117" s="29"/>
      <c r="J117" s="22"/>
    </row>
    <row r="118" ht="22.5" customHeight="1">
      <c r="A118" s="33"/>
      <c r="B118" s="34"/>
      <c r="C118" s="34"/>
      <c r="D118" s="34"/>
      <c r="E118" s="34"/>
      <c r="F118" s="34"/>
      <c r="G118" s="35"/>
      <c r="H118" s="35"/>
      <c r="I118" s="29"/>
      <c r="J118" s="22"/>
    </row>
    <row r="119" ht="22.5" customHeight="1">
      <c r="A119" s="33"/>
      <c r="B119" s="34"/>
      <c r="C119" s="34"/>
      <c r="D119" s="34"/>
      <c r="E119" s="34"/>
      <c r="F119" s="34"/>
      <c r="G119" s="35"/>
      <c r="H119" s="35"/>
      <c r="I119" s="29"/>
      <c r="J119" s="22"/>
    </row>
    <row r="120" ht="22.5" customHeight="1">
      <c r="A120" s="33"/>
      <c r="B120" s="34"/>
      <c r="C120" s="34"/>
      <c r="D120" s="34"/>
      <c r="E120" s="34"/>
      <c r="F120" s="34"/>
      <c r="G120" s="35"/>
      <c r="H120" s="35"/>
      <c r="I120" s="29"/>
      <c r="J120" s="22"/>
    </row>
    <row r="121" ht="22.5" customHeight="1">
      <c r="A121" s="33"/>
      <c r="B121" s="34"/>
      <c r="C121" s="34"/>
      <c r="D121" s="34"/>
      <c r="E121" s="34"/>
      <c r="F121" s="34"/>
      <c r="G121" s="35"/>
      <c r="H121" s="35"/>
      <c r="I121" s="29"/>
      <c r="J121" s="22"/>
    </row>
    <row r="122" ht="22.5" customHeight="1">
      <c r="A122" s="33"/>
      <c r="B122" s="34"/>
      <c r="C122" s="34"/>
      <c r="D122" s="34"/>
      <c r="E122" s="34"/>
      <c r="F122" s="34"/>
      <c r="G122" s="35"/>
      <c r="H122" s="35"/>
      <c r="I122" s="29"/>
      <c r="J122" s="22"/>
    </row>
    <row r="123" ht="22.5" customHeight="1">
      <c r="A123" s="33"/>
      <c r="B123" s="34"/>
      <c r="C123" s="34"/>
      <c r="D123" s="34"/>
      <c r="E123" s="34"/>
      <c r="F123" s="34"/>
      <c r="G123" s="35"/>
      <c r="H123" s="35"/>
      <c r="I123" s="29"/>
      <c r="J123" s="22"/>
    </row>
    <row r="124" ht="22.5" customHeight="1">
      <c r="A124" s="33"/>
      <c r="B124" s="34"/>
      <c r="C124" s="34"/>
      <c r="D124" s="34"/>
      <c r="E124" s="34"/>
      <c r="F124" s="34"/>
      <c r="G124" s="35"/>
      <c r="H124" s="35"/>
      <c r="I124" s="29"/>
      <c r="J124" s="22"/>
    </row>
    <row r="125" ht="22.5" customHeight="1">
      <c r="A125" s="33"/>
      <c r="B125" s="34"/>
      <c r="C125" s="34"/>
      <c r="D125" s="34"/>
      <c r="E125" s="34"/>
      <c r="F125" s="34"/>
      <c r="G125" s="35"/>
      <c r="H125" s="35"/>
      <c r="I125" s="29"/>
      <c r="J125" s="22"/>
    </row>
    <row r="126" ht="22.5" customHeight="1">
      <c r="A126" s="33"/>
      <c r="B126" s="34"/>
      <c r="C126" s="34"/>
      <c r="D126" s="34"/>
      <c r="E126" s="34"/>
      <c r="F126" s="34"/>
      <c r="G126" s="35"/>
      <c r="H126" s="35"/>
      <c r="I126" s="29"/>
      <c r="J126" s="22"/>
    </row>
    <row r="127" ht="22.5" customHeight="1">
      <c r="A127" s="33"/>
      <c r="B127" s="34"/>
      <c r="C127" s="34"/>
      <c r="D127" s="34"/>
      <c r="E127" s="34"/>
      <c r="F127" s="34"/>
      <c r="G127" s="35"/>
      <c r="H127" s="35"/>
      <c r="I127" s="29"/>
      <c r="J127" s="22"/>
    </row>
    <row r="128" ht="22.5" customHeight="1">
      <c r="A128" s="33"/>
      <c r="B128" s="34"/>
      <c r="C128" s="34"/>
      <c r="D128" s="34"/>
      <c r="E128" s="34"/>
      <c r="F128" s="34"/>
      <c r="G128" s="35"/>
      <c r="H128" s="35"/>
      <c r="I128" s="29"/>
      <c r="J128" s="22"/>
    </row>
    <row r="129" ht="22.5" customHeight="1">
      <c r="A129" s="33"/>
      <c r="B129" s="34"/>
      <c r="C129" s="34"/>
      <c r="D129" s="34"/>
      <c r="E129" s="34"/>
      <c r="F129" s="34"/>
      <c r="G129" s="35"/>
      <c r="H129" s="35"/>
      <c r="I129" s="29"/>
      <c r="J129" s="22"/>
    </row>
    <row r="130" ht="22.5" customHeight="1">
      <c r="A130" s="33"/>
      <c r="B130" s="34"/>
      <c r="C130" s="34"/>
      <c r="D130" s="34"/>
      <c r="E130" s="34"/>
      <c r="F130" s="34"/>
      <c r="G130" s="35"/>
      <c r="H130" s="35"/>
      <c r="I130" s="29"/>
      <c r="J130" s="22"/>
    </row>
    <row r="131" ht="22.5" customHeight="1">
      <c r="A131" s="33"/>
      <c r="B131" s="34"/>
      <c r="C131" s="34"/>
      <c r="D131" s="34"/>
      <c r="E131" s="34"/>
      <c r="F131" s="34"/>
      <c r="G131" s="35"/>
      <c r="H131" s="35"/>
      <c r="I131" s="29"/>
      <c r="J131" s="22"/>
    </row>
    <row r="132" ht="22.5" customHeight="1">
      <c r="A132" s="33"/>
      <c r="B132" s="34"/>
      <c r="C132" s="34"/>
      <c r="D132" s="34"/>
      <c r="E132" s="34"/>
      <c r="F132" s="34"/>
      <c r="G132" s="35"/>
      <c r="H132" s="35"/>
      <c r="I132" s="29"/>
      <c r="J132" s="22"/>
    </row>
    <row r="133" ht="22.5" customHeight="1">
      <c r="A133" s="33"/>
      <c r="B133" s="34"/>
      <c r="C133" s="34"/>
      <c r="D133" s="34"/>
      <c r="E133" s="34"/>
      <c r="F133" s="34"/>
      <c r="G133" s="35"/>
      <c r="H133" s="35"/>
      <c r="I133" s="29"/>
      <c r="J133" s="22"/>
    </row>
    <row r="134" ht="22.5" customHeight="1">
      <c r="A134" s="33"/>
      <c r="B134" s="34"/>
      <c r="C134" s="34"/>
      <c r="D134" s="34"/>
      <c r="E134" s="34"/>
      <c r="F134" s="34"/>
      <c r="G134" s="35"/>
      <c r="H134" s="35"/>
      <c r="I134" s="29"/>
      <c r="J134" s="22"/>
    </row>
    <row r="135" ht="22.5" customHeight="1">
      <c r="A135" s="33"/>
      <c r="B135" s="34"/>
      <c r="C135" s="34"/>
      <c r="D135" s="34"/>
      <c r="E135" s="34"/>
      <c r="F135" s="34"/>
      <c r="G135" s="35"/>
      <c r="H135" s="35"/>
      <c r="I135" s="29"/>
      <c r="J135" s="22"/>
    </row>
    <row r="136" ht="22.5" customHeight="1">
      <c r="A136" s="33"/>
      <c r="B136" s="34"/>
      <c r="C136" s="34"/>
      <c r="D136" s="34"/>
      <c r="E136" s="34"/>
      <c r="F136" s="34"/>
      <c r="G136" s="35"/>
      <c r="H136" s="35"/>
      <c r="I136" s="29"/>
      <c r="J136" s="22"/>
    </row>
    <row r="137" ht="22.5" customHeight="1">
      <c r="A137" s="33"/>
      <c r="B137" s="34"/>
      <c r="C137" s="34"/>
      <c r="D137" s="34"/>
      <c r="E137" s="34"/>
      <c r="F137" s="34"/>
      <c r="G137" s="35"/>
      <c r="H137" s="35"/>
      <c r="I137" s="29"/>
      <c r="J137" s="22"/>
    </row>
    <row r="138" ht="22.5" customHeight="1">
      <c r="A138" s="33"/>
      <c r="B138" s="34"/>
      <c r="C138" s="34"/>
      <c r="D138" s="34"/>
      <c r="E138" s="34"/>
      <c r="F138" s="34"/>
      <c r="G138" s="35"/>
      <c r="H138" s="35"/>
      <c r="I138" s="29"/>
      <c r="J138" s="22"/>
    </row>
    <row r="139" ht="22.5" customHeight="1">
      <c r="A139" s="33"/>
      <c r="B139" s="36" t="s">
        <v>456</v>
      </c>
      <c r="C139" s="36" t="s">
        <v>457</v>
      </c>
      <c r="D139" s="36" t="s">
        <v>458</v>
      </c>
      <c r="E139" s="36" t="s">
        <v>459</v>
      </c>
      <c r="F139" s="36" t="s">
        <v>459</v>
      </c>
      <c r="G139" s="35" t="s">
        <v>460</v>
      </c>
      <c r="H139" s="35" t="s">
        <v>161</v>
      </c>
      <c r="I139" s="27" t="s">
        <v>461</v>
      </c>
      <c r="J139" s="22"/>
    </row>
    <row r="140" ht="22.5" customHeight="1">
      <c r="A140" s="33"/>
      <c r="B140" s="36" t="s">
        <v>462</v>
      </c>
      <c r="C140" s="36" t="s">
        <v>463</v>
      </c>
      <c r="D140" s="36" t="s">
        <v>464</v>
      </c>
      <c r="E140" s="36" t="s">
        <v>465</v>
      </c>
      <c r="F140" s="36" t="s">
        <v>465</v>
      </c>
      <c r="G140" s="35" t="s">
        <v>460</v>
      </c>
      <c r="H140" s="35" t="s">
        <v>176</v>
      </c>
      <c r="I140" s="29"/>
      <c r="J140" s="22"/>
    </row>
    <row r="141" ht="22.5" customHeight="1">
      <c r="A141" s="33"/>
      <c r="B141" s="36" t="s">
        <v>466</v>
      </c>
      <c r="C141" s="36" t="s">
        <v>467</v>
      </c>
      <c r="D141" s="36" t="s">
        <v>468</v>
      </c>
      <c r="E141" s="36" t="s">
        <v>229</v>
      </c>
      <c r="F141" s="36" t="s">
        <v>469</v>
      </c>
      <c r="G141" s="35" t="s">
        <v>460</v>
      </c>
      <c r="H141" s="35" t="s">
        <v>161</v>
      </c>
      <c r="I141" s="29"/>
      <c r="J141" s="22"/>
    </row>
    <row r="142" ht="22.5" customHeight="1">
      <c r="A142" s="33"/>
      <c r="B142" s="36" t="s">
        <v>470</v>
      </c>
      <c r="C142" s="36" t="s">
        <v>471</v>
      </c>
      <c r="D142" s="36" t="s">
        <v>472</v>
      </c>
      <c r="E142" s="36" t="s">
        <v>473</v>
      </c>
      <c r="F142" s="36" t="s">
        <v>66</v>
      </c>
      <c r="G142" s="35" t="s">
        <v>460</v>
      </c>
      <c r="H142" s="35" t="s">
        <v>161</v>
      </c>
      <c r="I142" s="37"/>
      <c r="J142" s="22"/>
    </row>
    <row r="143" ht="22.5" customHeight="1">
      <c r="A143" s="33"/>
      <c r="B143" s="36" t="s">
        <v>474</v>
      </c>
      <c r="C143" s="36" t="s">
        <v>475</v>
      </c>
      <c r="D143" s="36" t="s">
        <v>476</v>
      </c>
      <c r="E143" s="36" t="s">
        <v>275</v>
      </c>
      <c r="F143" s="36" t="s">
        <v>477</v>
      </c>
      <c r="G143" s="35" t="s">
        <v>460</v>
      </c>
      <c r="H143" s="35" t="s">
        <v>14</v>
      </c>
      <c r="I143" s="34" t="s">
        <v>478</v>
      </c>
      <c r="J143" s="22"/>
    </row>
    <row r="144" ht="22.5" customHeight="1">
      <c r="A144" s="33"/>
      <c r="B144" s="36" t="s">
        <v>479</v>
      </c>
      <c r="C144" s="36" t="s">
        <v>480</v>
      </c>
      <c r="D144" s="36" t="s">
        <v>481</v>
      </c>
      <c r="E144" s="36" t="s">
        <v>145</v>
      </c>
      <c r="F144" s="36" t="s">
        <v>482</v>
      </c>
      <c r="G144" s="35" t="s">
        <v>460</v>
      </c>
      <c r="H144" s="35" t="s">
        <v>161</v>
      </c>
      <c r="I144" s="37"/>
      <c r="J144" s="22"/>
    </row>
    <row r="145" ht="22.5" customHeight="1">
      <c r="A145" s="33"/>
      <c r="B145" s="36" t="s">
        <v>483</v>
      </c>
      <c r="C145" s="36" t="s">
        <v>484</v>
      </c>
      <c r="D145" s="36" t="s">
        <v>485</v>
      </c>
      <c r="E145" s="36" t="s">
        <v>486</v>
      </c>
      <c r="F145" s="36" t="s">
        <v>487</v>
      </c>
      <c r="G145" s="35" t="s">
        <v>460</v>
      </c>
      <c r="H145" s="35" t="s">
        <v>161</v>
      </c>
      <c r="I145" s="37"/>
      <c r="J145" s="22"/>
    </row>
    <row r="146" ht="22.5" customHeight="1">
      <c r="A146" s="33"/>
      <c r="B146" s="36" t="s">
        <v>488</v>
      </c>
      <c r="C146" s="36" t="s">
        <v>489</v>
      </c>
      <c r="D146" s="36" t="s">
        <v>490</v>
      </c>
      <c r="E146" s="36" t="s">
        <v>216</v>
      </c>
      <c r="F146" s="36" t="s">
        <v>491</v>
      </c>
      <c r="G146" s="35" t="s">
        <v>460</v>
      </c>
      <c r="H146" s="35" t="s">
        <v>161</v>
      </c>
      <c r="I146" s="34" t="s">
        <v>492</v>
      </c>
      <c r="J146" s="22"/>
    </row>
    <row r="147" ht="22.5" customHeight="1">
      <c r="A147" s="33"/>
      <c r="B147" s="36" t="s">
        <v>493</v>
      </c>
      <c r="C147" s="36" t="s">
        <v>494</v>
      </c>
      <c r="D147" s="36" t="s">
        <v>495</v>
      </c>
      <c r="E147" s="36" t="s">
        <v>496</v>
      </c>
      <c r="F147" s="36" t="s">
        <v>497</v>
      </c>
      <c r="G147" s="35" t="s">
        <v>460</v>
      </c>
      <c r="H147" s="35" t="s">
        <v>14</v>
      </c>
      <c r="I147" s="37"/>
      <c r="J147" s="22"/>
    </row>
    <row r="148" ht="22.5" customHeight="1">
      <c r="A148" s="33"/>
      <c r="B148" s="36" t="s">
        <v>498</v>
      </c>
      <c r="C148" s="36" t="s">
        <v>499</v>
      </c>
      <c r="D148" s="36" t="s">
        <v>500</v>
      </c>
      <c r="E148" s="36" t="s">
        <v>222</v>
      </c>
      <c r="F148" s="36" t="s">
        <v>501</v>
      </c>
      <c r="G148" s="35" t="s">
        <v>460</v>
      </c>
      <c r="H148" s="35" t="s">
        <v>14</v>
      </c>
      <c r="I148" s="37"/>
      <c r="J148" s="22"/>
    </row>
    <row r="149" ht="22.5" customHeight="1">
      <c r="A149" s="33"/>
      <c r="B149" s="36" t="s">
        <v>502</v>
      </c>
      <c r="C149" s="36" t="s">
        <v>503</v>
      </c>
      <c r="D149" s="36" t="s">
        <v>504</v>
      </c>
      <c r="E149" s="36" t="s">
        <v>505</v>
      </c>
      <c r="F149" s="36" t="s">
        <v>506</v>
      </c>
      <c r="G149" s="35" t="s">
        <v>460</v>
      </c>
      <c r="H149" s="35" t="s">
        <v>161</v>
      </c>
      <c r="I149" s="37"/>
      <c r="J149" s="22"/>
    </row>
    <row r="150" ht="22.5" customHeight="1">
      <c r="A150" s="33"/>
      <c r="B150" s="36" t="s">
        <v>507</v>
      </c>
      <c r="C150" s="36" t="s">
        <v>508</v>
      </c>
      <c r="D150" s="36" t="s">
        <v>509</v>
      </c>
      <c r="E150" s="36" t="s">
        <v>510</v>
      </c>
      <c r="F150" s="36" t="s">
        <v>510</v>
      </c>
      <c r="G150" s="35" t="s">
        <v>460</v>
      </c>
      <c r="H150" s="35" t="s">
        <v>140</v>
      </c>
      <c r="I150" s="34" t="s">
        <v>511</v>
      </c>
      <c r="J150" s="22"/>
    </row>
    <row r="151" ht="22.5" customHeight="1">
      <c r="A151" s="33"/>
      <c r="B151" s="36" t="s">
        <v>512</v>
      </c>
      <c r="C151" s="36" t="s">
        <v>513</v>
      </c>
      <c r="D151" s="36" t="s">
        <v>514</v>
      </c>
      <c r="E151" s="36" t="s">
        <v>515</v>
      </c>
      <c r="F151" s="36" t="s">
        <v>516</v>
      </c>
      <c r="G151" s="35" t="s">
        <v>460</v>
      </c>
      <c r="H151" s="35" t="s">
        <v>14</v>
      </c>
      <c r="I151" s="37"/>
      <c r="J151" s="22"/>
    </row>
    <row r="152" ht="22.5" customHeight="1">
      <c r="A152" s="33"/>
      <c r="B152" s="36" t="s">
        <v>517</v>
      </c>
      <c r="C152" s="36" t="s">
        <v>518</v>
      </c>
      <c r="D152" s="36" t="s">
        <v>519</v>
      </c>
      <c r="E152" s="36" t="s">
        <v>380</v>
      </c>
      <c r="F152" s="36" t="s">
        <v>520</v>
      </c>
      <c r="G152" s="35" t="s">
        <v>460</v>
      </c>
      <c r="H152" s="35" t="s">
        <v>14</v>
      </c>
      <c r="I152" s="34" t="s">
        <v>521</v>
      </c>
      <c r="J152" s="22"/>
    </row>
    <row r="153" ht="22.5" customHeight="1">
      <c r="A153" s="33"/>
      <c r="B153" s="36" t="s">
        <v>522</v>
      </c>
      <c r="C153" s="36" t="s">
        <v>523</v>
      </c>
      <c r="D153" s="36" t="s">
        <v>524</v>
      </c>
      <c r="E153" s="36" t="s">
        <v>216</v>
      </c>
      <c r="F153" s="36" t="s">
        <v>525</v>
      </c>
      <c r="G153" s="35" t="s">
        <v>460</v>
      </c>
      <c r="H153" s="35" t="s">
        <v>161</v>
      </c>
      <c r="I153" s="34" t="s">
        <v>526</v>
      </c>
      <c r="J153" s="22"/>
    </row>
    <row r="154" ht="22.5" customHeight="1">
      <c r="A154" s="33"/>
      <c r="B154" s="36" t="s">
        <v>527</v>
      </c>
      <c r="C154" s="36" t="s">
        <v>528</v>
      </c>
      <c r="D154" s="36" t="s">
        <v>529</v>
      </c>
      <c r="E154" s="36" t="s">
        <v>530</v>
      </c>
      <c r="F154" s="36" t="s">
        <v>270</v>
      </c>
      <c r="G154" s="35" t="s">
        <v>460</v>
      </c>
      <c r="H154" s="35" t="s">
        <v>161</v>
      </c>
      <c r="I154" s="37"/>
      <c r="J154" s="22"/>
    </row>
    <row r="155" ht="22.5" customHeight="1">
      <c r="A155" s="33"/>
      <c r="B155" s="36" t="s">
        <v>531</v>
      </c>
      <c r="C155" s="36" t="s">
        <v>532</v>
      </c>
      <c r="D155" s="36" t="s">
        <v>533</v>
      </c>
      <c r="E155" s="36" t="s">
        <v>534</v>
      </c>
      <c r="F155" s="36" t="s">
        <v>535</v>
      </c>
      <c r="G155" s="35" t="s">
        <v>460</v>
      </c>
      <c r="H155" s="35" t="s">
        <v>176</v>
      </c>
      <c r="I155" s="37"/>
      <c r="J155" s="22"/>
    </row>
    <row r="156" ht="22.5" customHeight="1">
      <c r="A156" s="33"/>
      <c r="B156" s="36" t="s">
        <v>536</v>
      </c>
      <c r="C156" s="36" t="s">
        <v>537</v>
      </c>
      <c r="D156" s="36" t="s">
        <v>538</v>
      </c>
      <c r="E156" s="36" t="s">
        <v>275</v>
      </c>
      <c r="F156" s="36" t="s">
        <v>539</v>
      </c>
      <c r="G156" s="35" t="s">
        <v>460</v>
      </c>
      <c r="H156" s="35" t="s">
        <v>176</v>
      </c>
      <c r="I156" s="37"/>
      <c r="J156" s="22"/>
    </row>
    <row r="157" ht="22.5" customHeight="1">
      <c r="A157" s="33"/>
      <c r="B157" s="36" t="s">
        <v>540</v>
      </c>
      <c r="C157" s="36" t="s">
        <v>541</v>
      </c>
      <c r="D157" s="36" t="s">
        <v>542</v>
      </c>
      <c r="E157" s="36" t="s">
        <v>515</v>
      </c>
      <c r="F157" s="36" t="s">
        <v>543</v>
      </c>
      <c r="G157" s="35" t="s">
        <v>460</v>
      </c>
      <c r="H157" s="35" t="s">
        <v>176</v>
      </c>
      <c r="I157" s="34"/>
      <c r="J157" s="22"/>
    </row>
    <row r="158" ht="22.5" customHeight="1">
      <c r="A158" s="33"/>
      <c r="B158" s="36" t="s">
        <v>544</v>
      </c>
      <c r="C158" s="36" t="s">
        <v>545</v>
      </c>
      <c r="D158" s="36" t="s">
        <v>546</v>
      </c>
      <c r="E158" s="36" t="s">
        <v>275</v>
      </c>
      <c r="F158" s="36" t="s">
        <v>547</v>
      </c>
      <c r="G158" s="35" t="s">
        <v>460</v>
      </c>
      <c r="H158" s="35" t="s">
        <v>161</v>
      </c>
      <c r="I158" s="34" t="s">
        <v>548</v>
      </c>
      <c r="J158" s="22"/>
    </row>
    <row r="159" ht="22.5" customHeight="1">
      <c r="A159" s="33"/>
      <c r="B159" s="36" t="s">
        <v>549</v>
      </c>
      <c r="C159" s="36" t="s">
        <v>550</v>
      </c>
      <c r="D159" s="36" t="s">
        <v>551</v>
      </c>
      <c r="E159" s="36" t="s">
        <v>211</v>
      </c>
      <c r="F159" s="36" t="s">
        <v>552</v>
      </c>
      <c r="G159" s="35" t="s">
        <v>460</v>
      </c>
      <c r="H159" s="35" t="s">
        <v>176</v>
      </c>
      <c r="I159" s="37"/>
      <c r="J159" s="22"/>
    </row>
    <row r="160" ht="22.5" customHeight="1">
      <c r="A160" s="33"/>
      <c r="B160" s="36" t="s">
        <v>553</v>
      </c>
      <c r="C160" s="36" t="s">
        <v>554</v>
      </c>
      <c r="D160" s="36" t="s">
        <v>555</v>
      </c>
      <c r="E160" s="36" t="s">
        <v>175</v>
      </c>
      <c r="F160" s="36" t="s">
        <v>66</v>
      </c>
      <c r="G160" s="35" t="s">
        <v>460</v>
      </c>
      <c r="H160" s="35" t="s">
        <v>176</v>
      </c>
      <c r="I160" s="37"/>
      <c r="J160" s="22"/>
    </row>
    <row r="161" ht="22.5" customHeight="1">
      <c r="A161" s="33"/>
      <c r="B161" s="36" t="s">
        <v>556</v>
      </c>
      <c r="C161" s="36" t="s">
        <v>557</v>
      </c>
      <c r="D161" s="36" t="s">
        <v>558</v>
      </c>
      <c r="E161" s="36" t="s">
        <v>11</v>
      </c>
      <c r="F161" s="36" t="s">
        <v>559</v>
      </c>
      <c r="G161" s="35" t="s">
        <v>460</v>
      </c>
      <c r="H161" s="35" t="s">
        <v>176</v>
      </c>
      <c r="J161" s="22"/>
    </row>
    <row r="162" ht="22.5" customHeight="1">
      <c r="A162" s="33"/>
      <c r="B162" s="36" t="s">
        <v>560</v>
      </c>
      <c r="C162" s="36" t="s">
        <v>561</v>
      </c>
      <c r="D162" s="36" t="s">
        <v>562</v>
      </c>
      <c r="E162" s="36" t="s">
        <v>563</v>
      </c>
      <c r="F162" s="36" t="s">
        <v>563</v>
      </c>
      <c r="G162" s="35" t="s">
        <v>460</v>
      </c>
      <c r="H162" s="35" t="s">
        <v>427</v>
      </c>
      <c r="I162" s="34" t="s">
        <v>564</v>
      </c>
      <c r="J162" s="22"/>
    </row>
    <row r="163" ht="22.5" customHeight="1">
      <c r="A163" s="33"/>
      <c r="B163" s="36" t="s">
        <v>565</v>
      </c>
      <c r="C163" s="36" t="s">
        <v>566</v>
      </c>
      <c r="D163" s="36" t="s">
        <v>567</v>
      </c>
      <c r="E163" s="36" t="s">
        <v>11</v>
      </c>
      <c r="F163" s="36" t="s">
        <v>385</v>
      </c>
      <c r="G163" s="35" t="s">
        <v>460</v>
      </c>
      <c r="H163" s="35" t="s">
        <v>161</v>
      </c>
      <c r="I163" s="34" t="s">
        <v>568</v>
      </c>
      <c r="J163" s="22"/>
    </row>
    <row r="164" ht="22.5" customHeight="1">
      <c r="A164" s="33"/>
      <c r="B164" s="36" t="s">
        <v>569</v>
      </c>
      <c r="C164" s="36" t="s">
        <v>570</v>
      </c>
      <c r="D164" s="36" t="s">
        <v>571</v>
      </c>
      <c r="E164" s="36" t="s">
        <v>211</v>
      </c>
      <c r="F164" s="36" t="s">
        <v>572</v>
      </c>
      <c r="G164" s="35" t="s">
        <v>460</v>
      </c>
      <c r="H164" s="35" t="s">
        <v>14</v>
      </c>
      <c r="I164" s="37"/>
      <c r="J164" s="22"/>
    </row>
    <row r="165" ht="22.5" customHeight="1">
      <c r="A165" s="33"/>
      <c r="B165" s="36" t="s">
        <v>573</v>
      </c>
      <c r="C165" s="36" t="s">
        <v>574</v>
      </c>
      <c r="D165" s="36" t="s">
        <v>575</v>
      </c>
      <c r="E165" s="36" t="s">
        <v>344</v>
      </c>
      <c r="F165" s="36" t="s">
        <v>121</v>
      </c>
      <c r="G165" s="35" t="s">
        <v>460</v>
      </c>
      <c r="H165" s="35" t="s">
        <v>161</v>
      </c>
      <c r="I165" s="37"/>
      <c r="J165" s="22"/>
    </row>
    <row r="166" ht="22.5" customHeight="1">
      <c r="A166" s="33"/>
      <c r="B166" s="36" t="s">
        <v>576</v>
      </c>
      <c r="C166" s="36" t="s">
        <v>577</v>
      </c>
      <c r="D166" s="36" t="s">
        <v>578</v>
      </c>
      <c r="E166" s="36" t="s">
        <v>579</v>
      </c>
      <c r="F166" s="36" t="s">
        <v>580</v>
      </c>
      <c r="G166" s="35" t="s">
        <v>460</v>
      </c>
      <c r="H166" s="35" t="s">
        <v>161</v>
      </c>
      <c r="I166" s="37"/>
      <c r="J166" s="22"/>
    </row>
    <row r="167" ht="22.5" customHeight="1">
      <c r="A167" s="33"/>
      <c r="B167" s="36" t="s">
        <v>581</v>
      </c>
      <c r="C167" s="36" t="s">
        <v>582</v>
      </c>
      <c r="D167" s="36" t="s">
        <v>583</v>
      </c>
      <c r="E167" s="36" t="s">
        <v>584</v>
      </c>
      <c r="F167" s="36" t="s">
        <v>585</v>
      </c>
      <c r="G167" s="35" t="s">
        <v>460</v>
      </c>
      <c r="H167" s="35" t="s">
        <v>161</v>
      </c>
      <c r="I167" s="34" t="s">
        <v>586</v>
      </c>
      <c r="J167" s="22"/>
    </row>
    <row r="168" ht="22.5" customHeight="1">
      <c r="A168" s="33"/>
      <c r="B168" s="36" t="s">
        <v>587</v>
      </c>
      <c r="C168" s="36" t="s">
        <v>588</v>
      </c>
      <c r="D168" s="36" t="s">
        <v>589</v>
      </c>
      <c r="E168" s="36" t="s">
        <v>590</v>
      </c>
      <c r="F168" s="36" t="s">
        <v>591</v>
      </c>
      <c r="G168" s="35" t="s">
        <v>460</v>
      </c>
      <c r="H168" s="35" t="s">
        <v>176</v>
      </c>
      <c r="I168" s="37"/>
      <c r="J168" s="22"/>
    </row>
    <row r="169" ht="22.5" customHeight="1">
      <c r="A169" s="33"/>
      <c r="B169" s="36" t="s">
        <v>592</v>
      </c>
      <c r="C169" s="36" t="s">
        <v>593</v>
      </c>
      <c r="D169" s="36" t="s">
        <v>594</v>
      </c>
      <c r="E169" s="36" t="s">
        <v>275</v>
      </c>
      <c r="F169" s="36" t="s">
        <v>595</v>
      </c>
      <c r="G169" s="35" t="s">
        <v>460</v>
      </c>
      <c r="H169" s="35" t="s">
        <v>161</v>
      </c>
      <c r="I169" s="37"/>
      <c r="J169" s="22"/>
    </row>
    <row r="170" ht="22.5" customHeight="1">
      <c r="A170" s="33"/>
      <c r="B170" s="36" t="s">
        <v>596</v>
      </c>
      <c r="C170" s="36" t="s">
        <v>597</v>
      </c>
      <c r="D170" s="36" t="s">
        <v>598</v>
      </c>
      <c r="E170" s="36" t="s">
        <v>486</v>
      </c>
      <c r="F170" s="36" t="s">
        <v>599</v>
      </c>
      <c r="G170" s="35" t="s">
        <v>460</v>
      </c>
      <c r="H170" s="35" t="s">
        <v>161</v>
      </c>
      <c r="I170" s="37"/>
      <c r="J170" s="22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</sheetData>
  <dataValidations>
    <dataValidation type="list" allowBlank="1" sqref="J3:J170">
      <formula1>"Calude AI,Meta Lead"</formula1>
    </dataValidation>
    <dataValidation type="list" allowBlank="1" showErrorMessage="1" sqref="H3:H170">
      <formula1>"Intersted,Follow up Required,Not Internsted,Not Reachable,Campus Visit,Wrong Number,Not Called"</formula1>
    </dataValidation>
    <dataValidation type="list" allowBlank="1" showErrorMessage="1" sqref="G3:G170">
      <formula1>"Faculty 1,Faculty 2"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63"/>
    <col customWidth="1" min="4" max="4" width="17.5"/>
    <col customWidth="1" min="7" max="8" width="36.25"/>
    <col customWidth="1" min="9" max="9" width="14.38"/>
    <col customWidth="1" min="10" max="10" width="13.0"/>
  </cols>
  <sheetData>
    <row r="1">
      <c r="B1" s="38"/>
      <c r="C1" s="38"/>
      <c r="E1" s="38"/>
    </row>
    <row r="2" ht="22.5" customHeight="1">
      <c r="A2" s="3" t="s">
        <v>0</v>
      </c>
      <c r="B2" s="39" t="s">
        <v>1</v>
      </c>
      <c r="C2" s="39" t="s">
        <v>2</v>
      </c>
      <c r="D2" s="3" t="s">
        <v>3</v>
      </c>
      <c r="E2" s="39" t="s">
        <v>4</v>
      </c>
      <c r="F2" s="3" t="s">
        <v>5</v>
      </c>
      <c r="G2" s="3" t="s">
        <v>6</v>
      </c>
      <c r="H2" s="40" t="s">
        <v>600</v>
      </c>
      <c r="I2" s="4" t="s">
        <v>7</v>
      </c>
      <c r="J2" s="3" t="s">
        <v>8</v>
      </c>
      <c r="K2" s="5" t="s">
        <v>9</v>
      </c>
    </row>
    <row r="3" ht="22.5" customHeight="1">
      <c r="B3" s="41" t="s">
        <v>601</v>
      </c>
      <c r="C3" s="41" t="s">
        <v>602</v>
      </c>
      <c r="D3" s="27" t="s">
        <v>603</v>
      </c>
      <c r="E3" s="41" t="s">
        <v>229</v>
      </c>
      <c r="F3" s="41" t="s">
        <v>604</v>
      </c>
      <c r="G3" s="11" t="s">
        <v>605</v>
      </c>
      <c r="H3" s="42" t="s">
        <v>606</v>
      </c>
      <c r="I3" s="11" t="s">
        <v>161</v>
      </c>
      <c r="K3" s="11" t="s">
        <v>37</v>
      </c>
    </row>
    <row r="4" ht="22.5" customHeight="1">
      <c r="A4" s="43"/>
      <c r="B4" s="41" t="s">
        <v>607</v>
      </c>
      <c r="C4" s="41" t="s">
        <v>608</v>
      </c>
      <c r="D4" s="27" t="s">
        <v>609</v>
      </c>
      <c r="E4" s="41" t="s">
        <v>228</v>
      </c>
      <c r="F4" s="41" t="s">
        <v>610</v>
      </c>
      <c r="G4" s="10" t="s">
        <v>611</v>
      </c>
      <c r="H4" s="42" t="s">
        <v>606</v>
      </c>
      <c r="I4" s="10" t="s">
        <v>161</v>
      </c>
      <c r="J4" s="43"/>
      <c r="K4" s="10" t="s">
        <v>37</v>
      </c>
    </row>
    <row r="5" ht="22.5" customHeight="1">
      <c r="A5" s="43"/>
      <c r="B5" s="41" t="s">
        <v>612</v>
      </c>
      <c r="C5" s="41" t="s">
        <v>613</v>
      </c>
      <c r="D5" s="27" t="s">
        <v>614</v>
      </c>
      <c r="E5" s="41" t="s">
        <v>408</v>
      </c>
      <c r="F5" s="41" t="s">
        <v>615</v>
      </c>
      <c r="G5" s="10" t="s">
        <v>611</v>
      </c>
      <c r="H5" s="42" t="s">
        <v>606</v>
      </c>
      <c r="I5" s="10" t="s">
        <v>161</v>
      </c>
      <c r="J5" s="43"/>
      <c r="K5" s="10" t="s">
        <v>37</v>
      </c>
    </row>
    <row r="6" ht="22.5" customHeight="1">
      <c r="A6" s="43"/>
      <c r="B6" s="41" t="s">
        <v>616</v>
      </c>
      <c r="C6" s="41" t="s">
        <v>617</v>
      </c>
      <c r="D6" s="27" t="s">
        <v>618</v>
      </c>
      <c r="E6" s="41" t="s">
        <v>617</v>
      </c>
      <c r="F6" s="41" t="s">
        <v>619</v>
      </c>
      <c r="G6" s="10" t="s">
        <v>611</v>
      </c>
      <c r="H6" s="42" t="s">
        <v>620</v>
      </c>
      <c r="I6" s="10" t="s">
        <v>161</v>
      </c>
      <c r="J6" s="43"/>
      <c r="K6" s="10" t="s">
        <v>37</v>
      </c>
    </row>
    <row r="7" ht="22.5" customHeight="1">
      <c r="A7" s="43"/>
      <c r="B7" s="41" t="s">
        <v>621</v>
      </c>
      <c r="C7" s="41" t="s">
        <v>622</v>
      </c>
      <c r="D7" s="27" t="s">
        <v>623</v>
      </c>
      <c r="E7" s="41" t="s">
        <v>624</v>
      </c>
      <c r="F7" s="41" t="s">
        <v>625</v>
      </c>
      <c r="G7" s="10" t="s">
        <v>611</v>
      </c>
      <c r="H7" s="42" t="s">
        <v>606</v>
      </c>
      <c r="I7" s="10" t="s">
        <v>161</v>
      </c>
      <c r="J7" s="9" t="s">
        <v>626</v>
      </c>
      <c r="K7" s="10" t="s">
        <v>37</v>
      </c>
    </row>
    <row r="8" ht="22.5" customHeight="1">
      <c r="A8" s="43"/>
      <c r="B8" s="41" t="s">
        <v>627</v>
      </c>
      <c r="C8" s="41" t="s">
        <v>628</v>
      </c>
      <c r="D8" s="27" t="s">
        <v>629</v>
      </c>
      <c r="E8" s="41" t="s">
        <v>229</v>
      </c>
      <c r="F8" s="41" t="s">
        <v>317</v>
      </c>
      <c r="G8" s="10" t="s">
        <v>611</v>
      </c>
      <c r="H8" s="42" t="s">
        <v>606</v>
      </c>
      <c r="I8" s="10" t="s">
        <v>161</v>
      </c>
      <c r="J8" s="43"/>
      <c r="K8" s="10" t="s">
        <v>37</v>
      </c>
    </row>
    <row r="9" ht="22.5" customHeight="1">
      <c r="A9" s="43"/>
      <c r="B9" s="41" t="s">
        <v>630</v>
      </c>
      <c r="C9" s="41" t="s">
        <v>631</v>
      </c>
      <c r="D9" s="27" t="s">
        <v>632</v>
      </c>
      <c r="E9" s="41" t="s">
        <v>633</v>
      </c>
      <c r="F9" s="41" t="s">
        <v>634</v>
      </c>
      <c r="G9" s="10" t="s">
        <v>611</v>
      </c>
      <c r="H9" s="42" t="s">
        <v>606</v>
      </c>
      <c r="I9" s="10" t="s">
        <v>427</v>
      </c>
      <c r="J9" s="43"/>
      <c r="K9" s="10" t="s">
        <v>37</v>
      </c>
    </row>
    <row r="10" ht="22.5" customHeight="1">
      <c r="A10" s="43"/>
      <c r="B10" s="41" t="s">
        <v>635</v>
      </c>
      <c r="C10" s="41" t="s">
        <v>636</v>
      </c>
      <c r="D10" s="27" t="s">
        <v>637</v>
      </c>
      <c r="E10" s="41" t="s">
        <v>228</v>
      </c>
      <c r="F10" s="41" t="s">
        <v>638</v>
      </c>
      <c r="G10" s="10" t="s">
        <v>611</v>
      </c>
      <c r="H10" s="42" t="s">
        <v>606</v>
      </c>
      <c r="I10" s="10" t="s">
        <v>161</v>
      </c>
      <c r="J10" s="43"/>
      <c r="K10" s="10" t="s">
        <v>37</v>
      </c>
    </row>
    <row r="11" ht="22.5" customHeight="1">
      <c r="A11" s="43"/>
      <c r="B11" s="41" t="s">
        <v>639</v>
      </c>
      <c r="C11" s="41" t="s">
        <v>640</v>
      </c>
      <c r="D11" s="27" t="s">
        <v>641</v>
      </c>
      <c r="E11" s="41" t="s">
        <v>229</v>
      </c>
      <c r="F11" s="41" t="s">
        <v>642</v>
      </c>
      <c r="G11" s="10" t="s">
        <v>611</v>
      </c>
      <c r="H11" s="42" t="s">
        <v>606</v>
      </c>
      <c r="I11" s="10" t="s">
        <v>161</v>
      </c>
      <c r="J11" s="43"/>
      <c r="K11" s="10" t="s">
        <v>37</v>
      </c>
    </row>
    <row r="12" ht="22.5" customHeight="1">
      <c r="A12" s="43"/>
      <c r="B12" s="41" t="s">
        <v>643</v>
      </c>
      <c r="C12" s="41" t="s">
        <v>644</v>
      </c>
      <c r="D12" s="27" t="s">
        <v>645</v>
      </c>
      <c r="E12" s="41" t="s">
        <v>335</v>
      </c>
      <c r="F12" s="41" t="s">
        <v>336</v>
      </c>
      <c r="G12" s="10" t="s">
        <v>611</v>
      </c>
      <c r="H12" s="42" t="s">
        <v>606</v>
      </c>
      <c r="I12" s="10" t="s">
        <v>161</v>
      </c>
      <c r="J12" s="43"/>
      <c r="K12" s="10" t="s">
        <v>37</v>
      </c>
    </row>
    <row r="13" ht="22.5" customHeight="1">
      <c r="A13" s="43"/>
      <c r="B13" s="41" t="s">
        <v>646</v>
      </c>
      <c r="C13" s="41" t="s">
        <v>647</v>
      </c>
      <c r="D13" s="27" t="s">
        <v>648</v>
      </c>
      <c r="E13" s="41" t="s">
        <v>229</v>
      </c>
      <c r="F13" s="41" t="s">
        <v>649</v>
      </c>
      <c r="G13" s="10" t="s">
        <v>611</v>
      </c>
      <c r="H13" s="42" t="s">
        <v>606</v>
      </c>
      <c r="I13" s="10" t="s">
        <v>161</v>
      </c>
      <c r="J13" s="9" t="s">
        <v>650</v>
      </c>
      <c r="K13" s="10" t="s">
        <v>37</v>
      </c>
    </row>
    <row r="14" ht="22.5" customHeight="1">
      <c r="A14" s="43"/>
      <c r="B14" s="41" t="s">
        <v>651</v>
      </c>
      <c r="C14" s="41" t="s">
        <v>652</v>
      </c>
      <c r="D14" s="27" t="s">
        <v>653</v>
      </c>
      <c r="E14" s="41" t="s">
        <v>145</v>
      </c>
      <c r="F14" s="44">
        <v>851114.0</v>
      </c>
      <c r="G14" s="10" t="s">
        <v>611</v>
      </c>
      <c r="H14" s="42" t="s">
        <v>606</v>
      </c>
      <c r="I14" s="10" t="s">
        <v>161</v>
      </c>
      <c r="J14" s="9" t="s">
        <v>654</v>
      </c>
      <c r="K14" s="10" t="s">
        <v>37</v>
      </c>
    </row>
    <row r="15" ht="22.5" customHeight="1">
      <c r="A15" s="43"/>
      <c r="B15" s="45" t="s">
        <v>655</v>
      </c>
      <c r="C15" s="46"/>
      <c r="D15" s="45">
        <v>9.556683706E9</v>
      </c>
      <c r="E15" s="47" t="s">
        <v>11</v>
      </c>
      <c r="F15" s="48" t="s">
        <v>656</v>
      </c>
      <c r="G15" s="10" t="s">
        <v>657</v>
      </c>
      <c r="H15" s="9" t="s">
        <v>658</v>
      </c>
      <c r="I15" s="10" t="s">
        <v>140</v>
      </c>
      <c r="J15" s="9" t="s">
        <v>659</v>
      </c>
      <c r="K15" s="10" t="s">
        <v>16</v>
      </c>
    </row>
    <row r="16" ht="22.5" customHeight="1">
      <c r="A16" s="43"/>
      <c r="B16" s="49" t="s">
        <v>660</v>
      </c>
      <c r="C16" s="49" t="s">
        <v>661</v>
      </c>
      <c r="D16" s="49">
        <v>6.370209523E9</v>
      </c>
      <c r="E16" s="47" t="s">
        <v>11</v>
      </c>
      <c r="F16" s="48" t="s">
        <v>656</v>
      </c>
      <c r="G16" s="10" t="s">
        <v>657</v>
      </c>
      <c r="H16" s="9" t="s">
        <v>658</v>
      </c>
      <c r="I16" s="10" t="s">
        <v>176</v>
      </c>
      <c r="J16" s="9" t="s">
        <v>662</v>
      </c>
      <c r="K16" s="10" t="s">
        <v>16</v>
      </c>
    </row>
    <row r="17" ht="22.5" customHeight="1">
      <c r="A17" s="43"/>
      <c r="B17" s="45" t="s">
        <v>663</v>
      </c>
      <c r="C17" s="45" t="s">
        <v>664</v>
      </c>
      <c r="D17" s="45">
        <v>6.370365121E9</v>
      </c>
      <c r="E17" s="47" t="s">
        <v>11</v>
      </c>
      <c r="F17" s="48" t="s">
        <v>665</v>
      </c>
      <c r="G17" s="10" t="s">
        <v>657</v>
      </c>
      <c r="H17" s="9" t="s">
        <v>658</v>
      </c>
      <c r="I17" s="10" t="s">
        <v>176</v>
      </c>
      <c r="J17" s="9" t="s">
        <v>666</v>
      </c>
      <c r="K17" s="10" t="s">
        <v>16</v>
      </c>
    </row>
    <row r="18" ht="22.5" customHeight="1">
      <c r="A18" s="43"/>
      <c r="B18" s="49" t="s">
        <v>667</v>
      </c>
      <c r="C18" s="49" t="s">
        <v>668</v>
      </c>
      <c r="D18" s="49">
        <v>8.917511984E9</v>
      </c>
      <c r="E18" s="47" t="s">
        <v>11</v>
      </c>
      <c r="F18" s="48" t="s">
        <v>669</v>
      </c>
      <c r="G18" s="10" t="s">
        <v>657</v>
      </c>
      <c r="H18" s="9" t="s">
        <v>658</v>
      </c>
      <c r="I18" s="10" t="s">
        <v>176</v>
      </c>
      <c r="J18" s="9" t="s">
        <v>666</v>
      </c>
      <c r="K18" s="10" t="s">
        <v>16</v>
      </c>
    </row>
    <row r="19" ht="22.5" customHeight="1">
      <c r="A19" s="43"/>
      <c r="B19" s="45" t="s">
        <v>670</v>
      </c>
      <c r="C19" s="46"/>
      <c r="D19" s="45">
        <v>6.282278734E9</v>
      </c>
      <c r="E19" s="47" t="s">
        <v>11</v>
      </c>
      <c r="F19" s="48" t="s">
        <v>671</v>
      </c>
      <c r="G19" s="10" t="s">
        <v>657</v>
      </c>
      <c r="H19" s="9" t="s">
        <v>658</v>
      </c>
      <c r="I19" s="10" t="s">
        <v>161</v>
      </c>
      <c r="J19" s="9"/>
      <c r="K19" s="10" t="s">
        <v>16</v>
      </c>
    </row>
    <row r="20" ht="22.5" customHeight="1">
      <c r="A20" s="43"/>
      <c r="B20" s="49" t="s">
        <v>672</v>
      </c>
      <c r="C20" s="49" t="s">
        <v>673</v>
      </c>
      <c r="D20" s="49">
        <v>8.87096176E9</v>
      </c>
      <c r="E20" s="47" t="s">
        <v>11</v>
      </c>
      <c r="F20" s="48" t="s">
        <v>674</v>
      </c>
      <c r="G20" s="10" t="s">
        <v>657</v>
      </c>
      <c r="H20" s="9" t="s">
        <v>658</v>
      </c>
      <c r="I20" s="10" t="s">
        <v>176</v>
      </c>
      <c r="J20" s="9"/>
      <c r="K20" s="10" t="s">
        <v>16</v>
      </c>
    </row>
    <row r="21" ht="22.5" customHeight="1">
      <c r="A21" s="43"/>
      <c r="B21" s="45" t="s">
        <v>675</v>
      </c>
      <c r="C21" s="45" t="s">
        <v>676</v>
      </c>
      <c r="D21" s="45">
        <v>7.855936171E9</v>
      </c>
      <c r="E21" s="47" t="s">
        <v>11</v>
      </c>
      <c r="F21" s="48" t="s">
        <v>665</v>
      </c>
      <c r="G21" s="10" t="s">
        <v>657</v>
      </c>
      <c r="H21" s="9" t="s">
        <v>658</v>
      </c>
      <c r="I21" s="10" t="s">
        <v>176</v>
      </c>
      <c r="J21" s="9"/>
      <c r="K21" s="10" t="s">
        <v>16</v>
      </c>
    </row>
    <row r="22" ht="22.5" customHeight="1">
      <c r="A22" s="43"/>
      <c r="B22" s="49" t="s">
        <v>677</v>
      </c>
      <c r="C22" s="49" t="s">
        <v>678</v>
      </c>
      <c r="D22" s="49">
        <v>7.978461994E9</v>
      </c>
      <c r="E22" s="47" t="s">
        <v>11</v>
      </c>
      <c r="F22" s="48" t="s">
        <v>679</v>
      </c>
      <c r="G22" s="10" t="s">
        <v>657</v>
      </c>
      <c r="H22" s="9" t="s">
        <v>658</v>
      </c>
      <c r="I22" s="10" t="s">
        <v>161</v>
      </c>
      <c r="J22" s="9"/>
      <c r="K22" s="10" t="s">
        <v>16</v>
      </c>
    </row>
    <row r="23" ht="22.5" customHeight="1">
      <c r="A23" s="43"/>
      <c r="B23" s="45" t="s">
        <v>680</v>
      </c>
      <c r="C23" s="45" t="s">
        <v>681</v>
      </c>
      <c r="D23" s="45">
        <v>8.093064179E9</v>
      </c>
      <c r="E23" s="47" t="s">
        <v>11</v>
      </c>
      <c r="F23" s="48" t="s">
        <v>656</v>
      </c>
      <c r="G23" s="10" t="s">
        <v>657</v>
      </c>
      <c r="H23" s="9" t="s">
        <v>658</v>
      </c>
      <c r="I23" s="10" t="s">
        <v>161</v>
      </c>
      <c r="J23" s="9"/>
      <c r="K23" s="10" t="s">
        <v>16</v>
      </c>
    </row>
    <row r="24" ht="22.5" customHeight="1">
      <c r="A24" s="43"/>
      <c r="B24" s="49" t="s">
        <v>682</v>
      </c>
      <c r="C24" s="49" t="s">
        <v>683</v>
      </c>
      <c r="D24" s="49">
        <v>7.848813227E9</v>
      </c>
      <c r="E24" s="47" t="s">
        <v>11</v>
      </c>
      <c r="F24" s="48" t="s">
        <v>679</v>
      </c>
      <c r="G24" s="10" t="s">
        <v>657</v>
      </c>
      <c r="H24" s="9" t="s">
        <v>658</v>
      </c>
      <c r="I24" s="10" t="s">
        <v>161</v>
      </c>
      <c r="J24" s="9"/>
      <c r="K24" s="10" t="s">
        <v>16</v>
      </c>
    </row>
    <row r="25" ht="22.5" customHeight="1">
      <c r="A25" s="43"/>
      <c r="B25" s="45" t="s">
        <v>684</v>
      </c>
      <c r="C25" s="45" t="s">
        <v>685</v>
      </c>
      <c r="D25" s="45">
        <v>9.337823414E9</v>
      </c>
      <c r="E25" s="47" t="s">
        <v>11</v>
      </c>
      <c r="F25" s="48" t="s">
        <v>679</v>
      </c>
      <c r="G25" s="10" t="s">
        <v>657</v>
      </c>
      <c r="H25" s="9" t="s">
        <v>658</v>
      </c>
      <c r="I25" s="10" t="s">
        <v>140</v>
      </c>
      <c r="J25" s="9"/>
      <c r="K25" s="10" t="s">
        <v>16</v>
      </c>
    </row>
    <row r="26" ht="22.5" customHeight="1">
      <c r="A26" s="43"/>
      <c r="B26" s="49" t="s">
        <v>686</v>
      </c>
      <c r="C26" s="50"/>
      <c r="D26" s="49">
        <v>9.438741985E9</v>
      </c>
      <c r="E26" s="47" t="s">
        <v>11</v>
      </c>
      <c r="F26" s="48" t="s">
        <v>671</v>
      </c>
      <c r="G26" s="10" t="s">
        <v>657</v>
      </c>
      <c r="H26" s="9" t="s">
        <v>658</v>
      </c>
      <c r="I26" s="10" t="s">
        <v>161</v>
      </c>
      <c r="J26" s="9"/>
      <c r="K26" s="10" t="s">
        <v>16</v>
      </c>
    </row>
    <row r="27" ht="22.5" customHeight="1">
      <c r="A27" s="43"/>
      <c r="B27" s="45" t="s">
        <v>687</v>
      </c>
      <c r="C27" s="45" t="s">
        <v>688</v>
      </c>
      <c r="D27" s="45">
        <v>9.6925394E9</v>
      </c>
      <c r="E27" s="47" t="s">
        <v>11</v>
      </c>
      <c r="F27" s="48" t="s">
        <v>679</v>
      </c>
      <c r="G27" s="10" t="s">
        <v>657</v>
      </c>
      <c r="H27" s="9" t="s">
        <v>658</v>
      </c>
      <c r="I27" s="10" t="s">
        <v>161</v>
      </c>
      <c r="J27" s="9"/>
      <c r="K27" s="10" t="s">
        <v>16</v>
      </c>
    </row>
    <row r="28" ht="22.5" customHeight="1">
      <c r="A28" s="43"/>
      <c r="B28" s="49" t="s">
        <v>689</v>
      </c>
      <c r="C28" s="50"/>
      <c r="D28" s="49">
        <v>7.852973659E9</v>
      </c>
      <c r="E28" s="47" t="s">
        <v>11</v>
      </c>
      <c r="F28" s="48" t="s">
        <v>679</v>
      </c>
      <c r="G28" s="10" t="s">
        <v>657</v>
      </c>
      <c r="H28" s="9" t="s">
        <v>658</v>
      </c>
      <c r="I28" s="10" t="s">
        <v>176</v>
      </c>
      <c r="J28" s="9"/>
      <c r="K28" s="10" t="s">
        <v>16</v>
      </c>
    </row>
    <row r="29" ht="22.5" customHeight="1">
      <c r="A29" s="43"/>
      <c r="B29" s="45" t="s">
        <v>690</v>
      </c>
      <c r="C29" s="45" t="s">
        <v>691</v>
      </c>
      <c r="D29" s="45">
        <v>8.260516584E9</v>
      </c>
      <c r="E29" s="47" t="s">
        <v>11</v>
      </c>
      <c r="F29" s="48" t="s">
        <v>674</v>
      </c>
      <c r="G29" s="10" t="s">
        <v>657</v>
      </c>
      <c r="H29" s="9" t="s">
        <v>658</v>
      </c>
      <c r="I29" s="10" t="s">
        <v>14</v>
      </c>
      <c r="J29" s="9" t="s">
        <v>692</v>
      </c>
      <c r="K29" s="10" t="s">
        <v>16</v>
      </c>
    </row>
    <row r="30" ht="22.5" customHeight="1">
      <c r="A30" s="43"/>
      <c r="B30" s="49" t="s">
        <v>693</v>
      </c>
      <c r="C30" s="49" t="s">
        <v>694</v>
      </c>
      <c r="D30" s="49">
        <v>9.437757807E9</v>
      </c>
      <c r="E30" s="47" t="s">
        <v>11</v>
      </c>
      <c r="F30" s="48" t="s">
        <v>695</v>
      </c>
      <c r="G30" s="10" t="s">
        <v>657</v>
      </c>
      <c r="H30" s="9" t="s">
        <v>658</v>
      </c>
      <c r="I30" s="10" t="s">
        <v>176</v>
      </c>
      <c r="J30" s="9"/>
      <c r="K30" s="10" t="s">
        <v>16</v>
      </c>
    </row>
    <row r="31" ht="22.5" customHeight="1">
      <c r="A31" s="43"/>
      <c r="B31" s="45" t="s">
        <v>696</v>
      </c>
      <c r="C31" s="45" t="s">
        <v>697</v>
      </c>
      <c r="D31" s="45">
        <v>8.117866836E9</v>
      </c>
      <c r="E31" s="47" t="s">
        <v>11</v>
      </c>
      <c r="F31" s="48" t="s">
        <v>674</v>
      </c>
      <c r="G31" s="10" t="s">
        <v>657</v>
      </c>
      <c r="H31" s="9" t="s">
        <v>658</v>
      </c>
      <c r="I31" s="10" t="s">
        <v>140</v>
      </c>
      <c r="J31" s="9"/>
      <c r="K31" s="10" t="s">
        <v>16</v>
      </c>
    </row>
    <row r="32" ht="22.5" customHeight="1">
      <c r="A32" s="43"/>
      <c r="B32" s="49" t="s">
        <v>698</v>
      </c>
      <c r="C32" s="49" t="s">
        <v>699</v>
      </c>
      <c r="D32" s="49">
        <v>9.337245749E9</v>
      </c>
      <c r="E32" s="47" t="s">
        <v>11</v>
      </c>
      <c r="F32" s="48" t="s">
        <v>679</v>
      </c>
      <c r="G32" s="10" t="s">
        <v>657</v>
      </c>
      <c r="H32" s="9" t="s">
        <v>658</v>
      </c>
      <c r="I32" s="10" t="s">
        <v>176</v>
      </c>
      <c r="J32" s="9"/>
      <c r="K32" s="10" t="s">
        <v>16</v>
      </c>
    </row>
    <row r="33" ht="22.5" customHeight="1">
      <c r="A33" s="43"/>
      <c r="B33" s="45" t="s">
        <v>700</v>
      </c>
      <c r="C33" s="46"/>
      <c r="D33" s="45">
        <v>8.480153509E9</v>
      </c>
      <c r="E33" s="47" t="s">
        <v>11</v>
      </c>
      <c r="F33" s="48" t="s">
        <v>679</v>
      </c>
      <c r="G33" s="10" t="s">
        <v>657</v>
      </c>
      <c r="H33" s="9" t="s">
        <v>658</v>
      </c>
      <c r="I33" s="10" t="s">
        <v>176</v>
      </c>
      <c r="J33" s="9"/>
      <c r="K33" s="10" t="s">
        <v>16</v>
      </c>
    </row>
    <row r="34" ht="22.5" customHeight="1">
      <c r="A34" s="43"/>
      <c r="B34" s="49" t="s">
        <v>701</v>
      </c>
      <c r="C34" s="49" t="s">
        <v>702</v>
      </c>
      <c r="D34" s="49">
        <v>7.326957737E9</v>
      </c>
      <c r="E34" s="47" t="s">
        <v>11</v>
      </c>
      <c r="F34" s="48" t="s">
        <v>665</v>
      </c>
      <c r="G34" s="10" t="s">
        <v>657</v>
      </c>
      <c r="H34" s="9" t="s">
        <v>658</v>
      </c>
      <c r="I34" s="10" t="s">
        <v>176</v>
      </c>
      <c r="J34" s="9"/>
      <c r="K34" s="10" t="s">
        <v>16</v>
      </c>
    </row>
    <row r="35" ht="22.5" customHeight="1">
      <c r="A35" s="43"/>
      <c r="B35" s="45" t="s">
        <v>703</v>
      </c>
      <c r="C35" s="45" t="s">
        <v>704</v>
      </c>
      <c r="D35" s="45">
        <v>7.991088668E9</v>
      </c>
      <c r="E35" s="47" t="s">
        <v>11</v>
      </c>
      <c r="F35" s="48" t="s">
        <v>705</v>
      </c>
      <c r="G35" s="10" t="s">
        <v>657</v>
      </c>
      <c r="H35" s="9" t="s">
        <v>658</v>
      </c>
      <c r="I35" s="10" t="s">
        <v>14</v>
      </c>
      <c r="J35" s="9" t="s">
        <v>706</v>
      </c>
      <c r="K35" s="10" t="s">
        <v>16</v>
      </c>
    </row>
    <row r="36" ht="22.5" customHeight="1">
      <c r="A36" s="43"/>
      <c r="B36" s="49" t="s">
        <v>707</v>
      </c>
      <c r="C36" s="50"/>
      <c r="D36" s="49">
        <v>6.305679828E9</v>
      </c>
      <c r="E36" s="47" t="s">
        <v>11</v>
      </c>
      <c r="F36" s="48" t="s">
        <v>708</v>
      </c>
      <c r="G36" s="10" t="s">
        <v>657</v>
      </c>
      <c r="H36" s="9" t="s">
        <v>658</v>
      </c>
      <c r="I36" s="10" t="s">
        <v>161</v>
      </c>
      <c r="J36" s="43"/>
      <c r="K36" s="10" t="s">
        <v>16</v>
      </c>
    </row>
    <row r="37" ht="22.5" customHeight="1">
      <c r="A37" s="43"/>
      <c r="B37" s="45" t="s">
        <v>709</v>
      </c>
      <c r="C37" s="45" t="s">
        <v>710</v>
      </c>
      <c r="D37" s="45">
        <v>9.777688074E9</v>
      </c>
      <c r="E37" s="47" t="s">
        <v>11</v>
      </c>
      <c r="F37" s="48" t="s">
        <v>656</v>
      </c>
      <c r="G37" s="10" t="s">
        <v>657</v>
      </c>
      <c r="H37" s="9" t="s">
        <v>658</v>
      </c>
      <c r="I37" s="10" t="s">
        <v>176</v>
      </c>
      <c r="J37" s="43"/>
      <c r="K37" s="10" t="s">
        <v>16</v>
      </c>
    </row>
    <row r="38" ht="22.5" customHeight="1">
      <c r="A38" s="43"/>
      <c r="B38" s="49" t="s">
        <v>711</v>
      </c>
      <c r="C38" s="49" t="s">
        <v>712</v>
      </c>
      <c r="D38" s="49">
        <v>7.38120463E9</v>
      </c>
      <c r="E38" s="47" t="s">
        <v>11</v>
      </c>
      <c r="F38" s="48" t="s">
        <v>665</v>
      </c>
      <c r="G38" s="10" t="s">
        <v>657</v>
      </c>
      <c r="H38" s="9" t="s">
        <v>658</v>
      </c>
      <c r="I38" s="10" t="s">
        <v>161</v>
      </c>
      <c r="J38" s="43"/>
      <c r="K38" s="10" t="s">
        <v>16</v>
      </c>
    </row>
    <row r="39" ht="22.5" customHeight="1">
      <c r="A39" s="43"/>
      <c r="B39" s="45" t="s">
        <v>713</v>
      </c>
      <c r="C39" s="45" t="s">
        <v>714</v>
      </c>
      <c r="D39" s="45">
        <v>9.938304538E9</v>
      </c>
      <c r="E39" s="47" t="s">
        <v>11</v>
      </c>
      <c r="F39" s="48" t="s">
        <v>679</v>
      </c>
      <c r="G39" s="10" t="s">
        <v>657</v>
      </c>
      <c r="H39" s="9" t="s">
        <v>658</v>
      </c>
      <c r="I39" s="10" t="s">
        <v>161</v>
      </c>
      <c r="J39" s="43"/>
      <c r="K39" s="10" t="s">
        <v>16</v>
      </c>
    </row>
    <row r="40" ht="22.5" customHeight="1">
      <c r="A40" s="43"/>
      <c r="B40" s="49" t="s">
        <v>715</v>
      </c>
      <c r="C40" s="49" t="s">
        <v>716</v>
      </c>
      <c r="D40" s="49">
        <v>7.008933519E9</v>
      </c>
      <c r="E40" s="47" t="s">
        <v>11</v>
      </c>
      <c r="F40" s="48" t="s">
        <v>674</v>
      </c>
      <c r="G40" s="10" t="s">
        <v>657</v>
      </c>
      <c r="H40" s="9" t="s">
        <v>658</v>
      </c>
      <c r="I40" s="10" t="s">
        <v>161</v>
      </c>
      <c r="J40" s="43"/>
      <c r="K40" s="10" t="s">
        <v>16</v>
      </c>
    </row>
    <row r="41" ht="22.5" customHeight="1">
      <c r="A41" s="43"/>
      <c r="B41" s="45" t="s">
        <v>717</v>
      </c>
      <c r="C41" s="45" t="s">
        <v>718</v>
      </c>
      <c r="D41" s="45">
        <v>7.991093031E9</v>
      </c>
      <c r="E41" s="47" t="s">
        <v>11</v>
      </c>
      <c r="F41" s="48" t="s">
        <v>679</v>
      </c>
      <c r="G41" s="10" t="s">
        <v>657</v>
      </c>
      <c r="H41" s="9" t="s">
        <v>658</v>
      </c>
      <c r="I41" s="10" t="s">
        <v>161</v>
      </c>
      <c r="J41" s="43"/>
      <c r="K41" s="10" t="s">
        <v>16</v>
      </c>
    </row>
    <row r="42" ht="22.5" customHeight="1">
      <c r="A42" s="43"/>
      <c r="B42" s="49" t="s">
        <v>719</v>
      </c>
      <c r="C42" s="49" t="s">
        <v>720</v>
      </c>
      <c r="D42" s="49">
        <v>7.894739966E9</v>
      </c>
      <c r="E42" s="47" t="s">
        <v>11</v>
      </c>
      <c r="F42" s="48" t="s">
        <v>674</v>
      </c>
      <c r="G42" s="10" t="s">
        <v>657</v>
      </c>
      <c r="H42" s="9" t="s">
        <v>658</v>
      </c>
      <c r="I42" s="10" t="s">
        <v>161</v>
      </c>
      <c r="J42" s="43"/>
      <c r="K42" s="10" t="s">
        <v>16</v>
      </c>
    </row>
    <row r="43" ht="22.5" customHeight="1">
      <c r="A43" s="43"/>
      <c r="B43" s="45" t="s">
        <v>721</v>
      </c>
      <c r="C43" s="45" t="s">
        <v>722</v>
      </c>
      <c r="D43" s="45">
        <v>8.018127929E9</v>
      </c>
      <c r="E43" s="47" t="s">
        <v>11</v>
      </c>
      <c r="F43" s="48" t="s">
        <v>674</v>
      </c>
      <c r="G43" s="10" t="s">
        <v>657</v>
      </c>
      <c r="H43" s="9" t="s">
        <v>658</v>
      </c>
      <c r="I43" s="10" t="s">
        <v>161</v>
      </c>
      <c r="J43" s="43"/>
      <c r="K43" s="10" t="s">
        <v>16</v>
      </c>
    </row>
    <row r="44" ht="22.5" customHeight="1">
      <c r="A44" s="43"/>
      <c r="B44" s="49" t="s">
        <v>723</v>
      </c>
      <c r="C44" s="50"/>
      <c r="D44" s="49">
        <v>8.658845665E9</v>
      </c>
      <c r="E44" s="47" t="s">
        <v>11</v>
      </c>
      <c r="F44" s="48" t="s">
        <v>674</v>
      </c>
      <c r="G44" s="10" t="s">
        <v>657</v>
      </c>
      <c r="H44" s="9" t="s">
        <v>658</v>
      </c>
      <c r="I44" s="10" t="s">
        <v>176</v>
      </c>
      <c r="J44" s="43"/>
      <c r="K44" s="10" t="s">
        <v>16</v>
      </c>
    </row>
    <row r="45" ht="22.5" customHeight="1">
      <c r="A45" s="43"/>
      <c r="B45" s="41" t="s">
        <v>724</v>
      </c>
      <c r="C45" s="41" t="s">
        <v>725</v>
      </c>
      <c r="D45" s="27" t="s">
        <v>726</v>
      </c>
      <c r="E45" s="27" t="s">
        <v>229</v>
      </c>
      <c r="F45" s="27" t="s">
        <v>727</v>
      </c>
      <c r="G45" s="10" t="s">
        <v>728</v>
      </c>
      <c r="H45" s="9" t="s">
        <v>729</v>
      </c>
      <c r="I45" s="10" t="s">
        <v>427</v>
      </c>
      <c r="J45" s="43"/>
      <c r="K45" s="10" t="s">
        <v>37</v>
      </c>
    </row>
    <row r="46" ht="22.5" customHeight="1">
      <c r="A46" s="43"/>
      <c r="B46" s="41" t="s">
        <v>730</v>
      </c>
      <c r="C46" s="41" t="s">
        <v>731</v>
      </c>
      <c r="D46" s="27" t="s">
        <v>732</v>
      </c>
      <c r="E46" s="27" t="s">
        <v>228</v>
      </c>
      <c r="F46" s="27" t="s">
        <v>733</v>
      </c>
      <c r="G46" s="10" t="s">
        <v>728</v>
      </c>
      <c r="H46" s="9" t="s">
        <v>729</v>
      </c>
      <c r="I46" s="10" t="s">
        <v>176</v>
      </c>
      <c r="J46" s="43"/>
      <c r="K46" s="10" t="s">
        <v>37</v>
      </c>
    </row>
    <row r="47" ht="22.5" customHeight="1">
      <c r="A47" s="43"/>
      <c r="B47" s="41" t="s">
        <v>734</v>
      </c>
      <c r="C47" s="41" t="s">
        <v>735</v>
      </c>
      <c r="D47" s="27" t="s">
        <v>736</v>
      </c>
      <c r="E47" s="27" t="s">
        <v>175</v>
      </c>
      <c r="F47" s="27" t="s">
        <v>737</v>
      </c>
      <c r="G47" s="10" t="s">
        <v>728</v>
      </c>
      <c r="H47" s="9" t="s">
        <v>729</v>
      </c>
      <c r="I47" s="10" t="s">
        <v>14</v>
      </c>
      <c r="J47" s="51" t="s">
        <v>738</v>
      </c>
      <c r="K47" s="10" t="s">
        <v>37</v>
      </c>
    </row>
    <row r="48" ht="22.5" customHeight="1">
      <c r="A48" s="43"/>
      <c r="B48" s="41" t="s">
        <v>739</v>
      </c>
      <c r="C48" s="41" t="s">
        <v>740</v>
      </c>
      <c r="D48" s="27" t="s">
        <v>741</v>
      </c>
      <c r="E48" s="27" t="s">
        <v>229</v>
      </c>
      <c r="F48" s="27" t="s">
        <v>105</v>
      </c>
      <c r="G48" s="10" t="s">
        <v>728</v>
      </c>
      <c r="H48" s="9" t="s">
        <v>729</v>
      </c>
      <c r="I48" s="10" t="s">
        <v>176</v>
      </c>
      <c r="J48" s="43"/>
      <c r="K48" s="10" t="s">
        <v>37</v>
      </c>
    </row>
    <row r="49" ht="22.5" customHeight="1">
      <c r="A49" s="43"/>
      <c r="B49" s="41" t="s">
        <v>742</v>
      </c>
      <c r="C49" s="41" t="s">
        <v>743</v>
      </c>
      <c r="D49" s="27" t="s">
        <v>744</v>
      </c>
      <c r="E49" s="27" t="s">
        <v>745</v>
      </c>
      <c r="F49" s="27" t="s">
        <v>746</v>
      </c>
      <c r="G49" s="10" t="s">
        <v>728</v>
      </c>
      <c r="H49" s="9" t="s">
        <v>729</v>
      </c>
      <c r="I49" s="10" t="s">
        <v>161</v>
      </c>
      <c r="J49" s="9" t="s">
        <v>747</v>
      </c>
      <c r="K49" s="10" t="s">
        <v>37</v>
      </c>
    </row>
    <row r="50" ht="22.5" customHeight="1">
      <c r="A50" s="43"/>
      <c r="B50" s="41" t="s">
        <v>748</v>
      </c>
      <c r="C50" s="41" t="s">
        <v>749</v>
      </c>
      <c r="D50" s="27" t="s">
        <v>750</v>
      </c>
      <c r="E50" s="27" t="s">
        <v>751</v>
      </c>
      <c r="F50" s="27" t="s">
        <v>751</v>
      </c>
      <c r="G50" s="10" t="s">
        <v>728</v>
      </c>
      <c r="H50" s="9" t="s">
        <v>729</v>
      </c>
      <c r="I50" s="10" t="s">
        <v>427</v>
      </c>
      <c r="J50" s="43"/>
      <c r="K50" s="10" t="s">
        <v>37</v>
      </c>
    </row>
    <row r="51" ht="22.5" customHeight="1">
      <c r="A51" s="43"/>
      <c r="B51" s="41" t="s">
        <v>752</v>
      </c>
      <c r="C51" s="41" t="s">
        <v>753</v>
      </c>
      <c r="D51" s="27" t="s">
        <v>754</v>
      </c>
      <c r="E51" s="27" t="s">
        <v>211</v>
      </c>
      <c r="F51" s="27" t="s">
        <v>755</v>
      </c>
      <c r="G51" s="10" t="s">
        <v>728</v>
      </c>
      <c r="H51" s="9" t="s">
        <v>729</v>
      </c>
      <c r="I51" s="10" t="s">
        <v>176</v>
      </c>
      <c r="J51" s="43"/>
      <c r="K51" s="10" t="s">
        <v>37</v>
      </c>
    </row>
    <row r="52" ht="22.5" customHeight="1">
      <c r="A52" s="43"/>
      <c r="B52" s="41" t="s">
        <v>756</v>
      </c>
      <c r="C52" s="41" t="s">
        <v>757</v>
      </c>
      <c r="D52" s="27" t="s">
        <v>758</v>
      </c>
      <c r="E52" s="27" t="s">
        <v>229</v>
      </c>
      <c r="F52" s="27" t="s">
        <v>759</v>
      </c>
      <c r="G52" s="10" t="s">
        <v>728</v>
      </c>
      <c r="H52" s="9" t="s">
        <v>729</v>
      </c>
      <c r="I52" s="10" t="s">
        <v>176</v>
      </c>
      <c r="J52" s="43"/>
      <c r="K52" s="10" t="s">
        <v>37</v>
      </c>
    </row>
    <row r="53" ht="22.5" customHeight="1">
      <c r="A53" s="43"/>
      <c r="B53" s="41" t="s">
        <v>760</v>
      </c>
      <c r="C53" s="41" t="s">
        <v>761</v>
      </c>
      <c r="D53" s="27" t="s">
        <v>762</v>
      </c>
      <c r="E53" s="27" t="s">
        <v>275</v>
      </c>
      <c r="F53" s="27" t="s">
        <v>763</v>
      </c>
      <c r="G53" s="10" t="s">
        <v>728</v>
      </c>
      <c r="H53" s="9" t="s">
        <v>729</v>
      </c>
      <c r="I53" s="10" t="s">
        <v>14</v>
      </c>
      <c r="J53" s="51" t="s">
        <v>764</v>
      </c>
      <c r="K53" s="10" t="s">
        <v>37</v>
      </c>
    </row>
    <row r="54" ht="22.5" customHeight="1">
      <c r="A54" s="43"/>
      <c r="B54" s="41" t="s">
        <v>765</v>
      </c>
      <c r="C54" s="41" t="s">
        <v>766</v>
      </c>
      <c r="D54" s="27" t="s">
        <v>767</v>
      </c>
      <c r="E54" s="27" t="s">
        <v>145</v>
      </c>
      <c r="F54" s="27" t="s">
        <v>61</v>
      </c>
      <c r="G54" s="10" t="s">
        <v>728</v>
      </c>
      <c r="H54" s="9" t="s">
        <v>729</v>
      </c>
      <c r="I54" s="10" t="s">
        <v>14</v>
      </c>
      <c r="J54" s="9" t="s">
        <v>768</v>
      </c>
      <c r="K54" s="10" t="s">
        <v>37</v>
      </c>
    </row>
    <row r="55" ht="22.5" customHeight="1">
      <c r="A55" s="43"/>
      <c r="B55" s="41" t="s">
        <v>769</v>
      </c>
      <c r="C55" s="41" t="s">
        <v>770</v>
      </c>
      <c r="D55" s="27" t="s">
        <v>771</v>
      </c>
      <c r="E55" s="27" t="s">
        <v>772</v>
      </c>
      <c r="F55" s="27" t="s">
        <v>773</v>
      </c>
      <c r="G55" s="10" t="s">
        <v>728</v>
      </c>
      <c r="H55" s="9" t="s">
        <v>729</v>
      </c>
      <c r="I55" s="10" t="s">
        <v>176</v>
      </c>
      <c r="J55" s="9" t="s">
        <v>774</v>
      </c>
      <c r="K55" s="10" t="s">
        <v>37</v>
      </c>
    </row>
    <row r="56" ht="22.5" customHeight="1">
      <c r="A56" s="43"/>
      <c r="B56" s="52" t="s">
        <v>775</v>
      </c>
      <c r="C56" s="52" t="s">
        <v>776</v>
      </c>
      <c r="D56" s="52" t="s">
        <v>777</v>
      </c>
      <c r="E56" s="47" t="s">
        <v>11</v>
      </c>
      <c r="F56" s="52" t="s">
        <v>12</v>
      </c>
      <c r="G56" s="10" t="s">
        <v>778</v>
      </c>
      <c r="H56" s="9"/>
      <c r="I56" s="10"/>
      <c r="J56" s="9"/>
      <c r="K56" s="10"/>
    </row>
    <row r="57" ht="22.5" customHeight="1">
      <c r="A57" s="43"/>
      <c r="B57" s="53" t="s">
        <v>779</v>
      </c>
      <c r="C57" s="53" t="s">
        <v>780</v>
      </c>
      <c r="D57" s="53" t="s">
        <v>781</v>
      </c>
      <c r="E57" s="47" t="s">
        <v>11</v>
      </c>
      <c r="F57" s="53" t="s">
        <v>12</v>
      </c>
      <c r="G57" s="54"/>
      <c r="H57" s="9"/>
      <c r="I57" s="10"/>
      <c r="J57" s="9"/>
      <c r="K57" s="10"/>
    </row>
    <row r="58" ht="22.5" customHeight="1">
      <c r="A58" s="43"/>
      <c r="B58" s="55" t="s">
        <v>782</v>
      </c>
      <c r="C58" s="56"/>
      <c r="D58" s="55" t="s">
        <v>783</v>
      </c>
      <c r="E58" s="47" t="s">
        <v>11</v>
      </c>
      <c r="F58" s="55" t="s">
        <v>12</v>
      </c>
      <c r="G58" s="54"/>
      <c r="H58" s="9"/>
      <c r="I58" s="10"/>
      <c r="J58" s="9"/>
      <c r="K58" s="10"/>
    </row>
    <row r="59" ht="22.5" customHeight="1">
      <c r="A59" s="43"/>
      <c r="B59" s="53" t="s">
        <v>784</v>
      </c>
      <c r="C59" s="57"/>
      <c r="D59" s="53" t="s">
        <v>785</v>
      </c>
      <c r="E59" s="47" t="s">
        <v>11</v>
      </c>
      <c r="F59" s="53" t="s">
        <v>12</v>
      </c>
      <c r="G59" s="54"/>
      <c r="H59" s="9"/>
      <c r="I59" s="10"/>
      <c r="J59" s="9"/>
      <c r="K59" s="10"/>
    </row>
    <row r="60" ht="22.5" customHeight="1">
      <c r="A60" s="43"/>
      <c r="B60" s="55" t="s">
        <v>786</v>
      </c>
      <c r="C60" s="56"/>
      <c r="D60" s="55" t="s">
        <v>787</v>
      </c>
      <c r="E60" s="47" t="s">
        <v>11</v>
      </c>
      <c r="F60" s="55" t="s">
        <v>12</v>
      </c>
      <c r="G60" s="54"/>
      <c r="H60" s="9"/>
      <c r="I60" s="10"/>
      <c r="J60" s="9"/>
      <c r="K60" s="10"/>
    </row>
    <row r="61" ht="22.5" customHeight="1">
      <c r="A61" s="43"/>
      <c r="B61" s="53" t="s">
        <v>788</v>
      </c>
      <c r="C61" s="53" t="s">
        <v>789</v>
      </c>
      <c r="D61" s="53" t="s">
        <v>790</v>
      </c>
      <c r="E61" s="47" t="s">
        <v>11</v>
      </c>
      <c r="F61" s="53" t="s">
        <v>12</v>
      </c>
      <c r="G61" s="54"/>
      <c r="H61" s="9"/>
      <c r="I61" s="10"/>
      <c r="J61" s="9"/>
      <c r="K61" s="10"/>
    </row>
    <row r="62" ht="22.5" customHeight="1">
      <c r="A62" s="43"/>
      <c r="B62" s="55" t="s">
        <v>791</v>
      </c>
      <c r="C62" s="55" t="s">
        <v>792</v>
      </c>
      <c r="D62" s="55" t="s">
        <v>793</v>
      </c>
      <c r="E62" s="47" t="s">
        <v>11</v>
      </c>
      <c r="F62" s="55" t="s">
        <v>12</v>
      </c>
      <c r="G62" s="54"/>
      <c r="H62" s="9"/>
      <c r="I62" s="10"/>
      <c r="J62" s="9"/>
      <c r="K62" s="10"/>
    </row>
    <row r="63" ht="22.5" customHeight="1">
      <c r="A63" s="43"/>
      <c r="B63" s="53" t="s">
        <v>794</v>
      </c>
      <c r="C63" s="53" t="s">
        <v>795</v>
      </c>
      <c r="D63" s="53" t="s">
        <v>796</v>
      </c>
      <c r="E63" s="47" t="s">
        <v>11</v>
      </c>
      <c r="F63" s="53" t="s">
        <v>12</v>
      </c>
      <c r="G63" s="54"/>
      <c r="H63" s="9"/>
      <c r="I63" s="10"/>
      <c r="J63" s="9"/>
      <c r="K63" s="10"/>
    </row>
    <row r="64" ht="22.5" customHeight="1">
      <c r="A64" s="43"/>
      <c r="B64" s="55" t="s">
        <v>797</v>
      </c>
      <c r="C64" s="55" t="s">
        <v>798</v>
      </c>
      <c r="D64" s="55" t="s">
        <v>799</v>
      </c>
      <c r="E64" s="47" t="s">
        <v>11</v>
      </c>
      <c r="F64" s="55" t="s">
        <v>12</v>
      </c>
      <c r="G64" s="54"/>
      <c r="H64" s="9"/>
      <c r="I64" s="10"/>
      <c r="J64" s="9"/>
      <c r="K64" s="10"/>
    </row>
    <row r="65" ht="22.5" customHeight="1">
      <c r="A65" s="43"/>
      <c r="B65" s="53" t="s">
        <v>800</v>
      </c>
      <c r="C65" s="53" t="s">
        <v>801</v>
      </c>
      <c r="D65" s="53" t="s">
        <v>802</v>
      </c>
      <c r="E65" s="47" t="s">
        <v>11</v>
      </c>
      <c r="F65" s="53" t="s">
        <v>12</v>
      </c>
      <c r="G65" s="54"/>
      <c r="H65" s="9"/>
      <c r="I65" s="10"/>
      <c r="J65" s="9"/>
      <c r="K65" s="10"/>
    </row>
    <row r="66" ht="22.5" customHeight="1">
      <c r="A66" s="43"/>
      <c r="B66" s="55" t="s">
        <v>803</v>
      </c>
      <c r="C66" s="55" t="s">
        <v>804</v>
      </c>
      <c r="D66" s="55" t="s">
        <v>805</v>
      </c>
      <c r="E66" s="47" t="s">
        <v>11</v>
      </c>
      <c r="F66" s="55" t="s">
        <v>12</v>
      </c>
      <c r="G66" s="54"/>
      <c r="H66" s="9"/>
      <c r="I66" s="10"/>
      <c r="J66" s="9"/>
      <c r="K66" s="10"/>
    </row>
    <row r="67" ht="22.5" customHeight="1">
      <c r="A67" s="43"/>
      <c r="B67" s="53" t="s">
        <v>806</v>
      </c>
      <c r="C67" s="53" t="s">
        <v>807</v>
      </c>
      <c r="D67" s="53" t="s">
        <v>808</v>
      </c>
      <c r="E67" s="47" t="s">
        <v>11</v>
      </c>
      <c r="F67" s="53" t="s">
        <v>12</v>
      </c>
      <c r="G67" s="54"/>
      <c r="H67" s="9"/>
      <c r="I67" s="10"/>
      <c r="J67" s="9"/>
      <c r="K67" s="10"/>
    </row>
    <row r="68" ht="22.5" customHeight="1">
      <c r="A68" s="43"/>
      <c r="B68" s="55" t="s">
        <v>809</v>
      </c>
      <c r="C68" s="55" t="s">
        <v>810</v>
      </c>
      <c r="D68" s="55" t="s">
        <v>811</v>
      </c>
      <c r="E68" s="47" t="s">
        <v>11</v>
      </c>
      <c r="F68" s="55" t="s">
        <v>12</v>
      </c>
      <c r="G68" s="54"/>
      <c r="H68" s="9"/>
      <c r="I68" s="10"/>
      <c r="J68" s="9"/>
      <c r="K68" s="10"/>
    </row>
    <row r="69" ht="22.5" customHeight="1">
      <c r="A69" s="43"/>
      <c r="B69" s="53" t="s">
        <v>812</v>
      </c>
      <c r="C69" s="53" t="s">
        <v>813</v>
      </c>
      <c r="D69" s="53" t="s">
        <v>814</v>
      </c>
      <c r="E69" s="47" t="s">
        <v>11</v>
      </c>
      <c r="F69" s="53" t="s">
        <v>12</v>
      </c>
      <c r="G69" s="54"/>
      <c r="H69" s="9"/>
      <c r="I69" s="10"/>
      <c r="J69" s="9"/>
      <c r="K69" s="10"/>
    </row>
    <row r="70" ht="22.5" customHeight="1">
      <c r="A70" s="43"/>
      <c r="B70" s="55" t="s">
        <v>815</v>
      </c>
      <c r="C70" s="56"/>
      <c r="D70" s="55" t="s">
        <v>816</v>
      </c>
      <c r="E70" s="47" t="s">
        <v>11</v>
      </c>
      <c r="F70" s="55" t="s">
        <v>12</v>
      </c>
      <c r="G70" s="54"/>
      <c r="H70" s="9"/>
      <c r="I70" s="10"/>
      <c r="J70" s="9"/>
      <c r="K70" s="10"/>
    </row>
    <row r="71" ht="22.5" customHeight="1">
      <c r="A71" s="43"/>
      <c r="B71" s="53" t="s">
        <v>817</v>
      </c>
      <c r="C71" s="53" t="s">
        <v>818</v>
      </c>
      <c r="D71" s="53" t="s">
        <v>819</v>
      </c>
      <c r="E71" s="47" t="s">
        <v>11</v>
      </c>
      <c r="F71" s="53" t="s">
        <v>12</v>
      </c>
      <c r="G71" s="54"/>
      <c r="H71" s="9"/>
      <c r="I71" s="10"/>
      <c r="J71" s="9"/>
      <c r="K71" s="10"/>
    </row>
    <row r="72" ht="22.5" customHeight="1">
      <c r="A72" s="43"/>
      <c r="B72" s="55" t="s">
        <v>820</v>
      </c>
      <c r="C72" s="56"/>
      <c r="D72" s="55" t="s">
        <v>821</v>
      </c>
      <c r="E72" s="47" t="s">
        <v>11</v>
      </c>
      <c r="F72" s="55" t="s">
        <v>12</v>
      </c>
      <c r="G72" s="54"/>
      <c r="H72" s="9"/>
      <c r="I72" s="10"/>
      <c r="J72" s="9"/>
      <c r="K72" s="10"/>
    </row>
    <row r="73" ht="22.5" customHeight="1">
      <c r="A73" s="43"/>
      <c r="B73" s="53" t="s">
        <v>822</v>
      </c>
      <c r="C73" s="53" t="s">
        <v>823</v>
      </c>
      <c r="D73" s="53" t="s">
        <v>824</v>
      </c>
      <c r="E73" s="47" t="s">
        <v>11</v>
      </c>
      <c r="F73" s="53" t="s">
        <v>12</v>
      </c>
      <c r="G73" s="54"/>
      <c r="H73" s="9"/>
      <c r="I73" s="10"/>
      <c r="J73" s="9"/>
      <c r="K73" s="10"/>
    </row>
    <row r="74" ht="22.5" customHeight="1">
      <c r="A74" s="43"/>
      <c r="B74" s="55" t="s">
        <v>825</v>
      </c>
      <c r="C74" s="55" t="s">
        <v>826</v>
      </c>
      <c r="D74" s="55" t="s">
        <v>827</v>
      </c>
      <c r="E74" s="47" t="s">
        <v>11</v>
      </c>
      <c r="F74" s="55" t="s">
        <v>12</v>
      </c>
      <c r="G74" s="54"/>
      <c r="H74" s="9"/>
      <c r="I74" s="10"/>
      <c r="J74" s="9"/>
      <c r="K74" s="10"/>
    </row>
    <row r="75" ht="22.5" customHeight="1">
      <c r="A75" s="43"/>
      <c r="B75" s="53" t="s">
        <v>828</v>
      </c>
      <c r="C75" s="53" t="s">
        <v>829</v>
      </c>
      <c r="D75" s="53" t="s">
        <v>830</v>
      </c>
      <c r="E75" s="47" t="s">
        <v>11</v>
      </c>
      <c r="F75" s="53" t="s">
        <v>12</v>
      </c>
      <c r="G75" s="54"/>
      <c r="H75" s="9"/>
      <c r="I75" s="10"/>
      <c r="J75" s="9"/>
      <c r="K75" s="10"/>
    </row>
    <row r="76" ht="22.5" customHeight="1">
      <c r="A76" s="43"/>
      <c r="B76" s="55" t="s">
        <v>831</v>
      </c>
      <c r="C76" s="55" t="s">
        <v>832</v>
      </c>
      <c r="D76" s="55" t="s">
        <v>833</v>
      </c>
      <c r="E76" s="47" t="s">
        <v>11</v>
      </c>
      <c r="F76" s="55" t="s">
        <v>12</v>
      </c>
      <c r="G76" s="54"/>
      <c r="H76" s="9"/>
      <c r="I76" s="10"/>
      <c r="J76" s="9"/>
      <c r="K76" s="10"/>
    </row>
    <row r="77" ht="22.5" customHeight="1">
      <c r="A77" s="43"/>
      <c r="B77" s="53" t="s">
        <v>834</v>
      </c>
      <c r="C77" s="53" t="s">
        <v>835</v>
      </c>
      <c r="D77" s="53" t="s">
        <v>836</v>
      </c>
      <c r="E77" s="47" t="s">
        <v>11</v>
      </c>
      <c r="F77" s="53" t="s">
        <v>12</v>
      </c>
      <c r="G77" s="54"/>
      <c r="H77" s="9"/>
      <c r="I77" s="10"/>
      <c r="J77" s="9"/>
      <c r="K77" s="10"/>
    </row>
    <row r="78" ht="22.5" customHeight="1">
      <c r="A78" s="43"/>
      <c r="B78" s="55" t="s">
        <v>837</v>
      </c>
      <c r="C78" s="55" t="s">
        <v>838</v>
      </c>
      <c r="D78" s="55" t="s">
        <v>839</v>
      </c>
      <c r="E78" s="47" t="s">
        <v>11</v>
      </c>
      <c r="F78" s="55" t="s">
        <v>12</v>
      </c>
      <c r="G78" s="54"/>
      <c r="H78" s="9"/>
      <c r="I78" s="10"/>
      <c r="J78" s="9"/>
      <c r="K78" s="10"/>
    </row>
    <row r="79" ht="22.5" customHeight="1">
      <c r="A79" s="43"/>
      <c r="B79" s="53" t="s">
        <v>840</v>
      </c>
      <c r="C79" s="53" t="s">
        <v>841</v>
      </c>
      <c r="D79" s="53" t="s">
        <v>842</v>
      </c>
      <c r="E79" s="47" t="s">
        <v>11</v>
      </c>
      <c r="F79" s="53" t="s">
        <v>12</v>
      </c>
      <c r="G79" s="54"/>
      <c r="H79" s="9"/>
      <c r="I79" s="10"/>
      <c r="J79" s="9"/>
      <c r="K79" s="10"/>
    </row>
    <row r="80" ht="22.5" customHeight="1">
      <c r="A80" s="43"/>
      <c r="B80" s="55" t="s">
        <v>843</v>
      </c>
      <c r="C80" s="55" t="s">
        <v>844</v>
      </c>
      <c r="D80" s="55" t="s">
        <v>845</v>
      </c>
      <c r="E80" s="47" t="s">
        <v>11</v>
      </c>
      <c r="F80" s="55" t="s">
        <v>12</v>
      </c>
      <c r="G80" s="54"/>
      <c r="H80" s="9"/>
      <c r="I80" s="10"/>
      <c r="J80" s="9"/>
      <c r="K80" s="10"/>
    </row>
    <row r="81" ht="22.5" customHeight="1">
      <c r="A81" s="43"/>
      <c r="B81" s="53" t="s">
        <v>846</v>
      </c>
      <c r="C81" s="57"/>
      <c r="D81" s="53" t="s">
        <v>847</v>
      </c>
      <c r="E81" s="47" t="s">
        <v>11</v>
      </c>
      <c r="F81" s="53" t="s">
        <v>12</v>
      </c>
      <c r="G81" s="54"/>
      <c r="H81" s="9"/>
      <c r="I81" s="10"/>
      <c r="J81" s="9"/>
      <c r="K81" s="10"/>
    </row>
    <row r="82" ht="22.5" customHeight="1">
      <c r="A82" s="43"/>
      <c r="B82" s="55" t="s">
        <v>848</v>
      </c>
      <c r="C82" s="56"/>
      <c r="D82" s="55" t="s">
        <v>849</v>
      </c>
      <c r="E82" s="47" t="s">
        <v>11</v>
      </c>
      <c r="F82" s="55" t="s">
        <v>12</v>
      </c>
      <c r="G82" s="54"/>
      <c r="H82" s="9"/>
      <c r="I82" s="10"/>
      <c r="J82" s="9"/>
      <c r="K82" s="10"/>
    </row>
    <row r="83" ht="22.5" customHeight="1">
      <c r="A83" s="43"/>
      <c r="B83" s="53" t="s">
        <v>850</v>
      </c>
      <c r="C83" s="57"/>
      <c r="D83" s="53" t="s">
        <v>851</v>
      </c>
      <c r="E83" s="47" t="s">
        <v>11</v>
      </c>
      <c r="F83" s="53" t="s">
        <v>12</v>
      </c>
      <c r="G83" s="54"/>
      <c r="H83" s="9"/>
      <c r="I83" s="10"/>
      <c r="J83" s="9"/>
      <c r="K83" s="10"/>
    </row>
    <row r="84" ht="22.5" customHeight="1">
      <c r="A84" s="43"/>
      <c r="B84" s="55" t="s">
        <v>852</v>
      </c>
      <c r="C84" s="56"/>
      <c r="D84" s="55" t="s">
        <v>853</v>
      </c>
      <c r="E84" s="47" t="s">
        <v>11</v>
      </c>
      <c r="F84" s="55" t="s">
        <v>12</v>
      </c>
      <c r="G84" s="54"/>
      <c r="H84" s="9"/>
      <c r="I84" s="10"/>
      <c r="J84" s="9"/>
      <c r="K84" s="10"/>
    </row>
    <row r="85" ht="22.5" customHeight="1">
      <c r="A85" s="43"/>
      <c r="B85" s="53" t="s">
        <v>854</v>
      </c>
      <c r="C85" s="53" t="s">
        <v>855</v>
      </c>
      <c r="D85" s="53" t="s">
        <v>856</v>
      </c>
      <c r="E85" s="47" t="s">
        <v>11</v>
      </c>
      <c r="F85" s="53" t="s">
        <v>12</v>
      </c>
      <c r="G85" s="54"/>
      <c r="H85" s="9"/>
      <c r="I85" s="10"/>
      <c r="J85" s="9"/>
      <c r="K85" s="10"/>
    </row>
    <row r="86" ht="22.5" customHeight="1">
      <c r="A86" s="43"/>
      <c r="B86" s="55" t="s">
        <v>857</v>
      </c>
      <c r="C86" s="56"/>
      <c r="D86" s="55" t="s">
        <v>858</v>
      </c>
      <c r="E86" s="47" t="s">
        <v>11</v>
      </c>
      <c r="F86" s="55" t="s">
        <v>12</v>
      </c>
      <c r="G86" s="54"/>
      <c r="H86" s="9"/>
      <c r="I86" s="10"/>
      <c r="J86" s="9"/>
      <c r="K86" s="10"/>
    </row>
    <row r="87" ht="22.5" customHeight="1">
      <c r="A87" s="43"/>
      <c r="B87" s="53" t="s">
        <v>859</v>
      </c>
      <c r="C87" s="57"/>
      <c r="D87" s="53" t="s">
        <v>860</v>
      </c>
      <c r="E87" s="47" t="s">
        <v>11</v>
      </c>
      <c r="F87" s="53" t="s">
        <v>12</v>
      </c>
      <c r="G87" s="54"/>
      <c r="H87" s="9"/>
      <c r="I87" s="10"/>
      <c r="J87" s="9"/>
      <c r="K87" s="10"/>
    </row>
    <row r="88" ht="22.5" customHeight="1">
      <c r="A88" s="43"/>
      <c r="B88" s="55" t="s">
        <v>861</v>
      </c>
      <c r="C88" s="55" t="s">
        <v>862</v>
      </c>
      <c r="D88" s="55" t="s">
        <v>863</v>
      </c>
      <c r="E88" s="47" t="s">
        <v>11</v>
      </c>
      <c r="F88" s="55" t="s">
        <v>12</v>
      </c>
      <c r="G88" s="54"/>
      <c r="H88" s="9"/>
      <c r="I88" s="10"/>
      <c r="J88" s="9"/>
      <c r="K88" s="10"/>
    </row>
    <row r="89" ht="22.5" customHeight="1">
      <c r="A89" s="43"/>
      <c r="B89" s="53" t="s">
        <v>864</v>
      </c>
      <c r="C89" s="57"/>
      <c r="D89" s="53" t="s">
        <v>865</v>
      </c>
      <c r="E89" s="47" t="s">
        <v>11</v>
      </c>
      <c r="F89" s="53" t="s">
        <v>12</v>
      </c>
      <c r="G89" s="54"/>
      <c r="H89" s="9"/>
      <c r="I89" s="10"/>
      <c r="J89" s="9"/>
      <c r="K89" s="10"/>
    </row>
    <row r="90" ht="22.5" customHeight="1">
      <c r="A90" s="43"/>
      <c r="B90" s="55" t="s">
        <v>866</v>
      </c>
      <c r="C90" s="56"/>
      <c r="D90" s="55" t="s">
        <v>867</v>
      </c>
      <c r="E90" s="47" t="s">
        <v>11</v>
      </c>
      <c r="F90" s="55" t="s">
        <v>12</v>
      </c>
      <c r="G90" s="54"/>
      <c r="H90" s="9"/>
      <c r="I90" s="10"/>
      <c r="J90" s="9"/>
      <c r="K90" s="10"/>
    </row>
    <row r="91" ht="22.5" customHeight="1">
      <c r="A91" s="43"/>
      <c r="B91" s="53" t="s">
        <v>868</v>
      </c>
      <c r="C91" s="57"/>
      <c r="D91" s="53" t="s">
        <v>869</v>
      </c>
      <c r="E91" s="47" t="s">
        <v>11</v>
      </c>
      <c r="F91" s="53" t="s">
        <v>12</v>
      </c>
      <c r="G91" s="54"/>
      <c r="H91" s="9"/>
      <c r="I91" s="10"/>
      <c r="J91" s="9"/>
      <c r="K91" s="10"/>
    </row>
    <row r="92" ht="22.5" customHeight="1">
      <c r="A92" s="43"/>
      <c r="B92" s="55" t="s">
        <v>870</v>
      </c>
      <c r="C92" s="56"/>
      <c r="D92" s="55" t="s">
        <v>871</v>
      </c>
      <c r="E92" s="47" t="s">
        <v>11</v>
      </c>
      <c r="F92" s="55" t="s">
        <v>12</v>
      </c>
      <c r="G92" s="54"/>
      <c r="H92" s="9"/>
      <c r="I92" s="10"/>
      <c r="J92" s="9"/>
      <c r="K92" s="10"/>
    </row>
    <row r="93" ht="22.5" customHeight="1">
      <c r="A93" s="43"/>
      <c r="B93" s="53" t="s">
        <v>872</v>
      </c>
      <c r="C93" s="53" t="s">
        <v>873</v>
      </c>
      <c r="D93" s="53" t="s">
        <v>874</v>
      </c>
      <c r="E93" s="47" t="s">
        <v>11</v>
      </c>
      <c r="F93" s="53" t="s">
        <v>12</v>
      </c>
      <c r="G93" s="54"/>
      <c r="H93" s="9"/>
      <c r="I93" s="10"/>
      <c r="J93" s="9"/>
      <c r="K93" s="10"/>
    </row>
    <row r="94" ht="22.5" customHeight="1">
      <c r="A94" s="43"/>
      <c r="B94" s="55" t="s">
        <v>875</v>
      </c>
      <c r="C94" s="56"/>
      <c r="D94" s="55" t="s">
        <v>876</v>
      </c>
      <c r="E94" s="47" t="s">
        <v>11</v>
      </c>
      <c r="F94" s="55" t="s">
        <v>12</v>
      </c>
      <c r="G94" s="54"/>
      <c r="H94" s="9"/>
      <c r="I94" s="10"/>
      <c r="J94" s="9"/>
      <c r="K94" s="10"/>
    </row>
    <row r="95" ht="22.5" customHeight="1">
      <c r="A95" s="43"/>
      <c r="B95" s="53" t="s">
        <v>877</v>
      </c>
      <c r="C95" s="53" t="s">
        <v>878</v>
      </c>
      <c r="D95" s="53" t="s">
        <v>879</v>
      </c>
      <c r="E95" s="47" t="s">
        <v>11</v>
      </c>
      <c r="F95" s="53" t="s">
        <v>12</v>
      </c>
      <c r="G95" s="54"/>
      <c r="H95" s="9"/>
      <c r="I95" s="10"/>
      <c r="J95" s="9"/>
      <c r="K95" s="10"/>
    </row>
    <row r="96" ht="22.5" customHeight="1">
      <c r="A96" s="43"/>
      <c r="B96" s="55" t="s">
        <v>880</v>
      </c>
      <c r="C96" s="56"/>
      <c r="D96" s="55" t="s">
        <v>881</v>
      </c>
      <c r="E96" s="47" t="s">
        <v>11</v>
      </c>
      <c r="F96" s="55" t="s">
        <v>12</v>
      </c>
      <c r="G96" s="54"/>
      <c r="H96" s="9"/>
      <c r="I96" s="10"/>
      <c r="J96" s="9"/>
      <c r="K96" s="10"/>
    </row>
    <row r="97" ht="22.5" customHeight="1">
      <c r="A97" s="43"/>
      <c r="B97" s="53" t="s">
        <v>882</v>
      </c>
      <c r="C97" s="57"/>
      <c r="D97" s="53" t="s">
        <v>883</v>
      </c>
      <c r="E97" s="47" t="s">
        <v>11</v>
      </c>
      <c r="F97" s="53" t="s">
        <v>12</v>
      </c>
      <c r="G97" s="54"/>
      <c r="H97" s="9"/>
      <c r="I97" s="10"/>
      <c r="J97" s="9"/>
      <c r="K97" s="10"/>
    </row>
    <row r="98" ht="22.5" customHeight="1">
      <c r="A98" s="43"/>
      <c r="B98" s="55" t="s">
        <v>884</v>
      </c>
      <c r="C98" s="56"/>
      <c r="D98" s="55" t="s">
        <v>885</v>
      </c>
      <c r="E98" s="47" t="s">
        <v>11</v>
      </c>
      <c r="F98" s="55" t="s">
        <v>12</v>
      </c>
      <c r="G98" s="54"/>
      <c r="H98" s="9"/>
      <c r="I98" s="10"/>
      <c r="J98" s="9"/>
      <c r="K98" s="10"/>
    </row>
    <row r="99" ht="22.5" customHeight="1">
      <c r="A99" s="43"/>
      <c r="B99" s="53" t="s">
        <v>886</v>
      </c>
      <c r="C99" s="57"/>
      <c r="D99" s="53" t="s">
        <v>887</v>
      </c>
      <c r="E99" s="47" t="s">
        <v>11</v>
      </c>
      <c r="F99" s="53" t="s">
        <v>12</v>
      </c>
      <c r="G99" s="54"/>
      <c r="H99" s="9"/>
      <c r="I99" s="10"/>
      <c r="J99" s="9"/>
      <c r="K99" s="10"/>
    </row>
    <row r="100" ht="22.5" customHeight="1">
      <c r="A100" s="43"/>
      <c r="B100" s="55" t="s">
        <v>888</v>
      </c>
      <c r="C100" s="56"/>
      <c r="D100" s="55" t="s">
        <v>889</v>
      </c>
      <c r="E100" s="47" t="s">
        <v>11</v>
      </c>
      <c r="F100" s="55" t="s">
        <v>12</v>
      </c>
      <c r="G100" s="54"/>
      <c r="H100" s="9"/>
      <c r="I100" s="10"/>
      <c r="J100" s="9"/>
      <c r="K100" s="10"/>
    </row>
    <row r="101" ht="22.5" customHeight="1">
      <c r="A101" s="43"/>
      <c r="B101" s="53" t="s">
        <v>890</v>
      </c>
      <c r="C101" s="57"/>
      <c r="D101" s="53" t="s">
        <v>891</v>
      </c>
      <c r="E101" s="47" t="s">
        <v>11</v>
      </c>
      <c r="F101" s="53" t="s">
        <v>12</v>
      </c>
      <c r="G101" s="54"/>
      <c r="H101" s="9"/>
      <c r="I101" s="10"/>
      <c r="J101" s="9"/>
      <c r="K101" s="10"/>
    </row>
    <row r="102" ht="22.5" customHeight="1">
      <c r="A102" s="43"/>
      <c r="B102" s="55" t="s">
        <v>892</v>
      </c>
      <c r="C102" s="56"/>
      <c r="D102" s="55" t="s">
        <v>893</v>
      </c>
      <c r="E102" s="47" t="s">
        <v>11</v>
      </c>
      <c r="F102" s="55" t="s">
        <v>12</v>
      </c>
      <c r="G102" s="54"/>
      <c r="H102" s="9"/>
      <c r="I102" s="10"/>
      <c r="J102" s="9"/>
      <c r="K102" s="10"/>
    </row>
    <row r="103" ht="22.5" customHeight="1">
      <c r="A103" s="43"/>
      <c r="B103" s="53" t="s">
        <v>894</v>
      </c>
      <c r="C103" s="57"/>
      <c r="D103" s="53" t="s">
        <v>895</v>
      </c>
      <c r="E103" s="47" t="s">
        <v>11</v>
      </c>
      <c r="F103" s="53" t="s">
        <v>12</v>
      </c>
      <c r="G103" s="54"/>
      <c r="H103" s="9"/>
      <c r="I103" s="10"/>
      <c r="J103" s="9"/>
      <c r="K103" s="10"/>
    </row>
    <row r="104" ht="22.5" customHeight="1">
      <c r="A104" s="43"/>
      <c r="B104" s="55" t="s">
        <v>896</v>
      </c>
      <c r="C104" s="55" t="s">
        <v>897</v>
      </c>
      <c r="D104" s="55" t="s">
        <v>898</v>
      </c>
      <c r="E104" s="47" t="s">
        <v>11</v>
      </c>
      <c r="F104" s="55" t="s">
        <v>12</v>
      </c>
      <c r="G104" s="54"/>
      <c r="H104" s="9"/>
      <c r="I104" s="10"/>
      <c r="J104" s="9"/>
      <c r="K104" s="10"/>
    </row>
    <row r="105" ht="22.5" customHeight="1">
      <c r="A105" s="43"/>
      <c r="B105" s="53" t="s">
        <v>899</v>
      </c>
      <c r="C105" s="57"/>
      <c r="D105" s="53" t="s">
        <v>900</v>
      </c>
      <c r="E105" s="47" t="s">
        <v>11</v>
      </c>
      <c r="F105" s="53" t="s">
        <v>12</v>
      </c>
      <c r="G105" s="54"/>
      <c r="H105" s="9"/>
      <c r="I105" s="10"/>
      <c r="J105" s="9"/>
      <c r="K105" s="10"/>
    </row>
    <row r="106" ht="22.5" customHeight="1">
      <c r="A106" s="43"/>
      <c r="B106" s="58"/>
      <c r="C106" s="59"/>
      <c r="D106" s="58"/>
      <c r="E106" s="47"/>
      <c r="G106" s="54"/>
      <c r="H106" s="9"/>
      <c r="I106" s="10"/>
      <c r="J106" s="9"/>
      <c r="K106" s="10"/>
    </row>
    <row r="107" ht="22.5" customHeight="1">
      <c r="A107" s="43"/>
      <c r="B107" s="58"/>
      <c r="C107" s="59"/>
      <c r="D107" s="58"/>
      <c r="E107" s="47"/>
      <c r="G107" s="54"/>
      <c r="H107" s="9"/>
      <c r="I107" s="10"/>
      <c r="J107" s="9"/>
      <c r="K107" s="10"/>
    </row>
    <row r="108" ht="22.5" customHeight="1">
      <c r="A108" s="43"/>
      <c r="B108" s="58"/>
      <c r="C108" s="59"/>
      <c r="D108" s="58"/>
      <c r="E108" s="47"/>
      <c r="G108" s="54"/>
      <c r="H108" s="9"/>
      <c r="I108" s="10"/>
      <c r="J108" s="9"/>
      <c r="K108" s="10"/>
    </row>
    <row r="109" ht="22.5" customHeight="1">
      <c r="A109" s="43"/>
      <c r="B109" s="58"/>
      <c r="C109" s="59"/>
      <c r="D109" s="58"/>
      <c r="E109" s="47"/>
      <c r="G109" s="54"/>
      <c r="H109" s="9"/>
      <c r="I109" s="10"/>
      <c r="J109" s="9"/>
      <c r="K109" s="10"/>
    </row>
    <row r="110" ht="22.5" customHeight="1">
      <c r="A110" s="43"/>
      <c r="B110" s="58"/>
      <c r="C110" s="59"/>
      <c r="D110" s="58"/>
      <c r="E110" s="47"/>
      <c r="G110" s="54"/>
      <c r="H110" s="9"/>
      <c r="I110" s="10"/>
      <c r="J110" s="9"/>
      <c r="K110" s="10"/>
    </row>
    <row r="111" ht="22.5" customHeight="1">
      <c r="A111" s="43"/>
      <c r="B111" s="58"/>
      <c r="C111" s="59"/>
      <c r="D111" s="58"/>
      <c r="E111" s="47"/>
      <c r="G111" s="54"/>
      <c r="H111" s="9"/>
      <c r="I111" s="10"/>
      <c r="J111" s="9"/>
      <c r="K111" s="10"/>
    </row>
    <row r="112" ht="22.5" customHeight="1">
      <c r="A112" s="43"/>
      <c r="B112" s="58"/>
      <c r="C112" s="59"/>
      <c r="D112" s="58"/>
      <c r="E112" s="47"/>
      <c r="G112" s="54"/>
      <c r="H112" s="9"/>
      <c r="I112" s="10"/>
      <c r="J112" s="9"/>
      <c r="K112" s="10"/>
    </row>
    <row r="113" ht="22.5" customHeight="1">
      <c r="A113" s="43"/>
      <c r="B113" s="58"/>
      <c r="C113" s="59"/>
      <c r="D113" s="58"/>
      <c r="E113" s="47"/>
      <c r="G113" s="54"/>
      <c r="H113" s="9"/>
      <c r="I113" s="10"/>
      <c r="J113" s="9"/>
      <c r="K113" s="10"/>
    </row>
    <row r="114" ht="22.5" customHeight="1">
      <c r="A114" s="43"/>
      <c r="B114" s="58"/>
      <c r="C114" s="59"/>
      <c r="D114" s="58"/>
      <c r="E114" s="47"/>
      <c r="G114" s="54"/>
      <c r="H114" s="9"/>
      <c r="I114" s="10"/>
      <c r="J114" s="9"/>
      <c r="K114" s="10"/>
    </row>
    <row r="115" ht="22.5" customHeight="1">
      <c r="A115" s="43"/>
      <c r="B115" s="58"/>
      <c r="C115" s="59"/>
      <c r="D115" s="58"/>
      <c r="E115" s="47"/>
      <c r="G115" s="54"/>
      <c r="H115" s="9"/>
      <c r="I115" s="10"/>
      <c r="J115" s="9"/>
      <c r="K115" s="10"/>
    </row>
    <row r="116" ht="22.5" customHeight="1">
      <c r="A116" s="43"/>
      <c r="B116" s="58"/>
      <c r="C116" s="59"/>
      <c r="D116" s="58"/>
      <c r="E116" s="47"/>
      <c r="G116" s="54"/>
      <c r="H116" s="9"/>
      <c r="I116" s="10"/>
      <c r="J116" s="9"/>
      <c r="K116" s="10"/>
    </row>
    <row r="117" ht="22.5" customHeight="1">
      <c r="A117" s="43"/>
      <c r="B117" s="58"/>
      <c r="C117" s="59"/>
      <c r="D117" s="58"/>
      <c r="E117" s="47"/>
      <c r="G117" s="54"/>
      <c r="H117" s="9"/>
      <c r="I117" s="10"/>
      <c r="J117" s="9"/>
      <c r="K117" s="10"/>
    </row>
    <row r="118" ht="22.5" customHeight="1">
      <c r="A118" s="43"/>
      <c r="B118" s="58"/>
      <c r="C118" s="59"/>
      <c r="D118" s="58"/>
      <c r="E118" s="47"/>
      <c r="F118" s="55"/>
      <c r="G118" s="54"/>
      <c r="H118" s="9"/>
      <c r="I118" s="10"/>
      <c r="J118" s="9"/>
      <c r="K118" s="10"/>
    </row>
    <row r="119" ht="22.5" customHeight="1">
      <c r="A119" s="43"/>
      <c r="B119" s="58"/>
      <c r="C119" s="59"/>
      <c r="D119" s="58"/>
      <c r="E119" s="47"/>
      <c r="F119" s="53"/>
      <c r="G119" s="54"/>
      <c r="H119" s="9"/>
      <c r="I119" s="10"/>
      <c r="J119" s="9"/>
      <c r="K119" s="10"/>
    </row>
    <row r="120" ht="22.5" customHeight="1">
      <c r="A120" s="43"/>
      <c r="B120" s="58"/>
      <c r="C120" s="59"/>
      <c r="D120" s="58"/>
      <c r="E120" s="47"/>
      <c r="F120" s="55"/>
      <c r="G120" s="54"/>
      <c r="H120" s="9"/>
      <c r="I120" s="10"/>
      <c r="J120" s="9"/>
      <c r="K120" s="10"/>
    </row>
    <row r="121" ht="22.5" customHeight="1">
      <c r="A121" s="43"/>
      <c r="B121" s="58"/>
      <c r="C121" s="59"/>
      <c r="D121" s="58"/>
      <c r="E121" s="47"/>
      <c r="F121" s="53"/>
      <c r="G121" s="54"/>
      <c r="H121" s="9"/>
      <c r="I121" s="10"/>
      <c r="J121" s="9"/>
      <c r="K121" s="10"/>
    </row>
    <row r="122" ht="22.5" customHeight="1">
      <c r="A122" s="43"/>
      <c r="B122" s="58"/>
      <c r="C122" s="59"/>
      <c r="D122" s="58"/>
      <c r="E122" s="47"/>
      <c r="F122" s="55"/>
      <c r="G122" s="54"/>
      <c r="H122" s="9"/>
      <c r="I122" s="10"/>
      <c r="J122" s="9"/>
      <c r="K122" s="10"/>
    </row>
    <row r="123" ht="22.5" customHeight="1">
      <c r="A123" s="43"/>
      <c r="B123" s="58"/>
      <c r="C123" s="59"/>
      <c r="D123" s="58"/>
      <c r="E123" s="47"/>
      <c r="F123" s="53"/>
      <c r="G123" s="54"/>
      <c r="H123" s="9"/>
      <c r="I123" s="10"/>
      <c r="J123" s="9"/>
      <c r="K123" s="10"/>
    </row>
    <row r="124" ht="22.5" customHeight="1">
      <c r="A124" s="43"/>
      <c r="B124" s="58"/>
      <c r="C124" s="59"/>
      <c r="D124" s="58"/>
      <c r="E124" s="47"/>
      <c r="F124" s="55"/>
      <c r="G124" s="54"/>
      <c r="H124" s="9"/>
      <c r="I124" s="10"/>
      <c r="J124" s="9"/>
      <c r="K124" s="10"/>
    </row>
    <row r="125" ht="22.5" customHeight="1">
      <c r="A125" s="43"/>
      <c r="B125" s="58"/>
      <c r="C125" s="59"/>
      <c r="D125" s="58"/>
      <c r="E125" s="47"/>
      <c r="F125" s="53"/>
      <c r="G125" s="54"/>
      <c r="H125" s="9"/>
      <c r="I125" s="10"/>
      <c r="J125" s="9"/>
      <c r="K125" s="10"/>
    </row>
    <row r="126" ht="22.5" customHeight="1">
      <c r="A126" s="43"/>
      <c r="B126" s="58"/>
      <c r="C126" s="59"/>
      <c r="D126" s="58"/>
      <c r="E126" s="47"/>
      <c r="F126" s="55"/>
      <c r="G126" s="54"/>
      <c r="H126" s="9"/>
      <c r="I126" s="10"/>
      <c r="J126" s="9"/>
      <c r="K126" s="10"/>
    </row>
    <row r="127" ht="22.5" customHeight="1">
      <c r="A127" s="43"/>
      <c r="B127" s="58"/>
      <c r="C127" s="59"/>
      <c r="D127" s="58"/>
      <c r="E127" s="47"/>
      <c r="F127" s="53"/>
      <c r="G127" s="54"/>
      <c r="H127" s="9"/>
      <c r="I127" s="10"/>
      <c r="J127" s="9"/>
      <c r="K127" s="10"/>
    </row>
    <row r="128" ht="22.5" customHeight="1">
      <c r="A128" s="43"/>
      <c r="B128" s="58"/>
      <c r="C128" s="59"/>
      <c r="D128" s="58"/>
      <c r="E128" s="47"/>
      <c r="F128" s="55"/>
      <c r="G128" s="54"/>
      <c r="H128" s="9"/>
      <c r="I128" s="10"/>
      <c r="J128" s="9"/>
      <c r="K128" s="10"/>
    </row>
    <row r="129" ht="22.5" customHeight="1">
      <c r="A129" s="43"/>
      <c r="B129" s="58"/>
      <c r="C129" s="59"/>
      <c r="D129" s="58"/>
      <c r="E129" s="47"/>
      <c r="F129" s="53"/>
      <c r="G129" s="54"/>
      <c r="H129" s="9"/>
      <c r="I129" s="10"/>
      <c r="J129" s="9"/>
      <c r="K129" s="10"/>
    </row>
    <row r="130" ht="22.5" customHeight="1">
      <c r="A130" s="43"/>
      <c r="B130" s="58"/>
      <c r="C130" s="59"/>
      <c r="D130" s="58"/>
      <c r="E130" s="47"/>
      <c r="F130" s="55"/>
      <c r="G130" s="54"/>
      <c r="H130" s="9"/>
      <c r="I130" s="10"/>
      <c r="J130" s="9"/>
      <c r="K130" s="10"/>
    </row>
    <row r="131" ht="22.5" customHeight="1">
      <c r="A131" s="43"/>
      <c r="B131" s="58"/>
      <c r="C131" s="59"/>
      <c r="D131" s="58"/>
      <c r="E131" s="47"/>
      <c r="F131" s="53"/>
      <c r="G131" s="54"/>
      <c r="H131" s="9"/>
      <c r="I131" s="10"/>
      <c r="J131" s="9"/>
      <c r="K131" s="10"/>
    </row>
    <row r="132" ht="22.5" customHeight="1">
      <c r="A132" s="43"/>
      <c r="B132" s="58"/>
      <c r="C132" s="59"/>
      <c r="D132" s="58"/>
      <c r="E132" s="47"/>
      <c r="F132" s="55"/>
      <c r="G132" s="54"/>
      <c r="H132" s="9"/>
      <c r="I132" s="10"/>
      <c r="J132" s="9"/>
      <c r="K132" s="10"/>
    </row>
    <row r="133" ht="22.5" customHeight="1">
      <c r="A133" s="43"/>
      <c r="B133" s="58"/>
      <c r="C133" s="59"/>
      <c r="D133" s="58"/>
      <c r="E133" s="47"/>
      <c r="F133" s="53"/>
      <c r="G133" s="54"/>
      <c r="H133" s="9"/>
      <c r="I133" s="10"/>
      <c r="J133" s="9"/>
      <c r="K133" s="10"/>
    </row>
    <row r="134" ht="22.5" customHeight="1">
      <c r="A134" s="43"/>
      <c r="B134" s="58"/>
      <c r="C134" s="59"/>
      <c r="D134" s="58"/>
      <c r="E134" s="47"/>
      <c r="F134" s="55"/>
      <c r="G134" s="54"/>
      <c r="H134" s="9"/>
      <c r="I134" s="10"/>
      <c r="J134" s="9"/>
      <c r="K134" s="10"/>
    </row>
    <row r="135" ht="22.5" customHeight="1">
      <c r="A135" s="43"/>
      <c r="B135" s="58"/>
      <c r="C135" s="59"/>
      <c r="D135" s="58"/>
      <c r="E135" s="47"/>
      <c r="F135" s="53"/>
      <c r="G135" s="54"/>
      <c r="H135" s="9"/>
      <c r="I135" s="10"/>
      <c r="J135" s="9"/>
      <c r="K135" s="10"/>
    </row>
    <row r="136" ht="22.5" customHeight="1">
      <c r="A136" s="43"/>
      <c r="B136" s="58"/>
      <c r="C136" s="59"/>
      <c r="D136" s="58"/>
      <c r="E136" s="47"/>
      <c r="F136" s="55"/>
      <c r="G136" s="54"/>
      <c r="H136" s="9"/>
      <c r="I136" s="10"/>
      <c r="J136" s="9"/>
      <c r="K136" s="10"/>
    </row>
    <row r="137" ht="22.5" customHeight="1">
      <c r="A137" s="43"/>
      <c r="B137" s="58"/>
      <c r="C137" s="59"/>
      <c r="D137" s="58"/>
      <c r="E137" s="47"/>
      <c r="F137" s="53"/>
      <c r="G137" s="54"/>
      <c r="H137" s="9"/>
      <c r="I137" s="10"/>
      <c r="J137" s="9"/>
      <c r="K137" s="10"/>
    </row>
    <row r="138" ht="22.5" customHeight="1">
      <c r="A138" s="43"/>
      <c r="B138" s="58"/>
      <c r="C138" s="59"/>
      <c r="D138" s="58"/>
      <c r="E138" s="47"/>
      <c r="F138" s="55"/>
      <c r="G138" s="54"/>
      <c r="H138" s="9"/>
      <c r="I138" s="10"/>
      <c r="J138" s="9"/>
      <c r="K138" s="10"/>
    </row>
    <row r="139" ht="22.5" customHeight="1">
      <c r="A139" s="43"/>
      <c r="B139" s="58"/>
      <c r="C139" s="59"/>
      <c r="D139" s="58"/>
      <c r="E139" s="47"/>
      <c r="F139" s="53"/>
      <c r="G139" s="54"/>
      <c r="H139" s="9"/>
      <c r="I139" s="10"/>
      <c r="J139" s="9"/>
      <c r="K139" s="10"/>
    </row>
    <row r="140" ht="22.5" customHeight="1">
      <c r="A140" s="43"/>
      <c r="B140" s="58"/>
      <c r="C140" s="59"/>
      <c r="D140" s="58"/>
      <c r="E140" s="47"/>
      <c r="F140" s="55"/>
      <c r="G140" s="54"/>
      <c r="H140" s="9"/>
      <c r="I140" s="10"/>
      <c r="J140" s="9"/>
      <c r="K140" s="10"/>
    </row>
    <row r="141" ht="22.5" customHeight="1">
      <c r="A141" s="43"/>
      <c r="B141" s="58"/>
      <c r="C141" s="59"/>
      <c r="D141" s="58"/>
      <c r="E141" s="47"/>
      <c r="F141" s="53"/>
      <c r="G141" s="54"/>
      <c r="H141" s="9"/>
      <c r="I141" s="10"/>
      <c r="J141" s="9"/>
      <c r="K141" s="10"/>
    </row>
    <row r="142" ht="22.5" customHeight="1">
      <c r="A142" s="43"/>
      <c r="B142" s="58"/>
      <c r="C142" s="59"/>
      <c r="D142" s="58"/>
      <c r="E142" s="47"/>
      <c r="F142" s="55"/>
      <c r="G142" s="54"/>
      <c r="H142" s="9"/>
      <c r="I142" s="10"/>
      <c r="J142" s="9"/>
      <c r="K142" s="10"/>
    </row>
    <row r="143" ht="22.5" customHeight="1">
      <c r="A143" s="43"/>
      <c r="B143" s="58"/>
      <c r="C143" s="59"/>
      <c r="D143" s="58"/>
      <c r="E143" s="47"/>
      <c r="F143" s="53"/>
      <c r="G143" s="54"/>
      <c r="H143" s="9"/>
      <c r="I143" s="10"/>
      <c r="J143" s="9"/>
      <c r="K143" s="10"/>
    </row>
    <row r="144" ht="22.5" customHeight="1">
      <c r="A144" s="43"/>
      <c r="B144" s="58"/>
      <c r="C144" s="59"/>
      <c r="D144" s="58"/>
      <c r="E144" s="47"/>
      <c r="F144" s="55"/>
      <c r="G144" s="54"/>
      <c r="H144" s="9"/>
      <c r="I144" s="10"/>
      <c r="J144" s="9"/>
      <c r="K144" s="10"/>
    </row>
    <row r="145" ht="22.5" customHeight="1">
      <c r="A145" s="43"/>
      <c r="B145" s="58"/>
      <c r="C145" s="59"/>
      <c r="D145" s="58"/>
      <c r="E145" s="47"/>
      <c r="F145" s="53"/>
      <c r="G145" s="54"/>
      <c r="H145" s="9"/>
      <c r="I145" s="10"/>
      <c r="J145" s="9"/>
      <c r="K145" s="10"/>
    </row>
    <row r="146" ht="22.5" customHeight="1">
      <c r="A146" s="43"/>
      <c r="B146" s="58"/>
      <c r="C146" s="59"/>
      <c r="D146" s="58"/>
      <c r="E146" s="47"/>
      <c r="F146" s="55"/>
      <c r="G146" s="54"/>
      <c r="H146" s="9"/>
      <c r="I146" s="10"/>
      <c r="J146" s="9"/>
      <c r="K146" s="10"/>
    </row>
    <row r="147" ht="22.5" customHeight="1">
      <c r="A147" s="43"/>
      <c r="B147" s="58"/>
      <c r="C147" s="59"/>
      <c r="D147" s="58"/>
      <c r="E147" s="47"/>
      <c r="F147" s="60"/>
      <c r="G147" s="54"/>
      <c r="H147" s="9"/>
      <c r="I147" s="10"/>
      <c r="J147" s="9"/>
      <c r="K147" s="10"/>
    </row>
    <row r="148" ht="22.5" customHeight="1">
      <c r="A148" s="43"/>
      <c r="B148" s="58"/>
      <c r="C148" s="59"/>
      <c r="D148" s="58"/>
      <c r="E148" s="47"/>
      <c r="F148" s="60"/>
      <c r="G148" s="54"/>
      <c r="H148" s="9"/>
      <c r="I148" s="10"/>
      <c r="J148" s="9"/>
      <c r="K148" s="10"/>
    </row>
    <row r="149" ht="22.5" customHeight="1">
      <c r="A149" s="43"/>
      <c r="B149" s="58"/>
      <c r="C149" s="59"/>
      <c r="D149" s="58"/>
      <c r="E149" s="47"/>
      <c r="F149" s="60"/>
      <c r="G149" s="54"/>
      <c r="H149" s="9"/>
      <c r="I149" s="10"/>
      <c r="J149" s="9"/>
      <c r="K149" s="10"/>
    </row>
    <row r="150" ht="22.5" customHeight="1">
      <c r="A150" s="43"/>
      <c r="B150" s="58"/>
      <c r="C150" s="59"/>
      <c r="D150" s="58"/>
      <c r="E150" s="47"/>
      <c r="F150" s="60"/>
      <c r="G150" s="54"/>
      <c r="H150" s="9"/>
      <c r="I150" s="10"/>
      <c r="J150" s="9"/>
      <c r="K150" s="10"/>
    </row>
    <row r="151" ht="22.5" customHeight="1">
      <c r="A151" s="43"/>
      <c r="B151" s="58"/>
      <c r="C151" s="59"/>
      <c r="D151" s="58"/>
      <c r="E151" s="47"/>
      <c r="F151" s="60"/>
      <c r="G151" s="54"/>
      <c r="H151" s="9"/>
      <c r="I151" s="10"/>
      <c r="J151" s="9"/>
      <c r="K151" s="10"/>
    </row>
    <row r="152" ht="22.5" customHeight="1">
      <c r="A152" s="43"/>
      <c r="B152" s="58"/>
      <c r="C152" s="59"/>
      <c r="D152" s="58"/>
      <c r="E152" s="47"/>
      <c r="F152" s="60"/>
      <c r="G152" s="54"/>
      <c r="H152" s="9"/>
      <c r="I152" s="10"/>
      <c r="J152" s="9"/>
      <c r="K152" s="10"/>
    </row>
    <row r="153" ht="22.5" customHeight="1">
      <c r="A153" s="43"/>
      <c r="B153" s="58"/>
      <c r="C153" s="59"/>
      <c r="D153" s="58"/>
      <c r="E153" s="47"/>
      <c r="F153" s="60"/>
      <c r="G153" s="54"/>
      <c r="H153" s="9"/>
      <c r="I153" s="10"/>
      <c r="J153" s="9"/>
      <c r="K153" s="10"/>
    </row>
    <row r="154" ht="22.5" customHeight="1">
      <c r="A154" s="43"/>
      <c r="B154" s="58"/>
      <c r="C154" s="59"/>
      <c r="D154" s="58"/>
      <c r="E154" s="47"/>
      <c r="F154" s="60"/>
      <c r="G154" s="54"/>
      <c r="H154" s="9"/>
      <c r="I154" s="10"/>
      <c r="J154" s="9"/>
      <c r="K154" s="10"/>
    </row>
    <row r="155" ht="22.5" customHeight="1">
      <c r="A155" s="43"/>
      <c r="B155" s="58"/>
      <c r="C155" s="59"/>
      <c r="D155" s="58"/>
      <c r="E155" s="47"/>
      <c r="F155" s="60"/>
      <c r="G155" s="54"/>
      <c r="H155" s="9"/>
      <c r="I155" s="10"/>
      <c r="J155" s="9"/>
      <c r="K155" s="10"/>
    </row>
    <row r="156" ht="22.5" customHeight="1">
      <c r="A156" s="43"/>
      <c r="B156" s="58"/>
      <c r="C156" s="59"/>
      <c r="D156" s="58"/>
      <c r="E156" s="47"/>
      <c r="F156" s="60"/>
      <c r="G156" s="54"/>
      <c r="H156" s="9"/>
      <c r="I156" s="10"/>
      <c r="J156" s="9"/>
      <c r="K156" s="10"/>
    </row>
    <row r="157" ht="22.5" customHeight="1">
      <c r="A157" s="43"/>
      <c r="B157" s="58"/>
      <c r="C157" s="59"/>
      <c r="D157" s="58"/>
      <c r="E157" s="47"/>
      <c r="F157" s="60"/>
      <c r="G157" s="10"/>
      <c r="H157" s="9"/>
      <c r="I157" s="10"/>
      <c r="J157" s="9"/>
      <c r="K157" s="10"/>
    </row>
    <row r="158" ht="22.5" customHeight="1">
      <c r="A158" s="43"/>
      <c r="B158" s="58"/>
      <c r="C158" s="59"/>
      <c r="D158" s="58"/>
      <c r="E158" s="47"/>
      <c r="F158" s="60"/>
      <c r="G158" s="10"/>
      <c r="H158" s="9"/>
      <c r="I158" s="10"/>
      <c r="J158" s="9"/>
      <c r="K158" s="10"/>
    </row>
    <row r="159" ht="22.5" customHeight="1">
      <c r="A159" s="43"/>
      <c r="B159" s="58"/>
      <c r="C159" s="59"/>
      <c r="D159" s="58"/>
      <c r="E159" s="47"/>
      <c r="F159" s="60"/>
      <c r="G159" s="10"/>
      <c r="H159" s="9"/>
      <c r="I159" s="10"/>
      <c r="J159" s="9"/>
      <c r="K159" s="10"/>
    </row>
    <row r="160" ht="22.5" customHeight="1">
      <c r="A160" s="43"/>
      <c r="B160" s="58"/>
      <c r="C160" s="59"/>
      <c r="D160" s="58"/>
      <c r="E160" s="47"/>
      <c r="F160" s="60"/>
      <c r="G160" s="10"/>
      <c r="H160" s="9"/>
      <c r="I160" s="10"/>
      <c r="J160" s="9"/>
      <c r="K160" s="10"/>
    </row>
    <row r="161" ht="22.5" customHeight="1">
      <c r="A161" s="43"/>
      <c r="B161" s="58"/>
      <c r="C161" s="59"/>
      <c r="D161" s="58"/>
      <c r="E161" s="47"/>
      <c r="F161" s="60"/>
      <c r="G161" s="10"/>
      <c r="H161" s="9"/>
      <c r="I161" s="10"/>
      <c r="J161" s="9"/>
      <c r="K161" s="10"/>
    </row>
    <row r="162" ht="22.5" customHeight="1">
      <c r="A162" s="43"/>
      <c r="B162" s="58"/>
      <c r="C162" s="59"/>
      <c r="D162" s="58"/>
      <c r="E162" s="47"/>
      <c r="F162" s="60"/>
      <c r="G162" s="10"/>
      <c r="H162" s="9"/>
      <c r="I162" s="10"/>
      <c r="J162" s="9"/>
      <c r="K162" s="10"/>
    </row>
    <row r="163" ht="22.5" customHeight="1">
      <c r="A163" s="43"/>
      <c r="B163" s="58"/>
      <c r="C163" s="59"/>
      <c r="D163" s="58"/>
      <c r="E163" s="47"/>
      <c r="F163" s="60"/>
      <c r="G163" s="10"/>
      <c r="H163" s="9"/>
      <c r="I163" s="10"/>
      <c r="J163" s="9"/>
      <c r="K163" s="10"/>
    </row>
    <row r="164" ht="22.5" customHeight="1">
      <c r="A164" s="43"/>
      <c r="B164" s="58"/>
      <c r="C164" s="59"/>
      <c r="D164" s="58"/>
      <c r="E164" s="47"/>
      <c r="F164" s="60"/>
      <c r="G164" s="10"/>
      <c r="H164" s="9"/>
      <c r="I164" s="10"/>
      <c r="J164" s="9"/>
      <c r="K164" s="10"/>
    </row>
    <row r="165" ht="22.5" customHeight="1">
      <c r="A165" s="43"/>
      <c r="B165" s="58"/>
      <c r="C165" s="59"/>
      <c r="D165" s="58"/>
      <c r="E165" s="47"/>
      <c r="F165" s="60"/>
      <c r="G165" s="10"/>
      <c r="H165" s="9"/>
      <c r="I165" s="10"/>
      <c r="J165" s="9"/>
      <c r="K165" s="10"/>
    </row>
    <row r="166" ht="22.5" customHeight="1">
      <c r="A166" s="43"/>
      <c r="B166" s="58"/>
      <c r="C166" s="59"/>
      <c r="D166" s="58"/>
      <c r="E166" s="47"/>
      <c r="F166" s="60"/>
      <c r="G166" s="10"/>
      <c r="H166" s="9"/>
      <c r="I166" s="10"/>
      <c r="J166" s="9"/>
      <c r="K166" s="10"/>
    </row>
    <row r="167" ht="22.5" customHeight="1">
      <c r="A167" s="43"/>
      <c r="B167" s="58"/>
      <c r="C167" s="59"/>
      <c r="D167" s="58"/>
      <c r="E167" s="47"/>
      <c r="F167" s="60"/>
      <c r="G167" s="10"/>
      <c r="H167" s="9"/>
      <c r="I167" s="10"/>
      <c r="J167" s="9"/>
      <c r="K167" s="10"/>
    </row>
    <row r="168" ht="22.5" customHeight="1">
      <c r="A168" s="43"/>
      <c r="B168" s="58"/>
      <c r="C168" s="59"/>
      <c r="D168" s="58"/>
      <c r="E168" s="47"/>
      <c r="F168" s="60"/>
      <c r="G168" s="10"/>
      <c r="H168" s="9"/>
      <c r="I168" s="10"/>
      <c r="J168" s="9"/>
      <c r="K168" s="10"/>
    </row>
    <row r="169" ht="22.5" customHeight="1">
      <c r="A169" s="43"/>
      <c r="B169" s="58"/>
      <c r="C169" s="59"/>
      <c r="D169" s="58"/>
      <c r="E169" s="47"/>
      <c r="F169" s="60"/>
      <c r="G169" s="10"/>
      <c r="H169" s="9"/>
      <c r="I169" s="10"/>
      <c r="J169" s="9"/>
      <c r="K169" s="10"/>
    </row>
    <row r="170" ht="22.5" customHeight="1">
      <c r="A170" s="43"/>
      <c r="B170" s="58"/>
      <c r="C170" s="59"/>
      <c r="D170" s="58"/>
      <c r="E170" s="47"/>
      <c r="F170" s="60"/>
      <c r="G170" s="10"/>
      <c r="H170" s="9"/>
      <c r="I170" s="10"/>
      <c r="J170" s="9"/>
      <c r="K170" s="10"/>
    </row>
    <row r="171" ht="22.5" customHeight="1">
      <c r="A171" s="43"/>
      <c r="B171" s="58"/>
      <c r="C171" s="59"/>
      <c r="D171" s="58"/>
      <c r="E171" s="47"/>
      <c r="F171" s="60"/>
      <c r="G171" s="10"/>
      <c r="H171" s="9"/>
      <c r="I171" s="10"/>
      <c r="J171" s="9"/>
      <c r="K171" s="10"/>
    </row>
    <row r="172" ht="22.5" customHeight="1">
      <c r="A172" s="43"/>
      <c r="B172" s="58"/>
      <c r="C172" s="59"/>
      <c r="D172" s="58"/>
      <c r="E172" s="47"/>
      <c r="F172" s="60"/>
      <c r="G172" s="10"/>
      <c r="H172" s="9"/>
      <c r="I172" s="10"/>
      <c r="J172" s="9"/>
      <c r="K172" s="10"/>
    </row>
    <row r="173" ht="22.5" customHeight="1">
      <c r="A173" s="43"/>
      <c r="B173" s="58"/>
      <c r="C173" s="59"/>
      <c r="D173" s="58"/>
      <c r="E173" s="47"/>
      <c r="F173" s="60"/>
      <c r="G173" s="10"/>
      <c r="H173" s="9"/>
      <c r="I173" s="10"/>
      <c r="J173" s="9"/>
      <c r="K173" s="10"/>
    </row>
    <row r="174" ht="22.5" customHeight="1">
      <c r="A174" s="43"/>
      <c r="B174" s="58"/>
      <c r="C174" s="59"/>
      <c r="D174" s="58"/>
      <c r="E174" s="47"/>
      <c r="F174" s="60"/>
      <c r="G174" s="10"/>
      <c r="H174" s="9"/>
      <c r="I174" s="10"/>
      <c r="J174" s="9"/>
      <c r="K174" s="10"/>
    </row>
    <row r="175" ht="22.5" customHeight="1">
      <c r="A175" s="43"/>
      <c r="B175" s="58"/>
      <c r="C175" s="59"/>
      <c r="D175" s="58"/>
      <c r="E175" s="47"/>
      <c r="F175" s="60"/>
      <c r="G175" s="10"/>
      <c r="H175" s="9"/>
      <c r="I175" s="10"/>
      <c r="J175" s="9"/>
      <c r="K175" s="10"/>
    </row>
    <row r="176" ht="22.5" customHeight="1">
      <c r="A176" s="43"/>
      <c r="B176" s="58"/>
      <c r="C176" s="59"/>
      <c r="D176" s="58"/>
      <c r="E176" s="47"/>
      <c r="F176" s="60"/>
      <c r="G176" s="10"/>
      <c r="H176" s="9"/>
      <c r="I176" s="10"/>
      <c r="J176" s="9"/>
      <c r="K176" s="10"/>
    </row>
    <row r="177" ht="22.5" customHeight="1">
      <c r="A177" s="43"/>
      <c r="B177" s="58"/>
      <c r="C177" s="59"/>
      <c r="D177" s="58"/>
      <c r="E177" s="47"/>
      <c r="F177" s="60"/>
      <c r="G177" s="10"/>
      <c r="H177" s="9"/>
      <c r="I177" s="10"/>
      <c r="J177" s="9"/>
      <c r="K177" s="10"/>
    </row>
    <row r="178" ht="22.5" customHeight="1">
      <c r="A178" s="43"/>
      <c r="B178" s="58"/>
      <c r="C178" s="59"/>
      <c r="D178" s="58"/>
      <c r="E178" s="47"/>
      <c r="F178" s="60"/>
      <c r="G178" s="10"/>
      <c r="H178" s="9"/>
      <c r="I178" s="10"/>
      <c r="J178" s="9"/>
      <c r="K178" s="10"/>
    </row>
    <row r="179" ht="22.5" customHeight="1">
      <c r="A179" s="43"/>
      <c r="B179" s="58"/>
      <c r="C179" s="59"/>
      <c r="D179" s="58"/>
      <c r="E179" s="47"/>
      <c r="F179" s="60"/>
      <c r="G179" s="10"/>
      <c r="H179" s="9"/>
      <c r="I179" s="10"/>
      <c r="J179" s="9"/>
      <c r="K179" s="10"/>
    </row>
    <row r="180" ht="22.5" customHeight="1">
      <c r="A180" s="43"/>
      <c r="B180" s="58"/>
      <c r="C180" s="59"/>
      <c r="D180" s="58"/>
      <c r="E180" s="47"/>
      <c r="F180" s="60"/>
      <c r="G180" s="10"/>
      <c r="H180" s="9"/>
      <c r="I180" s="10"/>
      <c r="J180" s="9"/>
      <c r="K180" s="10"/>
    </row>
    <row r="181" ht="22.5" customHeight="1">
      <c r="A181" s="43"/>
      <c r="B181" s="58"/>
      <c r="C181" s="59"/>
      <c r="D181" s="58"/>
      <c r="E181" s="47"/>
      <c r="F181" s="60"/>
      <c r="G181" s="10"/>
      <c r="H181" s="9"/>
      <c r="I181" s="10"/>
      <c r="J181" s="9"/>
      <c r="K181" s="10"/>
    </row>
    <row r="182" ht="22.5" customHeight="1">
      <c r="A182" s="43"/>
      <c r="B182" s="58"/>
      <c r="C182" s="59"/>
      <c r="D182" s="58"/>
      <c r="E182" s="47"/>
      <c r="F182" s="60"/>
      <c r="G182" s="10"/>
      <c r="H182" s="9"/>
      <c r="I182" s="10"/>
      <c r="J182" s="9"/>
      <c r="K182" s="10"/>
    </row>
    <row r="183" ht="22.5" customHeight="1">
      <c r="A183" s="43"/>
      <c r="B183" s="58"/>
      <c r="C183" s="59"/>
      <c r="D183" s="58"/>
      <c r="E183" s="47"/>
      <c r="F183" s="60"/>
      <c r="G183" s="10"/>
      <c r="H183" s="9"/>
      <c r="I183" s="10"/>
      <c r="J183" s="9"/>
      <c r="K183" s="10"/>
    </row>
    <row r="184" ht="22.5" customHeight="1">
      <c r="A184" s="43"/>
      <c r="B184" s="58"/>
      <c r="C184" s="59"/>
      <c r="D184" s="58"/>
      <c r="E184" s="47"/>
      <c r="F184" s="60"/>
      <c r="G184" s="10"/>
      <c r="H184" s="9"/>
      <c r="I184" s="10"/>
      <c r="J184" s="9"/>
      <c r="K184" s="10"/>
    </row>
    <row r="185" ht="22.5" customHeight="1">
      <c r="A185" s="43"/>
      <c r="B185" s="58"/>
      <c r="C185" s="59"/>
      <c r="D185" s="58"/>
      <c r="E185" s="47"/>
      <c r="F185" s="60"/>
      <c r="G185" s="10"/>
      <c r="H185" s="9"/>
      <c r="I185" s="10"/>
      <c r="J185" s="9"/>
      <c r="K185" s="10"/>
    </row>
    <row r="186" ht="22.5" customHeight="1">
      <c r="A186" s="43"/>
      <c r="B186" s="58"/>
      <c r="C186" s="59"/>
      <c r="D186" s="58"/>
      <c r="E186" s="47"/>
      <c r="F186" s="60"/>
      <c r="G186" s="10"/>
      <c r="H186" s="9"/>
      <c r="I186" s="10"/>
      <c r="J186" s="9"/>
      <c r="K186" s="10"/>
    </row>
    <row r="187" ht="22.5" customHeight="1">
      <c r="A187" s="43"/>
      <c r="B187" s="58"/>
      <c r="C187" s="59"/>
      <c r="D187" s="58"/>
      <c r="E187" s="47"/>
      <c r="F187" s="60"/>
      <c r="G187" s="10"/>
      <c r="H187" s="9"/>
      <c r="I187" s="10"/>
      <c r="J187" s="9"/>
      <c r="K187" s="10"/>
    </row>
    <row r="188" ht="22.5" customHeight="1">
      <c r="A188" s="43"/>
      <c r="B188" s="58"/>
      <c r="C188" s="59"/>
      <c r="D188" s="58"/>
      <c r="E188" s="47"/>
      <c r="F188" s="60"/>
      <c r="G188" s="10"/>
      <c r="H188" s="9"/>
      <c r="I188" s="10"/>
      <c r="J188" s="9"/>
      <c r="K188" s="10"/>
    </row>
    <row r="189" ht="22.5" customHeight="1">
      <c r="A189" s="43"/>
      <c r="B189" s="58"/>
      <c r="C189" s="59"/>
      <c r="D189" s="58"/>
      <c r="E189" s="47"/>
      <c r="F189" s="60"/>
      <c r="G189" s="10"/>
      <c r="H189" s="9"/>
      <c r="I189" s="10"/>
      <c r="J189" s="9"/>
      <c r="K189" s="10"/>
    </row>
    <row r="190" ht="22.5" customHeight="1">
      <c r="A190" s="43"/>
      <c r="B190" s="58"/>
      <c r="C190" s="59"/>
      <c r="D190" s="58"/>
      <c r="E190" s="47"/>
      <c r="F190" s="60"/>
      <c r="G190" s="10"/>
      <c r="H190" s="9"/>
      <c r="I190" s="10"/>
      <c r="J190" s="9"/>
      <c r="K190" s="10"/>
    </row>
    <row r="191" ht="22.5" customHeight="1">
      <c r="A191" s="43"/>
      <c r="B191" s="58"/>
      <c r="C191" s="59"/>
      <c r="D191" s="58"/>
      <c r="E191" s="47"/>
      <c r="F191" s="60"/>
      <c r="G191" s="10"/>
      <c r="H191" s="9"/>
      <c r="I191" s="10"/>
      <c r="J191" s="9"/>
      <c r="K191" s="10"/>
    </row>
    <row r="192" ht="22.5" customHeight="1">
      <c r="A192" s="43"/>
      <c r="B192" s="58"/>
      <c r="C192" s="59"/>
      <c r="D192" s="58"/>
      <c r="E192" s="47"/>
      <c r="F192" s="60"/>
      <c r="G192" s="10"/>
      <c r="H192" s="9"/>
      <c r="I192" s="10"/>
      <c r="J192" s="9"/>
      <c r="K192" s="10"/>
    </row>
    <row r="193" ht="22.5" customHeight="1">
      <c r="A193" s="43"/>
      <c r="B193" s="58"/>
      <c r="C193" s="59"/>
      <c r="D193" s="58"/>
      <c r="E193" s="47"/>
      <c r="F193" s="60"/>
      <c r="G193" s="10"/>
      <c r="H193" s="9"/>
      <c r="I193" s="10"/>
      <c r="J193" s="9"/>
      <c r="K193" s="10"/>
    </row>
    <row r="194" ht="22.5" customHeight="1">
      <c r="A194" s="43"/>
      <c r="B194" s="58"/>
      <c r="C194" s="59"/>
      <c r="D194" s="58"/>
      <c r="E194" s="47"/>
      <c r="F194" s="60"/>
      <c r="G194" s="10"/>
      <c r="H194" s="9"/>
      <c r="I194" s="10"/>
      <c r="J194" s="9"/>
      <c r="K194" s="10"/>
    </row>
    <row r="195" ht="22.5" customHeight="1">
      <c r="A195" s="43"/>
      <c r="B195" s="58"/>
      <c r="C195" s="59"/>
      <c r="D195" s="58"/>
      <c r="E195" s="47"/>
      <c r="F195" s="60"/>
      <c r="G195" s="10"/>
      <c r="H195" s="9"/>
      <c r="I195" s="10"/>
      <c r="J195" s="9"/>
      <c r="K195" s="10"/>
    </row>
    <row r="196" ht="22.5" customHeight="1">
      <c r="A196" s="43"/>
      <c r="B196" s="58"/>
      <c r="C196" s="59"/>
      <c r="D196" s="58"/>
      <c r="E196" s="47"/>
      <c r="F196" s="60"/>
      <c r="G196" s="10"/>
      <c r="H196" s="9"/>
      <c r="I196" s="10"/>
      <c r="J196" s="9"/>
      <c r="K196" s="10"/>
    </row>
    <row r="197" ht="22.5" customHeight="1">
      <c r="A197" s="43"/>
      <c r="B197" s="58"/>
      <c r="C197" s="59"/>
      <c r="D197" s="58"/>
      <c r="E197" s="47"/>
      <c r="F197" s="60"/>
      <c r="G197" s="10"/>
      <c r="H197" s="9"/>
      <c r="I197" s="10"/>
      <c r="J197" s="9"/>
      <c r="K197" s="10"/>
    </row>
    <row r="198" ht="22.5" customHeight="1">
      <c r="A198" s="43"/>
      <c r="B198" s="58"/>
      <c r="C198" s="59"/>
      <c r="D198" s="58"/>
      <c r="E198" s="47"/>
      <c r="F198" s="60"/>
      <c r="G198" s="10"/>
      <c r="H198" s="9"/>
      <c r="I198" s="10"/>
      <c r="J198" s="9"/>
      <c r="K198" s="10"/>
    </row>
    <row r="199" ht="22.5" customHeight="1">
      <c r="A199" s="43"/>
      <c r="B199" s="58"/>
      <c r="C199" s="59"/>
      <c r="D199" s="58"/>
      <c r="E199" s="47"/>
      <c r="F199" s="60"/>
      <c r="G199" s="10"/>
      <c r="H199" s="9"/>
      <c r="I199" s="10"/>
      <c r="J199" s="9"/>
      <c r="K199" s="10"/>
    </row>
    <row r="200" ht="22.5" customHeight="1">
      <c r="A200" s="43"/>
      <c r="B200" s="58"/>
      <c r="C200" s="59"/>
      <c r="D200" s="58"/>
      <c r="E200" s="47"/>
      <c r="F200" s="60"/>
      <c r="G200" s="10"/>
      <c r="H200" s="9"/>
      <c r="I200" s="10"/>
      <c r="J200" s="9"/>
      <c r="K200" s="10"/>
    </row>
    <row r="201" ht="22.5" customHeight="1">
      <c r="A201" s="43"/>
      <c r="B201" s="58"/>
      <c r="C201" s="59"/>
      <c r="D201" s="58"/>
      <c r="E201" s="47"/>
      <c r="F201" s="60"/>
      <c r="G201" s="10"/>
      <c r="H201" s="9"/>
      <c r="I201" s="10"/>
      <c r="J201" s="9"/>
      <c r="K201" s="10"/>
    </row>
    <row r="202" ht="22.5" customHeight="1">
      <c r="A202" s="43"/>
      <c r="B202" s="58"/>
      <c r="C202" s="59"/>
      <c r="D202" s="58"/>
      <c r="E202" s="47"/>
      <c r="F202" s="60"/>
      <c r="G202" s="10"/>
      <c r="H202" s="9"/>
      <c r="I202" s="10"/>
      <c r="J202" s="9"/>
      <c r="K202" s="10"/>
    </row>
    <row r="203" ht="22.5" customHeight="1">
      <c r="A203" s="43"/>
      <c r="B203" s="58"/>
      <c r="C203" s="59"/>
      <c r="D203" s="58"/>
      <c r="E203" s="47"/>
      <c r="F203" s="60"/>
      <c r="G203" s="10"/>
      <c r="H203" s="9"/>
      <c r="I203" s="10"/>
      <c r="J203" s="9"/>
      <c r="K203" s="10"/>
    </row>
    <row r="204" ht="22.5" customHeight="1">
      <c r="A204" s="43"/>
      <c r="B204" s="58"/>
      <c r="C204" s="59"/>
      <c r="D204" s="58"/>
      <c r="E204" s="47"/>
      <c r="F204" s="60"/>
      <c r="G204" s="10"/>
      <c r="H204" s="9"/>
      <c r="I204" s="10"/>
      <c r="J204" s="9"/>
      <c r="K204" s="10"/>
    </row>
    <row r="205" ht="22.5" customHeight="1">
      <c r="A205" s="43"/>
      <c r="B205" s="58"/>
      <c r="C205" s="59"/>
      <c r="D205" s="58"/>
      <c r="E205" s="47"/>
      <c r="F205" s="60"/>
      <c r="G205" s="10"/>
      <c r="H205" s="9"/>
      <c r="I205" s="10"/>
      <c r="J205" s="9"/>
      <c r="K205" s="10"/>
    </row>
    <row r="206" ht="22.5" customHeight="1">
      <c r="A206" s="43"/>
      <c r="B206" s="58"/>
      <c r="C206" s="59"/>
      <c r="D206" s="58"/>
      <c r="E206" s="47"/>
      <c r="F206" s="60"/>
      <c r="G206" s="10"/>
      <c r="H206" s="9"/>
      <c r="I206" s="10"/>
      <c r="J206" s="9"/>
      <c r="K206" s="10"/>
    </row>
    <row r="207" ht="22.5" customHeight="1">
      <c r="A207" s="43"/>
      <c r="B207" s="58"/>
      <c r="C207" s="59"/>
      <c r="D207" s="58"/>
      <c r="E207" s="47"/>
      <c r="F207" s="60"/>
      <c r="G207" s="10"/>
      <c r="H207" s="9"/>
      <c r="I207" s="10"/>
      <c r="J207" s="9"/>
      <c r="K207" s="10"/>
    </row>
    <row r="208" ht="22.5" customHeight="1">
      <c r="A208" s="43"/>
      <c r="B208" s="58"/>
      <c r="C208" s="59"/>
      <c r="D208" s="58"/>
      <c r="E208" s="47"/>
      <c r="F208" s="60"/>
      <c r="G208" s="10"/>
      <c r="H208" s="9"/>
      <c r="I208" s="10"/>
      <c r="J208" s="9"/>
      <c r="K208" s="10"/>
    </row>
    <row r="209" ht="22.5" customHeight="1">
      <c r="A209" s="43"/>
      <c r="B209" s="58"/>
      <c r="C209" s="59"/>
      <c r="D209" s="58"/>
      <c r="E209" s="47"/>
      <c r="F209" s="60"/>
      <c r="G209" s="10"/>
      <c r="H209" s="9"/>
      <c r="I209" s="10"/>
      <c r="J209" s="9"/>
      <c r="K209" s="10"/>
    </row>
    <row r="210" ht="22.5" customHeight="1">
      <c r="A210" s="43"/>
      <c r="B210" s="58"/>
      <c r="C210" s="59"/>
      <c r="D210" s="58"/>
      <c r="E210" s="47"/>
      <c r="F210" s="60"/>
      <c r="G210" s="10"/>
      <c r="H210" s="9"/>
      <c r="I210" s="10"/>
      <c r="J210" s="9"/>
      <c r="K210" s="10"/>
    </row>
    <row r="211" ht="22.5" customHeight="1">
      <c r="A211" s="43"/>
      <c r="B211" s="58"/>
      <c r="C211" s="59"/>
      <c r="D211" s="58"/>
      <c r="E211" s="47"/>
      <c r="F211" s="60"/>
      <c r="G211" s="10"/>
      <c r="H211" s="9"/>
      <c r="I211" s="10"/>
      <c r="J211" s="9"/>
      <c r="K211" s="10"/>
    </row>
    <row r="212" ht="22.5" customHeight="1">
      <c r="A212" s="43"/>
      <c r="B212" s="58"/>
      <c r="C212" s="59"/>
      <c r="D212" s="58"/>
      <c r="E212" s="47"/>
      <c r="F212" s="60"/>
      <c r="G212" s="10"/>
      <c r="H212" s="9"/>
      <c r="I212" s="10"/>
      <c r="J212" s="9"/>
      <c r="K212" s="10"/>
    </row>
    <row r="213" ht="22.5" customHeight="1">
      <c r="A213" s="43"/>
      <c r="B213" s="58"/>
      <c r="C213" s="59"/>
      <c r="D213" s="58"/>
      <c r="E213" s="47"/>
      <c r="F213" s="60"/>
      <c r="G213" s="10"/>
      <c r="H213" s="9"/>
      <c r="I213" s="10"/>
      <c r="J213" s="9"/>
      <c r="K213" s="10"/>
    </row>
    <row r="214" ht="22.5" customHeight="1">
      <c r="A214" s="43"/>
      <c r="B214" s="58"/>
      <c r="C214" s="59"/>
      <c r="D214" s="58"/>
      <c r="E214" s="47"/>
      <c r="F214" s="60"/>
      <c r="G214" s="10"/>
      <c r="H214" s="9"/>
      <c r="I214" s="10"/>
      <c r="J214" s="9"/>
      <c r="K214" s="10"/>
    </row>
    <row r="215" ht="22.5" customHeight="1">
      <c r="A215" s="43"/>
      <c r="B215" s="58"/>
      <c r="C215" s="59"/>
      <c r="D215" s="58"/>
      <c r="E215" s="47"/>
      <c r="F215" s="60"/>
      <c r="G215" s="10"/>
      <c r="H215" s="9"/>
      <c r="I215" s="10"/>
      <c r="J215" s="9"/>
      <c r="K215" s="10"/>
    </row>
    <row r="216" ht="22.5" customHeight="1">
      <c r="A216" s="43"/>
      <c r="B216" s="58"/>
      <c r="C216" s="59"/>
      <c r="D216" s="58"/>
      <c r="E216" s="47"/>
      <c r="F216" s="60"/>
      <c r="G216" s="10"/>
      <c r="H216" s="9"/>
      <c r="I216" s="10"/>
      <c r="J216" s="9"/>
      <c r="K216" s="10"/>
    </row>
    <row r="217" ht="22.5" customHeight="1">
      <c r="A217" s="43"/>
      <c r="B217" s="58"/>
      <c r="C217" s="59"/>
      <c r="D217" s="58"/>
      <c r="E217" s="47"/>
      <c r="F217" s="60"/>
      <c r="G217" s="10"/>
      <c r="H217" s="9"/>
      <c r="I217" s="10"/>
      <c r="J217" s="9"/>
      <c r="K217" s="10"/>
    </row>
    <row r="218" ht="22.5" customHeight="1">
      <c r="A218" s="43"/>
      <c r="B218" s="58"/>
      <c r="C218" s="59"/>
      <c r="D218" s="58"/>
      <c r="E218" s="47"/>
      <c r="F218" s="60"/>
      <c r="G218" s="10"/>
      <c r="H218" s="9"/>
      <c r="I218" s="10"/>
      <c r="J218" s="9"/>
      <c r="K218" s="10"/>
    </row>
    <row r="219" ht="22.5" customHeight="1">
      <c r="A219" s="43"/>
      <c r="B219" s="58"/>
      <c r="C219" s="59"/>
      <c r="D219" s="58"/>
      <c r="E219" s="47"/>
      <c r="F219" s="60"/>
      <c r="G219" s="10"/>
      <c r="H219" s="9"/>
      <c r="I219" s="10"/>
      <c r="J219" s="9"/>
      <c r="K219" s="10"/>
    </row>
    <row r="220" ht="22.5" customHeight="1">
      <c r="A220" s="43"/>
      <c r="B220" s="58"/>
      <c r="C220" s="59"/>
      <c r="D220" s="58"/>
      <c r="E220" s="47"/>
      <c r="F220" s="60"/>
      <c r="G220" s="10"/>
      <c r="H220" s="9"/>
      <c r="I220" s="10"/>
      <c r="J220" s="9"/>
      <c r="K220" s="10"/>
    </row>
    <row r="221" ht="22.5" customHeight="1">
      <c r="A221" s="43"/>
      <c r="B221" s="58"/>
      <c r="C221" s="59"/>
      <c r="D221" s="58"/>
      <c r="E221" s="47"/>
      <c r="F221" s="60"/>
      <c r="G221" s="10"/>
      <c r="H221" s="9"/>
      <c r="I221" s="10"/>
      <c r="J221" s="9"/>
      <c r="K221" s="10"/>
    </row>
    <row r="222" ht="22.5" customHeight="1">
      <c r="A222" s="43"/>
      <c r="B222" s="58"/>
      <c r="C222" s="59"/>
      <c r="D222" s="58"/>
      <c r="E222" s="47"/>
      <c r="F222" s="60"/>
      <c r="G222" s="10"/>
      <c r="H222" s="9"/>
      <c r="I222" s="10"/>
      <c r="J222" s="9"/>
      <c r="K222" s="10"/>
    </row>
    <row r="223" ht="22.5" customHeight="1">
      <c r="A223" s="43"/>
      <c r="B223" s="58"/>
      <c r="C223" s="59"/>
      <c r="D223" s="58"/>
      <c r="E223" s="47"/>
      <c r="F223" s="60"/>
      <c r="G223" s="10"/>
      <c r="H223" s="9"/>
      <c r="I223" s="10"/>
      <c r="J223" s="9"/>
      <c r="K223" s="10"/>
    </row>
    <row r="224" ht="22.5" customHeight="1">
      <c r="A224" s="43"/>
      <c r="B224" s="58"/>
      <c r="C224" s="59"/>
      <c r="D224" s="58"/>
      <c r="E224" s="47"/>
      <c r="F224" s="60"/>
      <c r="G224" s="10"/>
      <c r="H224" s="9"/>
      <c r="I224" s="10"/>
      <c r="J224" s="9"/>
      <c r="K224" s="10"/>
    </row>
    <row r="225" ht="22.5" customHeight="1">
      <c r="A225" s="43"/>
      <c r="B225" s="58"/>
      <c r="C225" s="59"/>
      <c r="D225" s="58"/>
      <c r="E225" s="47"/>
      <c r="F225" s="60"/>
      <c r="G225" s="10"/>
      <c r="H225" s="9"/>
      <c r="I225" s="10"/>
      <c r="J225" s="9"/>
      <c r="K225" s="10"/>
    </row>
    <row r="226" ht="22.5" customHeight="1">
      <c r="A226" s="43"/>
      <c r="B226" s="58"/>
      <c r="C226" s="59"/>
      <c r="D226" s="58"/>
      <c r="E226" s="47"/>
      <c r="F226" s="60"/>
      <c r="G226" s="10"/>
      <c r="H226" s="9"/>
      <c r="I226" s="10"/>
      <c r="J226" s="9"/>
      <c r="K226" s="10"/>
    </row>
    <row r="227" ht="22.5" customHeight="1">
      <c r="A227" s="43"/>
      <c r="B227" s="58"/>
      <c r="C227" s="59"/>
      <c r="D227" s="58"/>
      <c r="E227" s="47"/>
      <c r="F227" s="60"/>
      <c r="G227" s="10"/>
      <c r="H227" s="9"/>
      <c r="I227" s="10"/>
      <c r="J227" s="9"/>
      <c r="K227" s="10"/>
    </row>
    <row r="228" ht="22.5" customHeight="1">
      <c r="A228" s="43"/>
      <c r="B228" s="58"/>
      <c r="C228" s="59"/>
      <c r="D228" s="58"/>
      <c r="E228" s="47"/>
      <c r="F228" s="60"/>
      <c r="G228" s="10"/>
      <c r="H228" s="9"/>
      <c r="I228" s="10"/>
      <c r="J228" s="9"/>
      <c r="K228" s="10"/>
    </row>
    <row r="229" ht="22.5" customHeight="1">
      <c r="A229" s="43"/>
      <c r="B229" s="58"/>
      <c r="C229" s="59"/>
      <c r="D229" s="58"/>
      <c r="E229" s="47"/>
      <c r="F229" s="60"/>
      <c r="G229" s="10"/>
      <c r="H229" s="9"/>
      <c r="I229" s="10"/>
      <c r="J229" s="9"/>
      <c r="K229" s="10"/>
    </row>
    <row r="230" ht="22.5" customHeight="1">
      <c r="A230" s="43"/>
      <c r="B230" s="58"/>
      <c r="C230" s="59"/>
      <c r="D230" s="58"/>
      <c r="E230" s="47"/>
      <c r="F230" s="60"/>
      <c r="G230" s="10"/>
      <c r="H230" s="9"/>
      <c r="I230" s="10"/>
      <c r="J230" s="9"/>
      <c r="K230" s="10"/>
    </row>
    <row r="231" ht="22.5" customHeight="1">
      <c r="A231" s="43"/>
      <c r="B231" s="58"/>
      <c r="C231" s="59"/>
      <c r="D231" s="58"/>
      <c r="E231" s="47"/>
      <c r="F231" s="60"/>
      <c r="G231" s="10"/>
      <c r="H231" s="9"/>
      <c r="I231" s="10"/>
      <c r="J231" s="9"/>
      <c r="K231" s="10"/>
    </row>
    <row r="232" ht="22.5" customHeight="1">
      <c r="A232" s="43"/>
      <c r="B232" s="58"/>
      <c r="C232" s="59"/>
      <c r="D232" s="58"/>
      <c r="E232" s="47"/>
      <c r="F232" s="60"/>
      <c r="G232" s="10"/>
      <c r="H232" s="9"/>
      <c r="I232" s="10"/>
      <c r="J232" s="9"/>
      <c r="K232" s="10"/>
    </row>
    <row r="233" ht="22.5" customHeight="1">
      <c r="A233" s="43"/>
      <c r="B233" s="58"/>
      <c r="C233" s="59"/>
      <c r="D233" s="58"/>
      <c r="E233" s="47"/>
      <c r="F233" s="60"/>
      <c r="G233" s="10"/>
      <c r="H233" s="9"/>
      <c r="I233" s="10"/>
      <c r="J233" s="9"/>
      <c r="K233" s="10"/>
    </row>
    <row r="234" ht="22.5" customHeight="1">
      <c r="A234" s="43"/>
      <c r="B234" s="58"/>
      <c r="C234" s="59"/>
      <c r="D234" s="58"/>
      <c r="E234" s="47"/>
      <c r="F234" s="60"/>
      <c r="G234" s="10"/>
      <c r="H234" s="9"/>
      <c r="I234" s="10"/>
      <c r="J234" s="9"/>
      <c r="K234" s="10"/>
    </row>
    <row r="235" ht="22.5" customHeight="1">
      <c r="A235" s="43"/>
      <c r="B235" s="58"/>
      <c r="C235" s="59"/>
      <c r="D235" s="58"/>
      <c r="E235" s="47"/>
      <c r="F235" s="60"/>
      <c r="G235" s="10"/>
      <c r="H235" s="9"/>
      <c r="I235" s="10"/>
      <c r="J235" s="9"/>
      <c r="K235" s="10"/>
    </row>
    <row r="236" ht="22.5" customHeight="1">
      <c r="A236" s="43"/>
      <c r="B236" s="58"/>
      <c r="C236" s="59"/>
      <c r="D236" s="58"/>
      <c r="E236" s="47"/>
      <c r="F236" s="60"/>
      <c r="G236" s="10"/>
      <c r="H236" s="9"/>
      <c r="I236" s="10"/>
      <c r="J236" s="9"/>
      <c r="K236" s="10"/>
    </row>
    <row r="237" ht="22.5" customHeight="1">
      <c r="A237" s="43"/>
      <c r="B237" s="58"/>
      <c r="C237" s="59"/>
      <c r="D237" s="58"/>
      <c r="E237" s="47"/>
      <c r="F237" s="60"/>
      <c r="G237" s="10"/>
      <c r="H237" s="9"/>
      <c r="I237" s="10"/>
      <c r="J237" s="9"/>
      <c r="K237" s="10"/>
    </row>
    <row r="238" ht="22.5" customHeight="1">
      <c r="A238" s="43"/>
      <c r="B238" s="58"/>
      <c r="C238" s="59"/>
      <c r="D238" s="58"/>
      <c r="E238" s="47"/>
      <c r="F238" s="60"/>
      <c r="G238" s="10"/>
      <c r="H238" s="9"/>
      <c r="I238" s="10"/>
      <c r="J238" s="9"/>
      <c r="K238" s="10"/>
    </row>
    <row r="239" ht="22.5" customHeight="1">
      <c r="A239" s="43"/>
      <c r="B239" s="58"/>
      <c r="C239" s="59"/>
      <c r="D239" s="58"/>
      <c r="E239" s="47"/>
      <c r="F239" s="60"/>
      <c r="G239" s="10"/>
      <c r="H239" s="9"/>
      <c r="I239" s="10"/>
      <c r="J239" s="9"/>
      <c r="K239" s="10"/>
    </row>
    <row r="240" ht="22.5" customHeight="1">
      <c r="A240" s="43"/>
      <c r="B240" s="58"/>
      <c r="C240" s="59"/>
      <c r="D240" s="58"/>
      <c r="E240" s="47"/>
      <c r="F240" s="60"/>
      <c r="G240" s="10"/>
      <c r="H240" s="9"/>
      <c r="I240" s="10"/>
      <c r="J240" s="9"/>
      <c r="K240" s="10"/>
    </row>
    <row r="241" ht="22.5" customHeight="1">
      <c r="A241" s="43"/>
      <c r="B241" s="58"/>
      <c r="C241" s="59"/>
      <c r="D241" s="58"/>
      <c r="E241" s="47"/>
      <c r="F241" s="60"/>
      <c r="G241" s="10"/>
      <c r="H241" s="9"/>
      <c r="I241" s="10"/>
      <c r="J241" s="9"/>
      <c r="K241" s="10"/>
    </row>
    <row r="242" ht="22.5" customHeight="1">
      <c r="A242" s="43"/>
      <c r="B242" s="58"/>
      <c r="C242" s="59"/>
      <c r="D242" s="58"/>
      <c r="E242" s="47"/>
      <c r="F242" s="60"/>
      <c r="G242" s="10"/>
      <c r="H242" s="9"/>
      <c r="I242" s="10"/>
      <c r="J242" s="9"/>
      <c r="K242" s="10"/>
    </row>
    <row r="243" ht="22.5" customHeight="1">
      <c r="A243" s="43"/>
      <c r="B243" s="58"/>
      <c r="C243" s="59"/>
      <c r="D243" s="58"/>
      <c r="E243" s="47"/>
      <c r="F243" s="60"/>
      <c r="G243" s="10"/>
      <c r="H243" s="9"/>
      <c r="I243" s="10"/>
      <c r="J243" s="9"/>
      <c r="K243" s="10"/>
    </row>
    <row r="244" ht="22.5" customHeight="1">
      <c r="A244" s="43"/>
      <c r="B244" s="58"/>
      <c r="C244" s="59"/>
      <c r="D244" s="58"/>
      <c r="E244" s="47"/>
      <c r="F244" s="60"/>
      <c r="G244" s="10"/>
      <c r="H244" s="9"/>
      <c r="I244" s="10"/>
      <c r="J244" s="9"/>
      <c r="K244" s="10"/>
    </row>
    <row r="245" ht="22.5" customHeight="1">
      <c r="A245" s="43"/>
      <c r="B245" s="58"/>
      <c r="C245" s="59"/>
      <c r="D245" s="58"/>
      <c r="E245" s="47"/>
      <c r="F245" s="60"/>
      <c r="G245" s="10"/>
      <c r="H245" s="9"/>
      <c r="I245" s="10"/>
      <c r="J245" s="9"/>
      <c r="K245" s="10"/>
    </row>
    <row r="246" ht="22.5" customHeight="1">
      <c r="A246" s="43"/>
      <c r="B246" s="58"/>
      <c r="C246" s="59"/>
      <c r="D246" s="58"/>
      <c r="E246" s="47"/>
      <c r="F246" s="60"/>
      <c r="G246" s="10"/>
      <c r="H246" s="9"/>
      <c r="I246" s="10"/>
      <c r="J246" s="9"/>
      <c r="K246" s="10"/>
    </row>
    <row r="247" ht="22.5" customHeight="1">
      <c r="A247" s="43"/>
      <c r="B247" s="58"/>
      <c r="C247" s="59"/>
      <c r="D247" s="58"/>
      <c r="E247" s="47"/>
      <c r="F247" s="60"/>
      <c r="G247" s="10"/>
      <c r="H247" s="9"/>
      <c r="I247" s="10"/>
      <c r="J247" s="9"/>
      <c r="K247" s="10"/>
    </row>
    <row r="248" ht="22.5" customHeight="1">
      <c r="A248" s="43"/>
      <c r="B248" s="58"/>
      <c r="C248" s="59"/>
      <c r="D248" s="58"/>
      <c r="E248" s="47"/>
      <c r="F248" s="60"/>
      <c r="G248" s="10"/>
      <c r="H248" s="9"/>
      <c r="I248" s="10"/>
      <c r="J248" s="9"/>
      <c r="K248" s="10"/>
    </row>
    <row r="249" ht="22.5" customHeight="1">
      <c r="A249" s="43"/>
      <c r="B249" s="58"/>
      <c r="C249" s="59"/>
      <c r="D249" s="58"/>
      <c r="E249" s="47"/>
      <c r="F249" s="60"/>
      <c r="G249" s="10"/>
      <c r="H249" s="9"/>
      <c r="I249" s="10"/>
      <c r="J249" s="9"/>
      <c r="K249" s="10"/>
    </row>
    <row r="250" ht="22.5" customHeight="1">
      <c r="A250" s="43"/>
      <c r="B250" s="58"/>
      <c r="C250" s="59"/>
      <c r="D250" s="58"/>
      <c r="E250" s="47"/>
      <c r="F250" s="60"/>
      <c r="G250" s="10"/>
      <c r="H250" s="9"/>
      <c r="I250" s="10"/>
      <c r="J250" s="9"/>
      <c r="K250" s="10"/>
    </row>
    <row r="251" ht="22.5" customHeight="1">
      <c r="A251" s="43"/>
      <c r="B251" s="58"/>
      <c r="C251" s="59"/>
      <c r="D251" s="58"/>
      <c r="E251" s="47"/>
      <c r="F251" s="60"/>
      <c r="G251" s="10"/>
      <c r="H251" s="9"/>
      <c r="I251" s="10"/>
      <c r="J251" s="9"/>
      <c r="K251" s="10"/>
    </row>
    <row r="252" ht="22.5" customHeight="1">
      <c r="A252" s="43"/>
      <c r="B252" s="58"/>
      <c r="C252" s="59"/>
      <c r="D252" s="58"/>
      <c r="E252" s="47"/>
      <c r="F252" s="60"/>
      <c r="G252" s="10"/>
      <c r="H252" s="9"/>
      <c r="I252" s="10"/>
      <c r="J252" s="9"/>
      <c r="K252" s="10"/>
    </row>
    <row r="253" ht="22.5" customHeight="1">
      <c r="A253" s="43"/>
      <c r="B253" s="58"/>
      <c r="C253" s="59"/>
      <c r="D253" s="58"/>
      <c r="E253" s="47"/>
      <c r="F253" s="60"/>
      <c r="G253" s="10"/>
      <c r="H253" s="9"/>
      <c r="I253" s="10"/>
      <c r="J253" s="9"/>
      <c r="K253" s="10"/>
    </row>
    <row r="254" ht="22.5" customHeight="1">
      <c r="A254" s="43"/>
      <c r="B254" s="58"/>
      <c r="C254" s="59"/>
      <c r="D254" s="58"/>
      <c r="E254" s="47"/>
      <c r="F254" s="60"/>
      <c r="G254" s="10"/>
      <c r="H254" s="9"/>
      <c r="I254" s="10"/>
      <c r="J254" s="9"/>
      <c r="K254" s="10"/>
    </row>
    <row r="255" ht="22.5" customHeight="1">
      <c r="A255" s="43"/>
      <c r="B255" s="58"/>
      <c r="C255" s="59"/>
      <c r="D255" s="58"/>
      <c r="E255" s="47"/>
      <c r="F255" s="60"/>
      <c r="G255" s="10"/>
      <c r="H255" s="9"/>
      <c r="I255" s="10"/>
      <c r="J255" s="9"/>
      <c r="K255" s="10"/>
    </row>
    <row r="256" ht="22.5" customHeight="1">
      <c r="A256" s="43"/>
      <c r="B256" s="58"/>
      <c r="C256" s="59"/>
      <c r="D256" s="58"/>
      <c r="E256" s="47"/>
      <c r="F256" s="60"/>
      <c r="G256" s="10"/>
      <c r="H256" s="9"/>
      <c r="I256" s="10"/>
      <c r="J256" s="9"/>
      <c r="K256" s="10"/>
    </row>
    <row r="257" ht="22.5" customHeight="1">
      <c r="A257" s="43"/>
      <c r="B257" s="58"/>
      <c r="C257" s="59"/>
      <c r="D257" s="58"/>
      <c r="E257" s="47"/>
      <c r="F257" s="60"/>
      <c r="G257" s="10"/>
      <c r="H257" s="9"/>
      <c r="I257" s="10"/>
      <c r="J257" s="9"/>
      <c r="K257" s="10"/>
    </row>
    <row r="258" ht="22.5" customHeight="1">
      <c r="A258" s="43"/>
      <c r="B258" s="58"/>
      <c r="C258" s="59"/>
      <c r="D258" s="58"/>
      <c r="E258" s="47"/>
      <c r="F258" s="60"/>
      <c r="G258" s="10"/>
      <c r="H258" s="9"/>
      <c r="I258" s="10"/>
      <c r="J258" s="9"/>
      <c r="K258" s="10"/>
    </row>
    <row r="259" ht="22.5" customHeight="1">
      <c r="A259" s="43"/>
      <c r="B259" s="58"/>
      <c r="C259" s="59"/>
      <c r="D259" s="58"/>
      <c r="E259" s="47"/>
      <c r="F259" s="60"/>
      <c r="G259" s="10"/>
      <c r="H259" s="9"/>
      <c r="I259" s="10"/>
      <c r="J259" s="9"/>
      <c r="K259" s="10"/>
    </row>
    <row r="260" ht="22.5" customHeight="1">
      <c r="A260" s="43"/>
      <c r="B260" s="58"/>
      <c r="C260" s="59"/>
      <c r="D260" s="58"/>
      <c r="E260" s="47"/>
      <c r="F260" s="60"/>
      <c r="G260" s="10"/>
      <c r="H260" s="9"/>
      <c r="I260" s="10"/>
      <c r="J260" s="9"/>
      <c r="K260" s="10"/>
    </row>
    <row r="261" ht="22.5" customHeight="1">
      <c r="A261" s="43"/>
      <c r="B261" s="58"/>
      <c r="C261" s="59"/>
      <c r="D261" s="58"/>
      <c r="E261" s="47"/>
      <c r="F261" s="60"/>
      <c r="G261" s="10"/>
      <c r="H261" s="9"/>
      <c r="I261" s="10"/>
      <c r="J261" s="9"/>
      <c r="K261" s="10"/>
    </row>
    <row r="262" ht="22.5" customHeight="1">
      <c r="A262" s="43"/>
      <c r="B262" s="58"/>
      <c r="C262" s="59"/>
      <c r="D262" s="58"/>
      <c r="E262" s="47"/>
      <c r="F262" s="60"/>
      <c r="G262" s="10"/>
      <c r="H262" s="9"/>
      <c r="I262" s="10"/>
      <c r="J262" s="9"/>
      <c r="K262" s="10"/>
    </row>
    <row r="263" ht="22.5" customHeight="1">
      <c r="A263" s="43"/>
      <c r="B263" s="58"/>
      <c r="C263" s="59"/>
      <c r="D263" s="58"/>
      <c r="E263" s="47"/>
      <c r="F263" s="60"/>
      <c r="G263" s="10"/>
      <c r="H263" s="9"/>
      <c r="I263" s="10"/>
      <c r="J263" s="9"/>
      <c r="K263" s="10"/>
    </row>
    <row r="264" ht="22.5" customHeight="1">
      <c r="A264" s="43"/>
      <c r="B264" s="58"/>
      <c r="C264" s="59"/>
      <c r="D264" s="58"/>
      <c r="E264" s="47"/>
      <c r="F264" s="60"/>
      <c r="G264" s="10"/>
      <c r="H264" s="9"/>
      <c r="I264" s="10"/>
      <c r="J264" s="9"/>
      <c r="K264" s="10"/>
    </row>
    <row r="265" ht="22.5" customHeight="1">
      <c r="A265" s="43"/>
      <c r="B265" s="58"/>
      <c r="C265" s="59"/>
      <c r="D265" s="58"/>
      <c r="E265" s="47"/>
      <c r="F265" s="60"/>
      <c r="G265" s="10"/>
      <c r="H265" s="9"/>
      <c r="I265" s="10"/>
      <c r="J265" s="9"/>
      <c r="K265" s="10"/>
    </row>
    <row r="266" ht="22.5" customHeight="1">
      <c r="A266" s="43"/>
      <c r="B266" s="58"/>
      <c r="C266" s="59"/>
      <c r="D266" s="58"/>
      <c r="E266" s="47"/>
      <c r="F266" s="60"/>
      <c r="G266" s="10"/>
      <c r="H266" s="9"/>
      <c r="I266" s="10"/>
      <c r="J266" s="9"/>
      <c r="K266" s="10"/>
    </row>
    <row r="267" ht="22.5" customHeight="1">
      <c r="A267" s="43"/>
      <c r="B267" s="58"/>
      <c r="C267" s="59"/>
      <c r="D267" s="58"/>
      <c r="E267" s="47"/>
      <c r="F267" s="60"/>
      <c r="G267" s="10"/>
      <c r="H267" s="9"/>
      <c r="I267" s="10"/>
      <c r="J267" s="9"/>
      <c r="K267" s="10"/>
    </row>
    <row r="268" ht="22.5" customHeight="1">
      <c r="A268" s="43"/>
      <c r="B268" s="58"/>
      <c r="C268" s="59"/>
      <c r="D268" s="58"/>
      <c r="E268" s="47"/>
      <c r="F268" s="60"/>
      <c r="G268" s="10"/>
      <c r="H268" s="9"/>
      <c r="I268" s="10"/>
      <c r="J268" s="9"/>
      <c r="K268" s="10"/>
    </row>
    <row r="269" ht="22.5" customHeight="1">
      <c r="A269" s="43"/>
      <c r="B269" s="58"/>
      <c r="C269" s="59"/>
      <c r="D269" s="58"/>
      <c r="E269" s="47"/>
      <c r="F269" s="60"/>
      <c r="G269" s="10"/>
      <c r="H269" s="9"/>
      <c r="I269" s="10"/>
      <c r="J269" s="9"/>
      <c r="K269" s="10"/>
    </row>
    <row r="270" ht="22.5" customHeight="1">
      <c r="A270" s="43"/>
      <c r="B270" s="58"/>
      <c r="C270" s="59"/>
      <c r="D270" s="58"/>
      <c r="E270" s="47"/>
      <c r="F270" s="60"/>
      <c r="G270" s="10"/>
      <c r="H270" s="9"/>
      <c r="I270" s="10"/>
      <c r="J270" s="9"/>
      <c r="K270" s="10"/>
    </row>
    <row r="271" ht="22.5" customHeight="1">
      <c r="A271" s="43"/>
      <c r="B271" s="58"/>
      <c r="C271" s="59"/>
      <c r="D271" s="58"/>
      <c r="E271" s="47"/>
      <c r="F271" s="60"/>
      <c r="G271" s="10"/>
      <c r="H271" s="9"/>
      <c r="I271" s="10"/>
      <c r="J271" s="9"/>
      <c r="K271" s="10"/>
    </row>
    <row r="272" ht="22.5" customHeight="1">
      <c r="A272" s="43"/>
      <c r="B272" s="58"/>
      <c r="C272" s="59"/>
      <c r="D272" s="58"/>
      <c r="E272" s="47"/>
      <c r="F272" s="60"/>
      <c r="G272" s="10"/>
      <c r="H272" s="9"/>
      <c r="I272" s="10"/>
      <c r="J272" s="9"/>
      <c r="K272" s="10"/>
    </row>
    <row r="273" ht="22.5" customHeight="1">
      <c r="A273" s="43"/>
      <c r="B273" s="58"/>
      <c r="C273" s="59"/>
      <c r="D273" s="58"/>
      <c r="E273" s="47"/>
      <c r="F273" s="60"/>
      <c r="G273" s="10"/>
      <c r="H273" s="9"/>
      <c r="I273" s="10"/>
      <c r="J273" s="9"/>
      <c r="K273" s="10"/>
    </row>
    <row r="274" ht="22.5" customHeight="1">
      <c r="A274" s="43"/>
      <c r="B274" s="58"/>
      <c r="C274" s="59"/>
      <c r="D274" s="58"/>
      <c r="E274" s="47"/>
      <c r="F274" s="60"/>
      <c r="G274" s="10"/>
      <c r="H274" s="9"/>
      <c r="I274" s="10"/>
      <c r="J274" s="9"/>
      <c r="K274" s="10"/>
    </row>
    <row r="275" ht="22.5" customHeight="1">
      <c r="A275" s="43"/>
      <c r="B275" s="58"/>
      <c r="C275" s="59"/>
      <c r="D275" s="58"/>
      <c r="E275" s="47"/>
      <c r="F275" s="60"/>
      <c r="G275" s="10"/>
      <c r="H275" s="9"/>
      <c r="I275" s="10"/>
      <c r="J275" s="9"/>
      <c r="K275" s="10"/>
    </row>
    <row r="276" ht="22.5" customHeight="1">
      <c r="A276" s="43"/>
      <c r="B276" s="58"/>
      <c r="C276" s="59"/>
      <c r="D276" s="58"/>
      <c r="E276" s="47"/>
      <c r="F276" s="60"/>
      <c r="G276" s="10"/>
      <c r="H276" s="9"/>
      <c r="I276" s="10"/>
      <c r="J276" s="9"/>
      <c r="K276" s="10"/>
    </row>
    <row r="277" ht="22.5" customHeight="1">
      <c r="A277" s="43"/>
      <c r="B277" s="58"/>
      <c r="C277" s="59"/>
      <c r="D277" s="58"/>
      <c r="E277" s="47"/>
      <c r="F277" s="60"/>
      <c r="G277" s="10"/>
      <c r="H277" s="9"/>
      <c r="I277" s="10"/>
      <c r="J277" s="9"/>
      <c r="K277" s="10"/>
    </row>
    <row r="278" ht="22.5" customHeight="1">
      <c r="A278" s="43"/>
      <c r="B278" s="58"/>
      <c r="C278" s="59"/>
      <c r="D278" s="58"/>
      <c r="E278" s="47"/>
      <c r="F278" s="60"/>
      <c r="G278" s="10"/>
      <c r="H278" s="9"/>
      <c r="I278" s="10"/>
      <c r="J278" s="9"/>
      <c r="K278" s="10"/>
    </row>
    <row r="279" ht="22.5" customHeight="1">
      <c r="A279" s="43"/>
      <c r="B279" s="58"/>
      <c r="C279" s="59"/>
      <c r="D279" s="58"/>
      <c r="E279" s="47"/>
      <c r="F279" s="60"/>
      <c r="G279" s="10"/>
      <c r="H279" s="9"/>
      <c r="I279" s="10"/>
      <c r="J279" s="9"/>
      <c r="K279" s="10"/>
    </row>
    <row r="280" ht="22.5" customHeight="1">
      <c r="A280" s="43"/>
      <c r="B280" s="58"/>
      <c r="C280" s="59"/>
      <c r="D280" s="58"/>
      <c r="E280" s="47"/>
      <c r="F280" s="60"/>
      <c r="G280" s="10"/>
      <c r="H280" s="9"/>
      <c r="I280" s="10"/>
      <c r="J280" s="9"/>
      <c r="K280" s="10"/>
    </row>
    <row r="281" ht="22.5" customHeight="1">
      <c r="A281" s="43"/>
      <c r="B281" s="58"/>
      <c r="C281" s="59"/>
      <c r="D281" s="58"/>
      <c r="E281" s="47"/>
      <c r="F281" s="60"/>
      <c r="G281" s="10"/>
      <c r="H281" s="9"/>
      <c r="I281" s="10"/>
      <c r="J281" s="9"/>
      <c r="K281" s="10"/>
    </row>
    <row r="282" ht="22.5" customHeight="1">
      <c r="A282" s="43"/>
      <c r="B282" s="58"/>
      <c r="C282" s="59"/>
      <c r="D282" s="58"/>
      <c r="E282" s="47"/>
      <c r="F282" s="60"/>
      <c r="G282" s="10"/>
      <c r="H282" s="9"/>
      <c r="I282" s="10"/>
      <c r="J282" s="9"/>
      <c r="K282" s="10"/>
    </row>
    <row r="283" ht="22.5" customHeight="1">
      <c r="A283" s="43"/>
      <c r="B283" s="58"/>
      <c r="C283" s="59"/>
      <c r="D283" s="58"/>
      <c r="E283" s="47"/>
      <c r="F283" s="60"/>
      <c r="G283" s="10"/>
      <c r="H283" s="9"/>
      <c r="I283" s="10"/>
      <c r="J283" s="9"/>
      <c r="K283" s="10"/>
    </row>
    <row r="284" ht="22.5" customHeight="1">
      <c r="A284" s="43"/>
      <c r="B284" s="58"/>
      <c r="C284" s="59"/>
      <c r="D284" s="58"/>
      <c r="E284" s="47"/>
      <c r="F284" s="60"/>
      <c r="G284" s="10"/>
      <c r="H284" s="9"/>
      <c r="I284" s="10"/>
      <c r="J284" s="9"/>
      <c r="K284" s="10"/>
    </row>
    <row r="285" ht="22.5" customHeight="1">
      <c r="A285" s="43"/>
      <c r="B285" s="58"/>
      <c r="C285" s="59"/>
      <c r="D285" s="58"/>
      <c r="E285" s="47"/>
      <c r="F285" s="60"/>
      <c r="G285" s="10"/>
      <c r="H285" s="9"/>
      <c r="I285" s="10"/>
      <c r="J285" s="9"/>
      <c r="K285" s="10"/>
    </row>
    <row r="286" ht="22.5" customHeight="1">
      <c r="A286" s="43"/>
      <c r="B286" s="58"/>
      <c r="C286" s="59"/>
      <c r="D286" s="58"/>
      <c r="E286" s="47"/>
      <c r="F286" s="60"/>
      <c r="G286" s="10"/>
      <c r="H286" s="9"/>
      <c r="I286" s="10"/>
      <c r="J286" s="9"/>
      <c r="K286" s="10"/>
    </row>
    <row r="287" ht="22.5" customHeight="1">
      <c r="A287" s="43"/>
      <c r="B287" s="58"/>
      <c r="C287" s="59"/>
      <c r="D287" s="58"/>
      <c r="E287" s="47"/>
      <c r="F287" s="60"/>
      <c r="G287" s="10"/>
      <c r="H287" s="9"/>
      <c r="I287" s="10"/>
      <c r="J287" s="9"/>
      <c r="K287" s="10"/>
    </row>
    <row r="288" ht="22.5" customHeight="1">
      <c r="A288" s="43"/>
      <c r="B288" s="58"/>
      <c r="C288" s="59"/>
      <c r="D288" s="58"/>
      <c r="E288" s="47"/>
      <c r="F288" s="60"/>
      <c r="G288" s="10"/>
      <c r="H288" s="9"/>
      <c r="I288" s="10"/>
      <c r="J288" s="9"/>
      <c r="K288" s="10"/>
    </row>
    <row r="289" ht="22.5" customHeight="1">
      <c r="A289" s="43"/>
      <c r="B289" s="58"/>
      <c r="C289" s="59"/>
      <c r="D289" s="58"/>
      <c r="E289" s="47"/>
      <c r="F289" s="60"/>
      <c r="G289" s="10"/>
      <c r="H289" s="9"/>
      <c r="I289" s="10"/>
      <c r="J289" s="9"/>
      <c r="K289" s="10"/>
    </row>
    <row r="290" ht="22.5" customHeight="1">
      <c r="A290" s="43"/>
      <c r="B290" s="58"/>
      <c r="C290" s="59"/>
      <c r="D290" s="58"/>
      <c r="E290" s="47"/>
      <c r="F290" s="60"/>
      <c r="G290" s="10"/>
      <c r="H290" s="9"/>
      <c r="I290" s="10"/>
      <c r="J290" s="9"/>
      <c r="K290" s="10"/>
    </row>
    <row r="291" ht="22.5" customHeight="1">
      <c r="A291" s="43"/>
      <c r="B291" s="58"/>
      <c r="C291" s="59"/>
      <c r="D291" s="58"/>
      <c r="E291" s="47"/>
      <c r="F291" s="60"/>
      <c r="G291" s="10"/>
      <c r="H291" s="9"/>
      <c r="I291" s="10"/>
      <c r="J291" s="9"/>
      <c r="K291" s="10"/>
    </row>
    <row r="292" ht="22.5" customHeight="1">
      <c r="A292" s="43"/>
      <c r="B292" s="58"/>
      <c r="C292" s="59"/>
      <c r="D292" s="58"/>
      <c r="E292" s="47"/>
      <c r="F292" s="60"/>
      <c r="G292" s="10"/>
      <c r="H292" s="9"/>
      <c r="I292" s="10"/>
      <c r="J292" s="9"/>
      <c r="K292" s="10"/>
    </row>
    <row r="293" ht="22.5" customHeight="1">
      <c r="A293" s="43"/>
      <c r="B293" s="58"/>
      <c r="C293" s="59"/>
      <c r="D293" s="58"/>
      <c r="E293" s="47"/>
      <c r="F293" s="60"/>
      <c r="G293" s="10"/>
      <c r="H293" s="9"/>
      <c r="I293" s="10"/>
      <c r="J293" s="9"/>
      <c r="K293" s="10"/>
    </row>
    <row r="294" ht="22.5" customHeight="1">
      <c r="A294" s="43"/>
      <c r="B294" s="58"/>
      <c r="C294" s="59"/>
      <c r="D294" s="58"/>
      <c r="E294" s="47"/>
      <c r="F294" s="60"/>
      <c r="G294" s="10"/>
      <c r="H294" s="9"/>
      <c r="I294" s="10"/>
      <c r="J294" s="9"/>
      <c r="K294" s="10"/>
    </row>
    <row r="295" ht="22.5" customHeight="1">
      <c r="A295" s="43"/>
      <c r="B295" s="58"/>
      <c r="C295" s="59"/>
      <c r="D295" s="58"/>
      <c r="E295" s="47"/>
      <c r="F295" s="60"/>
      <c r="G295" s="10"/>
      <c r="H295" s="9"/>
      <c r="I295" s="10"/>
      <c r="J295" s="9"/>
      <c r="K295" s="10"/>
    </row>
    <row r="296" ht="22.5" customHeight="1">
      <c r="A296" s="43"/>
      <c r="B296" s="58"/>
      <c r="C296" s="59"/>
      <c r="D296" s="58"/>
      <c r="E296" s="47"/>
      <c r="F296" s="60"/>
      <c r="G296" s="10"/>
      <c r="H296" s="9"/>
      <c r="I296" s="10"/>
      <c r="J296" s="9"/>
      <c r="K296" s="10"/>
    </row>
    <row r="297" ht="22.5" customHeight="1">
      <c r="A297" s="43"/>
      <c r="B297" s="58"/>
      <c r="C297" s="59"/>
      <c r="D297" s="58"/>
      <c r="E297" s="47"/>
      <c r="F297" s="60"/>
      <c r="G297" s="10"/>
      <c r="H297" s="9"/>
      <c r="I297" s="10"/>
      <c r="J297" s="9"/>
      <c r="K297" s="10"/>
    </row>
    <row r="298" ht="22.5" customHeight="1">
      <c r="A298" s="43"/>
      <c r="B298" s="58"/>
      <c r="C298" s="59"/>
      <c r="D298" s="58"/>
      <c r="E298" s="47"/>
      <c r="F298" s="60"/>
      <c r="G298" s="10"/>
      <c r="H298" s="9"/>
      <c r="I298" s="10"/>
      <c r="J298" s="9"/>
      <c r="K298" s="10"/>
    </row>
    <row r="299" ht="22.5" customHeight="1">
      <c r="A299" s="43"/>
      <c r="B299" s="58"/>
      <c r="C299" s="59"/>
      <c r="D299" s="58"/>
      <c r="E299" s="47"/>
      <c r="F299" s="60"/>
      <c r="G299" s="10"/>
      <c r="H299" s="9"/>
      <c r="I299" s="10"/>
      <c r="J299" s="9"/>
      <c r="K299" s="10"/>
    </row>
    <row r="300" ht="22.5" customHeight="1">
      <c r="A300" s="43"/>
      <c r="B300" s="58"/>
      <c r="C300" s="59"/>
      <c r="D300" s="58"/>
      <c r="E300" s="47"/>
      <c r="F300" s="60"/>
      <c r="G300" s="10"/>
      <c r="H300" s="9"/>
      <c r="I300" s="10"/>
      <c r="J300" s="9"/>
      <c r="K300" s="10"/>
    </row>
    <row r="301">
      <c r="B301" s="38"/>
      <c r="C301" s="38"/>
      <c r="E301" s="38"/>
    </row>
    <row r="302">
      <c r="B302" s="38"/>
      <c r="C302" s="38"/>
      <c r="E302" s="38"/>
    </row>
    <row r="303">
      <c r="B303" s="38"/>
      <c r="C303" s="38"/>
      <c r="E303" s="38"/>
    </row>
    <row r="304">
      <c r="B304" s="38"/>
      <c r="C304" s="38"/>
      <c r="E304" s="38"/>
    </row>
    <row r="305">
      <c r="B305" s="38"/>
      <c r="C305" s="38"/>
      <c r="E305" s="38"/>
    </row>
    <row r="306">
      <c r="B306" s="38"/>
      <c r="C306" s="38"/>
      <c r="E306" s="38"/>
    </row>
    <row r="307">
      <c r="B307" s="38"/>
      <c r="C307" s="38"/>
      <c r="E307" s="38"/>
    </row>
    <row r="308">
      <c r="B308" s="38"/>
      <c r="C308" s="38"/>
      <c r="E308" s="38"/>
    </row>
    <row r="309">
      <c r="B309" s="38"/>
      <c r="C309" s="38"/>
      <c r="E309" s="38"/>
    </row>
    <row r="310">
      <c r="B310" s="38"/>
      <c r="C310" s="38"/>
      <c r="E310" s="38"/>
    </row>
    <row r="311">
      <c r="B311" s="38"/>
      <c r="C311" s="38"/>
      <c r="E311" s="38"/>
    </row>
    <row r="312">
      <c r="B312" s="38"/>
      <c r="C312" s="38"/>
      <c r="E312" s="38"/>
    </row>
    <row r="313">
      <c r="B313" s="38"/>
      <c r="C313" s="38"/>
      <c r="E313" s="38"/>
    </row>
    <row r="314">
      <c r="B314" s="38"/>
      <c r="C314" s="38"/>
      <c r="E314" s="38"/>
    </row>
    <row r="315">
      <c r="B315" s="38"/>
      <c r="C315" s="38"/>
      <c r="E315" s="38"/>
    </row>
    <row r="316">
      <c r="B316" s="38"/>
      <c r="C316" s="38"/>
      <c r="E316" s="38"/>
    </row>
    <row r="317">
      <c r="B317" s="38"/>
      <c r="C317" s="38"/>
      <c r="E317" s="38"/>
    </row>
    <row r="318">
      <c r="B318" s="38"/>
      <c r="C318" s="38"/>
      <c r="E318" s="38"/>
    </row>
    <row r="319">
      <c r="B319" s="38"/>
      <c r="C319" s="38"/>
      <c r="E319" s="38"/>
    </row>
    <row r="320">
      <c r="B320" s="38"/>
      <c r="C320" s="38"/>
      <c r="E320" s="38"/>
    </row>
    <row r="321">
      <c r="B321" s="38"/>
      <c r="C321" s="38"/>
      <c r="E321" s="38"/>
    </row>
    <row r="322">
      <c r="B322" s="38"/>
      <c r="C322" s="38"/>
      <c r="E322" s="38"/>
    </row>
    <row r="323">
      <c r="B323" s="38"/>
      <c r="C323" s="38"/>
      <c r="E323" s="38"/>
    </row>
    <row r="324">
      <c r="B324" s="38"/>
      <c r="C324" s="38"/>
      <c r="E324" s="38"/>
    </row>
    <row r="325">
      <c r="B325" s="38"/>
      <c r="C325" s="38"/>
      <c r="E325" s="38"/>
    </row>
    <row r="326">
      <c r="B326" s="38"/>
      <c r="C326" s="38"/>
      <c r="E326" s="38"/>
    </row>
    <row r="327">
      <c r="B327" s="38"/>
      <c r="C327" s="38"/>
      <c r="E327" s="38"/>
    </row>
    <row r="328">
      <c r="B328" s="38"/>
      <c r="C328" s="38"/>
      <c r="E328" s="38"/>
    </row>
    <row r="329">
      <c r="B329" s="38"/>
      <c r="C329" s="38"/>
      <c r="E329" s="38"/>
    </row>
    <row r="330">
      <c r="B330" s="38"/>
      <c r="C330" s="38"/>
      <c r="E330" s="38"/>
    </row>
    <row r="331">
      <c r="B331" s="38"/>
      <c r="C331" s="38"/>
      <c r="E331" s="38"/>
    </row>
    <row r="332">
      <c r="B332" s="38"/>
      <c r="C332" s="38"/>
      <c r="E332" s="38"/>
    </row>
    <row r="333">
      <c r="B333" s="38"/>
      <c r="C333" s="38"/>
      <c r="E333" s="38"/>
    </row>
    <row r="334">
      <c r="B334" s="38"/>
      <c r="C334" s="38"/>
      <c r="E334" s="38"/>
    </row>
    <row r="335">
      <c r="B335" s="38"/>
      <c r="C335" s="38"/>
      <c r="E335" s="38"/>
    </row>
    <row r="336">
      <c r="B336" s="38"/>
      <c r="C336" s="38"/>
      <c r="E336" s="38"/>
    </row>
    <row r="337">
      <c r="B337" s="38"/>
      <c r="C337" s="38"/>
      <c r="E337" s="38"/>
    </row>
    <row r="338">
      <c r="B338" s="38"/>
      <c r="C338" s="38"/>
      <c r="E338" s="38"/>
    </row>
    <row r="339">
      <c r="B339" s="38"/>
      <c r="C339" s="38"/>
      <c r="E339" s="38"/>
    </row>
    <row r="340">
      <c r="B340" s="38"/>
      <c r="C340" s="38"/>
      <c r="E340" s="38"/>
    </row>
    <row r="341">
      <c r="B341" s="38"/>
      <c r="C341" s="38"/>
      <c r="E341" s="38"/>
    </row>
    <row r="342">
      <c r="B342" s="38"/>
      <c r="C342" s="38"/>
      <c r="E342" s="38"/>
    </row>
    <row r="343">
      <c r="B343" s="38"/>
      <c r="C343" s="38"/>
      <c r="E343" s="38"/>
    </row>
    <row r="344">
      <c r="B344" s="38"/>
      <c r="C344" s="38"/>
      <c r="E344" s="38"/>
    </row>
    <row r="345">
      <c r="B345" s="38"/>
      <c r="C345" s="38"/>
      <c r="E345" s="38"/>
    </row>
    <row r="346">
      <c r="B346" s="38"/>
      <c r="C346" s="38"/>
      <c r="E346" s="38"/>
    </row>
    <row r="347">
      <c r="B347" s="38"/>
      <c r="C347" s="38"/>
      <c r="E347" s="38"/>
    </row>
    <row r="348">
      <c r="B348" s="38"/>
      <c r="C348" s="38"/>
      <c r="E348" s="38"/>
    </row>
    <row r="349">
      <c r="B349" s="38"/>
      <c r="C349" s="38"/>
      <c r="E349" s="38"/>
    </row>
    <row r="350">
      <c r="B350" s="38"/>
      <c r="C350" s="38"/>
      <c r="E350" s="38"/>
    </row>
    <row r="351">
      <c r="B351" s="38"/>
      <c r="C351" s="38"/>
      <c r="E351" s="38"/>
    </row>
    <row r="352">
      <c r="B352" s="38"/>
      <c r="C352" s="38"/>
      <c r="E352" s="38"/>
    </row>
    <row r="353">
      <c r="B353" s="38"/>
      <c r="C353" s="38"/>
      <c r="E353" s="38"/>
    </row>
    <row r="354">
      <c r="B354" s="38"/>
      <c r="C354" s="38"/>
      <c r="E354" s="38"/>
    </row>
    <row r="355">
      <c r="B355" s="38"/>
      <c r="C355" s="38"/>
      <c r="E355" s="38"/>
    </row>
    <row r="356">
      <c r="B356" s="38"/>
      <c r="C356" s="38"/>
      <c r="E356" s="38"/>
    </row>
    <row r="357">
      <c r="B357" s="38"/>
      <c r="C357" s="38"/>
      <c r="E357" s="38"/>
    </row>
    <row r="358">
      <c r="B358" s="38"/>
      <c r="C358" s="38"/>
      <c r="E358" s="38"/>
    </row>
    <row r="359">
      <c r="B359" s="38"/>
      <c r="C359" s="38"/>
      <c r="E359" s="38"/>
    </row>
    <row r="360">
      <c r="B360" s="38"/>
      <c r="C360" s="38"/>
      <c r="E360" s="38"/>
    </row>
    <row r="361">
      <c r="B361" s="38"/>
      <c r="C361" s="38"/>
      <c r="E361" s="38"/>
    </row>
    <row r="362">
      <c r="B362" s="38"/>
      <c r="C362" s="38"/>
      <c r="E362" s="38"/>
    </row>
    <row r="363">
      <c r="B363" s="38"/>
      <c r="C363" s="38"/>
      <c r="E363" s="38"/>
    </row>
    <row r="364">
      <c r="B364" s="38"/>
      <c r="C364" s="38"/>
      <c r="E364" s="38"/>
    </row>
    <row r="365">
      <c r="B365" s="38"/>
      <c r="C365" s="38"/>
      <c r="E365" s="38"/>
    </row>
    <row r="366">
      <c r="B366" s="38"/>
      <c r="C366" s="38"/>
      <c r="E366" s="38"/>
    </row>
    <row r="367">
      <c r="B367" s="38"/>
      <c r="C367" s="38"/>
      <c r="E367" s="38"/>
    </row>
    <row r="368">
      <c r="B368" s="38"/>
      <c r="C368" s="38"/>
      <c r="E368" s="38"/>
    </row>
    <row r="369">
      <c r="B369" s="38"/>
      <c r="C369" s="38"/>
      <c r="E369" s="38"/>
    </row>
    <row r="370">
      <c r="B370" s="38"/>
      <c r="C370" s="38"/>
      <c r="E370" s="38"/>
    </row>
    <row r="371">
      <c r="B371" s="38"/>
      <c r="C371" s="38"/>
      <c r="E371" s="38"/>
    </row>
    <row r="372">
      <c r="B372" s="38"/>
      <c r="C372" s="38"/>
      <c r="E372" s="38"/>
    </row>
    <row r="373">
      <c r="B373" s="38"/>
      <c r="C373" s="38"/>
      <c r="E373" s="38"/>
    </row>
    <row r="374">
      <c r="B374" s="38"/>
      <c r="C374" s="38"/>
      <c r="E374" s="38"/>
    </row>
    <row r="375">
      <c r="B375" s="38"/>
      <c r="C375" s="38"/>
      <c r="E375" s="38"/>
    </row>
    <row r="376">
      <c r="B376" s="38"/>
      <c r="C376" s="38"/>
      <c r="E376" s="38"/>
    </row>
    <row r="377">
      <c r="B377" s="38"/>
      <c r="C377" s="38"/>
      <c r="E377" s="38"/>
    </row>
    <row r="378">
      <c r="B378" s="38"/>
      <c r="C378" s="38"/>
      <c r="E378" s="38"/>
    </row>
    <row r="379">
      <c r="B379" s="38"/>
      <c r="C379" s="38"/>
      <c r="E379" s="38"/>
    </row>
    <row r="380">
      <c r="B380" s="38"/>
      <c r="C380" s="38"/>
      <c r="E380" s="38"/>
    </row>
    <row r="381">
      <c r="B381" s="38"/>
      <c r="C381" s="38"/>
      <c r="E381" s="38"/>
    </row>
    <row r="382">
      <c r="B382" s="38"/>
      <c r="C382" s="38"/>
      <c r="E382" s="38"/>
    </row>
    <row r="383">
      <c r="B383" s="38"/>
      <c r="C383" s="38"/>
      <c r="E383" s="38"/>
    </row>
    <row r="384">
      <c r="B384" s="38"/>
      <c r="C384" s="38"/>
      <c r="E384" s="38"/>
    </row>
    <row r="385">
      <c r="B385" s="38"/>
      <c r="C385" s="38"/>
      <c r="E385" s="38"/>
    </row>
    <row r="386">
      <c r="B386" s="38"/>
      <c r="C386" s="38"/>
      <c r="E386" s="38"/>
    </row>
    <row r="387">
      <c r="B387" s="38"/>
      <c r="C387" s="38"/>
      <c r="E387" s="38"/>
    </row>
    <row r="388">
      <c r="B388" s="38"/>
      <c r="C388" s="38"/>
      <c r="E388" s="38"/>
    </row>
    <row r="389">
      <c r="B389" s="38"/>
      <c r="C389" s="38"/>
      <c r="E389" s="38"/>
    </row>
    <row r="390">
      <c r="B390" s="38"/>
      <c r="C390" s="38"/>
      <c r="E390" s="38"/>
    </row>
    <row r="391">
      <c r="B391" s="38"/>
      <c r="C391" s="38"/>
      <c r="E391" s="38"/>
    </row>
    <row r="392">
      <c r="B392" s="38"/>
      <c r="C392" s="38"/>
      <c r="E392" s="38"/>
    </row>
    <row r="393">
      <c r="B393" s="38"/>
      <c r="C393" s="38"/>
      <c r="E393" s="38"/>
    </row>
    <row r="394">
      <c r="B394" s="38"/>
      <c r="C394" s="38"/>
      <c r="E394" s="38"/>
    </row>
    <row r="395">
      <c r="B395" s="38"/>
      <c r="C395" s="38"/>
      <c r="E395" s="38"/>
    </row>
    <row r="396">
      <c r="B396" s="38"/>
      <c r="C396" s="38"/>
      <c r="E396" s="38"/>
    </row>
    <row r="397">
      <c r="B397" s="38"/>
      <c r="C397" s="38"/>
      <c r="E397" s="38"/>
    </row>
    <row r="398">
      <c r="B398" s="38"/>
      <c r="C398" s="38"/>
      <c r="E398" s="38"/>
    </row>
    <row r="399">
      <c r="B399" s="38"/>
      <c r="C399" s="38"/>
      <c r="E399" s="38"/>
    </row>
    <row r="400">
      <c r="B400" s="38"/>
      <c r="C400" s="38"/>
      <c r="E400" s="38"/>
    </row>
    <row r="401">
      <c r="B401" s="38"/>
      <c r="C401" s="38"/>
      <c r="E401" s="38"/>
    </row>
    <row r="402">
      <c r="B402" s="38"/>
      <c r="C402" s="38"/>
      <c r="E402" s="38"/>
    </row>
    <row r="403">
      <c r="B403" s="38"/>
      <c r="C403" s="38"/>
      <c r="E403" s="38"/>
    </row>
    <row r="404">
      <c r="B404" s="38"/>
      <c r="C404" s="38"/>
      <c r="E404" s="38"/>
    </row>
    <row r="405">
      <c r="B405" s="38"/>
      <c r="C405" s="38"/>
      <c r="E405" s="38"/>
    </row>
    <row r="406">
      <c r="B406" s="38"/>
      <c r="C406" s="38"/>
      <c r="E406" s="38"/>
    </row>
    <row r="407">
      <c r="B407" s="38"/>
      <c r="C407" s="38"/>
      <c r="E407" s="38"/>
    </row>
    <row r="408">
      <c r="B408" s="38"/>
      <c r="C408" s="38"/>
      <c r="E408" s="38"/>
    </row>
    <row r="409">
      <c r="B409" s="38"/>
      <c r="C409" s="38"/>
      <c r="E409" s="38"/>
    </row>
    <row r="410">
      <c r="B410" s="38"/>
      <c r="C410" s="38"/>
      <c r="E410" s="38"/>
    </row>
    <row r="411">
      <c r="B411" s="38"/>
      <c r="C411" s="38"/>
      <c r="E411" s="38"/>
    </row>
    <row r="412">
      <c r="B412" s="38"/>
      <c r="C412" s="38"/>
      <c r="E412" s="38"/>
    </row>
    <row r="413">
      <c r="B413" s="38"/>
      <c r="C413" s="38"/>
      <c r="E413" s="38"/>
    </row>
    <row r="414">
      <c r="B414" s="38"/>
      <c r="C414" s="38"/>
      <c r="E414" s="38"/>
    </row>
    <row r="415">
      <c r="B415" s="38"/>
      <c r="C415" s="38"/>
      <c r="E415" s="38"/>
    </row>
    <row r="416">
      <c r="B416" s="38"/>
      <c r="C416" s="38"/>
      <c r="E416" s="38"/>
    </row>
    <row r="417">
      <c r="B417" s="38"/>
      <c r="C417" s="38"/>
      <c r="E417" s="38"/>
    </row>
    <row r="418">
      <c r="B418" s="38"/>
      <c r="C418" s="38"/>
      <c r="E418" s="38"/>
    </row>
    <row r="419">
      <c r="B419" s="38"/>
      <c r="C419" s="38"/>
      <c r="E419" s="38"/>
    </row>
    <row r="420">
      <c r="B420" s="38"/>
      <c r="C420" s="38"/>
      <c r="E420" s="38"/>
    </row>
    <row r="421">
      <c r="B421" s="38"/>
      <c r="C421" s="38"/>
      <c r="E421" s="38"/>
    </row>
    <row r="422">
      <c r="B422" s="38"/>
      <c r="C422" s="38"/>
      <c r="E422" s="38"/>
    </row>
    <row r="423">
      <c r="B423" s="38"/>
      <c r="C423" s="38"/>
      <c r="E423" s="38"/>
    </row>
    <row r="424">
      <c r="B424" s="38"/>
      <c r="C424" s="38"/>
      <c r="E424" s="38"/>
    </row>
    <row r="425">
      <c r="B425" s="38"/>
      <c r="C425" s="38"/>
      <c r="E425" s="38"/>
    </row>
    <row r="426">
      <c r="B426" s="38"/>
      <c r="C426" s="38"/>
      <c r="E426" s="38"/>
    </row>
    <row r="427">
      <c r="B427" s="38"/>
      <c r="C427" s="38"/>
      <c r="E427" s="38"/>
    </row>
    <row r="428">
      <c r="B428" s="38"/>
      <c r="C428" s="38"/>
      <c r="E428" s="38"/>
    </row>
    <row r="429">
      <c r="B429" s="38"/>
      <c r="C429" s="38"/>
      <c r="E429" s="38"/>
    </row>
    <row r="430">
      <c r="B430" s="38"/>
      <c r="C430" s="38"/>
      <c r="E430" s="38"/>
    </row>
    <row r="431">
      <c r="B431" s="38"/>
      <c r="C431" s="38"/>
      <c r="E431" s="38"/>
    </row>
    <row r="432">
      <c r="B432" s="38"/>
      <c r="C432" s="38"/>
      <c r="E432" s="38"/>
    </row>
    <row r="433">
      <c r="B433" s="38"/>
      <c r="C433" s="38"/>
      <c r="E433" s="38"/>
    </row>
    <row r="434">
      <c r="B434" s="38"/>
      <c r="C434" s="38"/>
      <c r="E434" s="38"/>
    </row>
    <row r="435">
      <c r="B435" s="38"/>
      <c r="C435" s="38"/>
      <c r="E435" s="38"/>
    </row>
    <row r="436">
      <c r="B436" s="38"/>
      <c r="C436" s="38"/>
      <c r="E436" s="38"/>
    </row>
    <row r="437">
      <c r="B437" s="38"/>
      <c r="C437" s="38"/>
      <c r="E437" s="38"/>
    </row>
    <row r="438">
      <c r="B438" s="38"/>
      <c r="C438" s="38"/>
      <c r="E438" s="38"/>
    </row>
    <row r="439">
      <c r="B439" s="38"/>
      <c r="C439" s="38"/>
      <c r="E439" s="38"/>
    </row>
    <row r="440">
      <c r="B440" s="38"/>
      <c r="C440" s="38"/>
      <c r="E440" s="38"/>
    </row>
    <row r="441">
      <c r="B441" s="38"/>
      <c r="C441" s="38"/>
      <c r="E441" s="38"/>
    </row>
    <row r="442">
      <c r="B442" s="38"/>
      <c r="C442" s="38"/>
      <c r="E442" s="38"/>
    </row>
    <row r="443">
      <c r="B443" s="38"/>
      <c r="C443" s="38"/>
      <c r="E443" s="38"/>
    </row>
    <row r="444">
      <c r="B444" s="38"/>
      <c r="C444" s="38"/>
      <c r="E444" s="38"/>
    </row>
    <row r="445">
      <c r="B445" s="38"/>
      <c r="C445" s="38"/>
      <c r="E445" s="38"/>
    </row>
    <row r="446">
      <c r="B446" s="38"/>
      <c r="C446" s="38"/>
      <c r="E446" s="38"/>
    </row>
    <row r="447">
      <c r="B447" s="38"/>
      <c r="C447" s="38"/>
      <c r="E447" s="38"/>
    </row>
    <row r="448">
      <c r="B448" s="38"/>
      <c r="C448" s="38"/>
      <c r="E448" s="38"/>
    </row>
    <row r="449">
      <c r="B449" s="38"/>
      <c r="C449" s="38"/>
      <c r="E449" s="38"/>
    </row>
    <row r="450">
      <c r="B450" s="38"/>
      <c r="C450" s="38"/>
      <c r="E450" s="38"/>
    </row>
    <row r="451">
      <c r="B451" s="38"/>
      <c r="C451" s="38"/>
      <c r="E451" s="38"/>
    </row>
    <row r="452">
      <c r="B452" s="38"/>
      <c r="C452" s="38"/>
      <c r="E452" s="38"/>
    </row>
    <row r="453">
      <c r="B453" s="38"/>
      <c r="C453" s="38"/>
      <c r="E453" s="38"/>
    </row>
    <row r="454">
      <c r="B454" s="38"/>
      <c r="C454" s="38"/>
      <c r="E454" s="38"/>
    </row>
    <row r="455">
      <c r="B455" s="38"/>
      <c r="C455" s="38"/>
      <c r="E455" s="38"/>
    </row>
    <row r="456">
      <c r="B456" s="38"/>
      <c r="C456" s="38"/>
      <c r="E456" s="38"/>
    </row>
    <row r="457">
      <c r="B457" s="38"/>
      <c r="C457" s="38"/>
      <c r="E457" s="38"/>
    </row>
    <row r="458">
      <c r="B458" s="38"/>
      <c r="C458" s="38"/>
      <c r="E458" s="38"/>
    </row>
    <row r="459">
      <c r="B459" s="38"/>
      <c r="C459" s="38"/>
      <c r="E459" s="38"/>
    </row>
    <row r="460">
      <c r="B460" s="38"/>
      <c r="C460" s="38"/>
      <c r="E460" s="38"/>
    </row>
    <row r="461">
      <c r="B461" s="38"/>
      <c r="C461" s="38"/>
      <c r="E461" s="38"/>
    </row>
    <row r="462">
      <c r="B462" s="38"/>
      <c r="C462" s="38"/>
      <c r="E462" s="38"/>
    </row>
    <row r="463">
      <c r="B463" s="38"/>
      <c r="C463" s="38"/>
      <c r="E463" s="38"/>
    </row>
    <row r="464">
      <c r="B464" s="38"/>
      <c r="C464" s="38"/>
      <c r="E464" s="38"/>
    </row>
    <row r="465">
      <c r="B465" s="38"/>
      <c r="C465" s="38"/>
      <c r="E465" s="38"/>
    </row>
    <row r="466">
      <c r="B466" s="38"/>
      <c r="C466" s="38"/>
      <c r="E466" s="38"/>
    </row>
    <row r="467">
      <c r="B467" s="38"/>
      <c r="C467" s="38"/>
      <c r="E467" s="38"/>
    </row>
    <row r="468">
      <c r="B468" s="38"/>
      <c r="C468" s="38"/>
      <c r="E468" s="38"/>
    </row>
    <row r="469">
      <c r="B469" s="38"/>
      <c r="C469" s="38"/>
      <c r="E469" s="38"/>
    </row>
    <row r="470">
      <c r="B470" s="38"/>
      <c r="C470" s="38"/>
      <c r="E470" s="38"/>
    </row>
    <row r="471">
      <c r="B471" s="38"/>
      <c r="C471" s="38"/>
      <c r="E471" s="38"/>
    </row>
    <row r="472">
      <c r="B472" s="38"/>
      <c r="C472" s="38"/>
      <c r="E472" s="38"/>
    </row>
    <row r="473">
      <c r="B473" s="38"/>
      <c r="C473" s="38"/>
      <c r="E473" s="38"/>
    </row>
    <row r="474">
      <c r="B474" s="38"/>
      <c r="C474" s="38"/>
      <c r="E474" s="38"/>
    </row>
    <row r="475">
      <c r="B475" s="38"/>
      <c r="C475" s="38"/>
      <c r="E475" s="38"/>
    </row>
    <row r="476">
      <c r="B476" s="38"/>
      <c r="C476" s="38"/>
      <c r="E476" s="38"/>
    </row>
    <row r="477">
      <c r="B477" s="38"/>
      <c r="C477" s="38"/>
      <c r="E477" s="38"/>
    </row>
    <row r="478">
      <c r="B478" s="38"/>
      <c r="C478" s="38"/>
      <c r="E478" s="38"/>
    </row>
    <row r="479">
      <c r="B479" s="38"/>
      <c r="C479" s="38"/>
      <c r="E479" s="38"/>
    </row>
    <row r="480">
      <c r="B480" s="38"/>
      <c r="C480" s="38"/>
      <c r="E480" s="38"/>
    </row>
    <row r="481">
      <c r="B481" s="38"/>
      <c r="C481" s="38"/>
      <c r="E481" s="38"/>
    </row>
    <row r="482">
      <c r="B482" s="38"/>
      <c r="C482" s="38"/>
      <c r="E482" s="38"/>
    </row>
    <row r="483">
      <c r="B483" s="38"/>
      <c r="C483" s="38"/>
      <c r="E483" s="38"/>
    </row>
    <row r="484">
      <c r="B484" s="38"/>
      <c r="C484" s="38"/>
      <c r="E484" s="38"/>
    </row>
    <row r="485">
      <c r="B485" s="38"/>
      <c r="C485" s="38"/>
      <c r="E485" s="38"/>
    </row>
    <row r="486">
      <c r="B486" s="38"/>
      <c r="C486" s="38"/>
      <c r="E486" s="38"/>
    </row>
    <row r="487">
      <c r="B487" s="38"/>
      <c r="C487" s="38"/>
      <c r="E487" s="38"/>
    </row>
    <row r="488">
      <c r="B488" s="38"/>
      <c r="C488" s="38"/>
      <c r="E488" s="38"/>
    </row>
    <row r="489">
      <c r="B489" s="38"/>
      <c r="C489" s="38"/>
      <c r="E489" s="38"/>
    </row>
    <row r="490">
      <c r="B490" s="38"/>
      <c r="C490" s="38"/>
      <c r="E490" s="38"/>
    </row>
    <row r="491">
      <c r="B491" s="38"/>
      <c r="C491" s="38"/>
      <c r="E491" s="38"/>
    </row>
    <row r="492">
      <c r="B492" s="38"/>
      <c r="C492" s="38"/>
      <c r="E492" s="38"/>
    </row>
    <row r="493">
      <c r="B493" s="38"/>
      <c r="C493" s="38"/>
      <c r="E493" s="38"/>
    </row>
    <row r="494">
      <c r="B494" s="38"/>
      <c r="C494" s="38"/>
      <c r="E494" s="38"/>
    </row>
    <row r="495">
      <c r="B495" s="38"/>
      <c r="C495" s="38"/>
      <c r="E495" s="38"/>
    </row>
    <row r="496">
      <c r="B496" s="38"/>
      <c r="C496" s="38"/>
      <c r="E496" s="38"/>
    </row>
    <row r="497">
      <c r="B497" s="38"/>
      <c r="C497" s="38"/>
      <c r="E497" s="38"/>
    </row>
    <row r="498">
      <c r="B498" s="38"/>
      <c r="C498" s="38"/>
      <c r="E498" s="38"/>
    </row>
    <row r="499">
      <c r="B499" s="38"/>
      <c r="C499" s="38"/>
      <c r="E499" s="38"/>
    </row>
    <row r="500">
      <c r="B500" s="38"/>
      <c r="C500" s="38"/>
      <c r="E500" s="38"/>
    </row>
    <row r="501">
      <c r="B501" s="38"/>
      <c r="C501" s="38"/>
      <c r="E501" s="38"/>
    </row>
    <row r="502">
      <c r="B502" s="38"/>
      <c r="C502" s="38"/>
      <c r="E502" s="38"/>
    </row>
    <row r="503">
      <c r="B503" s="38"/>
      <c r="C503" s="38"/>
      <c r="E503" s="38"/>
    </row>
    <row r="504">
      <c r="B504" s="38"/>
      <c r="C504" s="38"/>
      <c r="E504" s="38"/>
    </row>
    <row r="505">
      <c r="B505" s="38"/>
      <c r="C505" s="38"/>
      <c r="E505" s="38"/>
    </row>
    <row r="506">
      <c r="B506" s="38"/>
      <c r="C506" s="38"/>
      <c r="E506" s="38"/>
    </row>
    <row r="507">
      <c r="B507" s="38"/>
      <c r="C507" s="38"/>
      <c r="E507" s="38"/>
    </row>
    <row r="508">
      <c r="B508" s="38"/>
      <c r="C508" s="38"/>
      <c r="E508" s="38"/>
    </row>
    <row r="509">
      <c r="B509" s="38"/>
      <c r="C509" s="38"/>
      <c r="E509" s="38"/>
    </row>
    <row r="510">
      <c r="B510" s="38"/>
      <c r="C510" s="38"/>
      <c r="E510" s="38"/>
    </row>
    <row r="511">
      <c r="B511" s="38"/>
      <c r="C511" s="38"/>
      <c r="E511" s="38"/>
    </row>
    <row r="512">
      <c r="B512" s="38"/>
      <c r="C512" s="38"/>
      <c r="E512" s="38"/>
    </row>
    <row r="513">
      <c r="B513" s="38"/>
      <c r="C513" s="38"/>
      <c r="E513" s="38"/>
    </row>
    <row r="514">
      <c r="B514" s="38"/>
      <c r="C514" s="38"/>
      <c r="E514" s="38"/>
    </row>
    <row r="515">
      <c r="B515" s="38"/>
      <c r="C515" s="38"/>
      <c r="E515" s="38"/>
    </row>
    <row r="516">
      <c r="B516" s="38"/>
      <c r="C516" s="38"/>
      <c r="E516" s="38"/>
    </row>
    <row r="517">
      <c r="B517" s="38"/>
      <c r="C517" s="38"/>
      <c r="E517" s="38"/>
    </row>
    <row r="518">
      <c r="B518" s="38"/>
      <c r="C518" s="38"/>
      <c r="E518" s="38"/>
    </row>
    <row r="519">
      <c r="B519" s="38"/>
      <c r="C519" s="38"/>
      <c r="E519" s="38"/>
    </row>
    <row r="520">
      <c r="B520" s="38"/>
      <c r="C520" s="38"/>
      <c r="E520" s="38"/>
    </row>
    <row r="521">
      <c r="B521" s="38"/>
      <c r="C521" s="38"/>
      <c r="E521" s="38"/>
    </row>
    <row r="522">
      <c r="B522" s="38"/>
      <c r="C522" s="38"/>
      <c r="E522" s="38"/>
    </row>
    <row r="523">
      <c r="B523" s="38"/>
      <c r="C523" s="38"/>
      <c r="E523" s="38"/>
    </row>
    <row r="524">
      <c r="B524" s="38"/>
      <c r="C524" s="38"/>
      <c r="E524" s="38"/>
    </row>
    <row r="525">
      <c r="B525" s="38"/>
      <c r="C525" s="38"/>
      <c r="E525" s="38"/>
    </row>
    <row r="526">
      <c r="B526" s="38"/>
      <c r="C526" s="38"/>
      <c r="E526" s="38"/>
    </row>
    <row r="527">
      <c r="B527" s="38"/>
      <c r="C527" s="38"/>
      <c r="E527" s="38"/>
    </row>
    <row r="528">
      <c r="B528" s="38"/>
      <c r="C528" s="38"/>
      <c r="E528" s="38"/>
    </row>
    <row r="529">
      <c r="B529" s="38"/>
      <c r="C529" s="38"/>
      <c r="E529" s="38"/>
    </row>
    <row r="530">
      <c r="B530" s="38"/>
      <c r="C530" s="38"/>
      <c r="E530" s="38"/>
    </row>
    <row r="531">
      <c r="B531" s="38"/>
      <c r="C531" s="38"/>
      <c r="E531" s="38"/>
    </row>
    <row r="532">
      <c r="B532" s="38"/>
      <c r="C532" s="38"/>
      <c r="E532" s="38"/>
    </row>
    <row r="533">
      <c r="B533" s="38"/>
      <c r="C533" s="38"/>
      <c r="E533" s="38"/>
    </row>
    <row r="534">
      <c r="B534" s="38"/>
      <c r="C534" s="38"/>
      <c r="E534" s="38"/>
    </row>
    <row r="535">
      <c r="B535" s="38"/>
      <c r="C535" s="38"/>
      <c r="E535" s="38"/>
    </row>
    <row r="536">
      <c r="B536" s="38"/>
      <c r="C536" s="38"/>
      <c r="E536" s="38"/>
    </row>
    <row r="537">
      <c r="B537" s="38"/>
      <c r="C537" s="38"/>
      <c r="E537" s="38"/>
    </row>
    <row r="538">
      <c r="B538" s="38"/>
      <c r="C538" s="38"/>
      <c r="E538" s="38"/>
    </row>
    <row r="539">
      <c r="B539" s="38"/>
      <c r="C539" s="38"/>
      <c r="E539" s="38"/>
    </row>
    <row r="540">
      <c r="B540" s="38"/>
      <c r="C540" s="38"/>
      <c r="E540" s="38"/>
    </row>
    <row r="541">
      <c r="B541" s="38"/>
      <c r="C541" s="38"/>
      <c r="E541" s="38"/>
    </row>
    <row r="542">
      <c r="B542" s="38"/>
      <c r="C542" s="38"/>
      <c r="E542" s="38"/>
    </row>
    <row r="543">
      <c r="B543" s="38"/>
      <c r="C543" s="38"/>
      <c r="E543" s="38"/>
    </row>
    <row r="544">
      <c r="B544" s="38"/>
      <c r="C544" s="38"/>
      <c r="E544" s="38"/>
    </row>
    <row r="545">
      <c r="B545" s="38"/>
      <c r="C545" s="38"/>
      <c r="E545" s="38"/>
    </row>
    <row r="546">
      <c r="B546" s="38"/>
      <c r="C546" s="38"/>
      <c r="E546" s="38"/>
    </row>
    <row r="547">
      <c r="B547" s="38"/>
      <c r="C547" s="38"/>
      <c r="E547" s="38"/>
    </row>
    <row r="548">
      <c r="B548" s="38"/>
      <c r="C548" s="38"/>
      <c r="E548" s="38"/>
    </row>
    <row r="549">
      <c r="B549" s="38"/>
      <c r="C549" s="38"/>
      <c r="E549" s="38"/>
    </row>
    <row r="550">
      <c r="B550" s="38"/>
      <c r="C550" s="38"/>
      <c r="E550" s="38"/>
    </row>
    <row r="551">
      <c r="B551" s="38"/>
      <c r="C551" s="38"/>
      <c r="E551" s="38"/>
    </row>
    <row r="552">
      <c r="B552" s="38"/>
      <c r="C552" s="38"/>
      <c r="E552" s="38"/>
    </row>
    <row r="553">
      <c r="B553" s="38"/>
      <c r="C553" s="38"/>
      <c r="E553" s="38"/>
    </row>
    <row r="554">
      <c r="B554" s="38"/>
      <c r="C554" s="38"/>
      <c r="E554" s="38"/>
    </row>
    <row r="555">
      <c r="B555" s="38"/>
      <c r="C555" s="38"/>
      <c r="E555" s="38"/>
    </row>
    <row r="556">
      <c r="B556" s="38"/>
      <c r="C556" s="38"/>
      <c r="E556" s="38"/>
    </row>
    <row r="557">
      <c r="B557" s="38"/>
      <c r="C557" s="38"/>
      <c r="E557" s="38"/>
    </row>
    <row r="558">
      <c r="B558" s="38"/>
      <c r="C558" s="38"/>
      <c r="E558" s="38"/>
    </row>
    <row r="559">
      <c r="B559" s="38"/>
      <c r="C559" s="38"/>
      <c r="E559" s="38"/>
    </row>
    <row r="560">
      <c r="B560" s="38"/>
      <c r="C560" s="38"/>
      <c r="E560" s="38"/>
    </row>
    <row r="561">
      <c r="B561" s="38"/>
      <c r="C561" s="38"/>
      <c r="E561" s="38"/>
    </row>
    <row r="562">
      <c r="B562" s="38"/>
      <c r="C562" s="38"/>
      <c r="E562" s="38"/>
    </row>
    <row r="563">
      <c r="B563" s="38"/>
      <c r="C563" s="38"/>
      <c r="E563" s="38"/>
    </row>
    <row r="564">
      <c r="B564" s="38"/>
      <c r="C564" s="38"/>
      <c r="E564" s="38"/>
    </row>
    <row r="565">
      <c r="B565" s="38"/>
      <c r="C565" s="38"/>
      <c r="E565" s="38"/>
    </row>
    <row r="566">
      <c r="B566" s="38"/>
      <c r="C566" s="38"/>
      <c r="E566" s="38"/>
    </row>
    <row r="567">
      <c r="B567" s="38"/>
      <c r="C567" s="38"/>
      <c r="E567" s="38"/>
    </row>
    <row r="568">
      <c r="B568" s="38"/>
      <c r="C568" s="38"/>
      <c r="E568" s="38"/>
    </row>
    <row r="569">
      <c r="B569" s="38"/>
      <c r="C569" s="38"/>
      <c r="E569" s="38"/>
    </row>
    <row r="570">
      <c r="B570" s="38"/>
      <c r="C570" s="38"/>
      <c r="E570" s="38"/>
    </row>
    <row r="571">
      <c r="B571" s="38"/>
      <c r="C571" s="38"/>
      <c r="E571" s="38"/>
    </row>
    <row r="572">
      <c r="B572" s="38"/>
      <c r="C572" s="38"/>
      <c r="E572" s="38"/>
    </row>
    <row r="573">
      <c r="B573" s="38"/>
      <c r="C573" s="38"/>
      <c r="E573" s="38"/>
    </row>
    <row r="574">
      <c r="B574" s="38"/>
      <c r="C574" s="38"/>
      <c r="E574" s="38"/>
    </row>
    <row r="575">
      <c r="B575" s="38"/>
      <c r="C575" s="38"/>
      <c r="E575" s="38"/>
    </row>
    <row r="576">
      <c r="B576" s="38"/>
      <c r="C576" s="38"/>
      <c r="E576" s="38"/>
    </row>
    <row r="577">
      <c r="B577" s="38"/>
      <c r="C577" s="38"/>
      <c r="E577" s="38"/>
    </row>
    <row r="578">
      <c r="B578" s="38"/>
      <c r="C578" s="38"/>
      <c r="E578" s="38"/>
    </row>
    <row r="579">
      <c r="B579" s="38"/>
      <c r="C579" s="38"/>
      <c r="E579" s="38"/>
    </row>
    <row r="580">
      <c r="B580" s="38"/>
      <c r="C580" s="38"/>
      <c r="E580" s="38"/>
    </row>
    <row r="581">
      <c r="B581" s="38"/>
      <c r="C581" s="38"/>
      <c r="E581" s="38"/>
    </row>
    <row r="582">
      <c r="B582" s="38"/>
      <c r="C582" s="38"/>
      <c r="E582" s="38"/>
    </row>
    <row r="583">
      <c r="B583" s="38"/>
      <c r="C583" s="38"/>
      <c r="E583" s="38"/>
    </row>
    <row r="584">
      <c r="B584" s="38"/>
      <c r="C584" s="38"/>
      <c r="E584" s="38"/>
    </row>
    <row r="585">
      <c r="B585" s="38"/>
      <c r="C585" s="38"/>
      <c r="E585" s="38"/>
    </row>
    <row r="586">
      <c r="B586" s="38"/>
      <c r="C586" s="38"/>
      <c r="E586" s="38"/>
    </row>
    <row r="587">
      <c r="B587" s="38"/>
      <c r="C587" s="38"/>
      <c r="E587" s="38"/>
    </row>
    <row r="588">
      <c r="B588" s="38"/>
      <c r="C588" s="38"/>
      <c r="E588" s="38"/>
    </row>
    <row r="589">
      <c r="B589" s="38"/>
      <c r="C589" s="38"/>
      <c r="E589" s="38"/>
    </row>
    <row r="590">
      <c r="B590" s="38"/>
      <c r="C590" s="38"/>
      <c r="E590" s="38"/>
    </row>
    <row r="591">
      <c r="B591" s="38"/>
      <c r="C591" s="38"/>
      <c r="E591" s="38"/>
    </row>
    <row r="592">
      <c r="B592" s="38"/>
      <c r="C592" s="38"/>
      <c r="E592" s="38"/>
    </row>
    <row r="593">
      <c r="B593" s="38"/>
      <c r="C593" s="38"/>
      <c r="E593" s="38"/>
    </row>
    <row r="594">
      <c r="B594" s="38"/>
      <c r="C594" s="38"/>
      <c r="E594" s="38"/>
    </row>
    <row r="595">
      <c r="B595" s="38"/>
      <c r="C595" s="38"/>
      <c r="E595" s="38"/>
    </row>
    <row r="596">
      <c r="B596" s="38"/>
      <c r="C596" s="38"/>
      <c r="E596" s="38"/>
    </row>
    <row r="597">
      <c r="B597" s="38"/>
      <c r="C597" s="38"/>
      <c r="E597" s="38"/>
    </row>
    <row r="598">
      <c r="B598" s="38"/>
      <c r="C598" s="38"/>
      <c r="E598" s="38"/>
    </row>
    <row r="599">
      <c r="B599" s="38"/>
      <c r="C599" s="38"/>
      <c r="E599" s="38"/>
    </row>
    <row r="600">
      <c r="B600" s="38"/>
      <c r="C600" s="38"/>
      <c r="E600" s="38"/>
    </row>
    <row r="601">
      <c r="B601" s="38"/>
      <c r="C601" s="38"/>
      <c r="E601" s="38"/>
    </row>
    <row r="602">
      <c r="B602" s="38"/>
      <c r="C602" s="38"/>
      <c r="E602" s="38"/>
    </row>
    <row r="603">
      <c r="B603" s="38"/>
      <c r="C603" s="38"/>
      <c r="E603" s="38"/>
    </row>
    <row r="604">
      <c r="B604" s="38"/>
      <c r="C604" s="38"/>
      <c r="E604" s="38"/>
    </row>
    <row r="605">
      <c r="B605" s="38"/>
      <c r="C605" s="38"/>
      <c r="E605" s="38"/>
    </row>
    <row r="606">
      <c r="B606" s="38"/>
      <c r="C606" s="38"/>
      <c r="E606" s="38"/>
    </row>
    <row r="607">
      <c r="B607" s="38"/>
      <c r="C607" s="38"/>
      <c r="E607" s="38"/>
    </row>
    <row r="608">
      <c r="B608" s="38"/>
      <c r="C608" s="38"/>
      <c r="E608" s="38"/>
    </row>
    <row r="609">
      <c r="B609" s="38"/>
      <c r="C609" s="38"/>
      <c r="E609" s="38"/>
    </row>
    <row r="610">
      <c r="B610" s="38"/>
      <c r="C610" s="38"/>
      <c r="E610" s="38"/>
    </row>
    <row r="611">
      <c r="B611" s="38"/>
      <c r="C611" s="38"/>
      <c r="E611" s="38"/>
    </row>
    <row r="612">
      <c r="B612" s="38"/>
      <c r="C612" s="38"/>
      <c r="E612" s="38"/>
    </row>
    <row r="613">
      <c r="B613" s="38"/>
      <c r="C613" s="38"/>
      <c r="E613" s="38"/>
    </row>
    <row r="614">
      <c r="B614" s="38"/>
      <c r="C614" s="38"/>
      <c r="E614" s="38"/>
    </row>
    <row r="615">
      <c r="B615" s="38"/>
      <c r="C615" s="38"/>
      <c r="E615" s="38"/>
    </row>
    <row r="616">
      <c r="B616" s="38"/>
      <c r="C616" s="38"/>
      <c r="E616" s="38"/>
    </row>
    <row r="617">
      <c r="B617" s="38"/>
      <c r="C617" s="38"/>
      <c r="E617" s="38"/>
    </row>
    <row r="618">
      <c r="B618" s="38"/>
      <c r="C618" s="38"/>
      <c r="E618" s="38"/>
    </row>
    <row r="619">
      <c r="B619" s="38"/>
      <c r="C619" s="38"/>
      <c r="E619" s="38"/>
    </row>
    <row r="620">
      <c r="B620" s="38"/>
      <c r="C620" s="38"/>
      <c r="E620" s="38"/>
    </row>
    <row r="621">
      <c r="B621" s="38"/>
      <c r="C621" s="38"/>
      <c r="E621" s="38"/>
    </row>
    <row r="622">
      <c r="B622" s="38"/>
      <c r="C622" s="38"/>
      <c r="E622" s="38"/>
    </row>
    <row r="623">
      <c r="B623" s="38"/>
      <c r="C623" s="38"/>
      <c r="E623" s="38"/>
    </row>
    <row r="624">
      <c r="B624" s="38"/>
      <c r="C624" s="38"/>
      <c r="E624" s="38"/>
    </row>
    <row r="625">
      <c r="B625" s="38"/>
      <c r="C625" s="38"/>
      <c r="E625" s="38"/>
    </row>
    <row r="626">
      <c r="B626" s="38"/>
      <c r="C626" s="38"/>
      <c r="E626" s="38"/>
    </row>
    <row r="627">
      <c r="B627" s="38"/>
      <c r="C627" s="38"/>
      <c r="E627" s="38"/>
    </row>
    <row r="628">
      <c r="B628" s="38"/>
      <c r="C628" s="38"/>
      <c r="E628" s="38"/>
    </row>
    <row r="629">
      <c r="B629" s="38"/>
      <c r="C629" s="38"/>
      <c r="E629" s="38"/>
    </row>
    <row r="630">
      <c r="B630" s="38"/>
      <c r="C630" s="38"/>
      <c r="E630" s="38"/>
    </row>
    <row r="631">
      <c r="B631" s="38"/>
      <c r="C631" s="38"/>
      <c r="E631" s="38"/>
    </row>
    <row r="632">
      <c r="B632" s="38"/>
      <c r="C632" s="38"/>
      <c r="E632" s="38"/>
    </row>
    <row r="633">
      <c r="B633" s="38"/>
      <c r="C633" s="38"/>
      <c r="E633" s="38"/>
    </row>
    <row r="634">
      <c r="B634" s="38"/>
      <c r="C634" s="38"/>
      <c r="E634" s="38"/>
    </row>
    <row r="635">
      <c r="B635" s="38"/>
      <c r="C635" s="38"/>
      <c r="E635" s="38"/>
    </row>
    <row r="636">
      <c r="B636" s="38"/>
      <c r="C636" s="38"/>
      <c r="E636" s="38"/>
    </row>
    <row r="637">
      <c r="B637" s="38"/>
      <c r="C637" s="38"/>
      <c r="E637" s="38"/>
    </row>
    <row r="638">
      <c r="B638" s="38"/>
      <c r="C638" s="38"/>
      <c r="E638" s="38"/>
    </row>
    <row r="639">
      <c r="B639" s="38"/>
      <c r="C639" s="38"/>
      <c r="E639" s="38"/>
    </row>
    <row r="640">
      <c r="B640" s="38"/>
      <c r="C640" s="38"/>
      <c r="E640" s="38"/>
    </row>
    <row r="641">
      <c r="B641" s="38"/>
      <c r="C641" s="38"/>
      <c r="E641" s="38"/>
    </row>
    <row r="642">
      <c r="B642" s="38"/>
      <c r="C642" s="38"/>
      <c r="E642" s="38"/>
    </row>
    <row r="643">
      <c r="B643" s="38"/>
      <c r="C643" s="38"/>
      <c r="E643" s="38"/>
    </row>
    <row r="644">
      <c r="B644" s="38"/>
      <c r="C644" s="38"/>
      <c r="E644" s="38"/>
    </row>
    <row r="645">
      <c r="B645" s="38"/>
      <c r="C645" s="38"/>
      <c r="E645" s="38"/>
    </row>
    <row r="646">
      <c r="B646" s="38"/>
      <c r="C646" s="38"/>
      <c r="E646" s="38"/>
    </row>
    <row r="647">
      <c r="B647" s="38"/>
      <c r="C647" s="38"/>
      <c r="E647" s="38"/>
    </row>
    <row r="648">
      <c r="B648" s="38"/>
      <c r="C648" s="38"/>
      <c r="E648" s="38"/>
    </row>
    <row r="649">
      <c r="B649" s="38"/>
      <c r="C649" s="38"/>
      <c r="E649" s="38"/>
    </row>
    <row r="650">
      <c r="B650" s="38"/>
      <c r="C650" s="38"/>
      <c r="E650" s="38"/>
    </row>
    <row r="651">
      <c r="B651" s="38"/>
      <c r="C651" s="38"/>
      <c r="E651" s="38"/>
    </row>
    <row r="652">
      <c r="B652" s="38"/>
      <c r="C652" s="38"/>
      <c r="E652" s="38"/>
    </row>
    <row r="653">
      <c r="B653" s="38"/>
      <c r="C653" s="38"/>
      <c r="E653" s="38"/>
    </row>
    <row r="654">
      <c r="B654" s="38"/>
      <c r="C654" s="38"/>
      <c r="E654" s="38"/>
    </row>
    <row r="655">
      <c r="B655" s="38"/>
      <c r="C655" s="38"/>
      <c r="E655" s="38"/>
    </row>
    <row r="656">
      <c r="B656" s="38"/>
      <c r="C656" s="38"/>
      <c r="E656" s="38"/>
    </row>
    <row r="657">
      <c r="B657" s="38"/>
      <c r="C657" s="38"/>
      <c r="E657" s="38"/>
    </row>
    <row r="658">
      <c r="B658" s="38"/>
      <c r="C658" s="38"/>
      <c r="E658" s="38"/>
    </row>
    <row r="659">
      <c r="B659" s="38"/>
      <c r="C659" s="38"/>
      <c r="E659" s="38"/>
    </row>
    <row r="660">
      <c r="B660" s="38"/>
      <c r="C660" s="38"/>
      <c r="E660" s="38"/>
    </row>
    <row r="661">
      <c r="B661" s="38"/>
      <c r="C661" s="38"/>
      <c r="E661" s="38"/>
    </row>
    <row r="662">
      <c r="B662" s="38"/>
      <c r="C662" s="38"/>
      <c r="E662" s="38"/>
    </row>
    <row r="663">
      <c r="B663" s="38"/>
      <c r="C663" s="38"/>
      <c r="E663" s="38"/>
    </row>
    <row r="664">
      <c r="B664" s="38"/>
      <c r="C664" s="38"/>
      <c r="E664" s="38"/>
    </row>
    <row r="665">
      <c r="B665" s="38"/>
      <c r="C665" s="38"/>
      <c r="E665" s="38"/>
    </row>
    <row r="666">
      <c r="B666" s="38"/>
      <c r="C666" s="38"/>
      <c r="E666" s="38"/>
    </row>
    <row r="667">
      <c r="B667" s="38"/>
      <c r="C667" s="38"/>
      <c r="E667" s="38"/>
    </row>
    <row r="668">
      <c r="B668" s="38"/>
      <c r="C668" s="38"/>
      <c r="E668" s="38"/>
    </row>
    <row r="669">
      <c r="B669" s="38"/>
      <c r="C669" s="38"/>
      <c r="E669" s="38"/>
    </row>
    <row r="670">
      <c r="B670" s="38"/>
      <c r="C670" s="38"/>
      <c r="E670" s="38"/>
    </row>
    <row r="671">
      <c r="B671" s="38"/>
      <c r="C671" s="38"/>
      <c r="E671" s="38"/>
    </row>
    <row r="672">
      <c r="B672" s="38"/>
      <c r="C672" s="38"/>
      <c r="E672" s="38"/>
    </row>
    <row r="673">
      <c r="B673" s="38"/>
      <c r="C673" s="38"/>
      <c r="E673" s="38"/>
    </row>
    <row r="674">
      <c r="B674" s="38"/>
      <c r="C674" s="38"/>
      <c r="E674" s="38"/>
    </row>
    <row r="675">
      <c r="B675" s="38"/>
      <c r="C675" s="38"/>
      <c r="E675" s="38"/>
    </row>
    <row r="676">
      <c r="B676" s="38"/>
      <c r="C676" s="38"/>
      <c r="E676" s="38"/>
    </row>
    <row r="677">
      <c r="B677" s="38"/>
      <c r="C677" s="38"/>
      <c r="E677" s="38"/>
    </row>
    <row r="678">
      <c r="B678" s="38"/>
      <c r="C678" s="38"/>
      <c r="E678" s="38"/>
    </row>
    <row r="679">
      <c r="B679" s="38"/>
      <c r="C679" s="38"/>
      <c r="E679" s="38"/>
    </row>
    <row r="680">
      <c r="B680" s="38"/>
      <c r="C680" s="38"/>
      <c r="E680" s="38"/>
    </row>
    <row r="681">
      <c r="B681" s="38"/>
      <c r="C681" s="38"/>
      <c r="E681" s="38"/>
    </row>
    <row r="682">
      <c r="B682" s="38"/>
      <c r="C682" s="38"/>
      <c r="E682" s="38"/>
    </row>
    <row r="683">
      <c r="B683" s="38"/>
      <c r="C683" s="38"/>
      <c r="E683" s="38"/>
    </row>
    <row r="684">
      <c r="B684" s="38"/>
      <c r="C684" s="38"/>
      <c r="E684" s="38"/>
    </row>
    <row r="685">
      <c r="B685" s="38"/>
      <c r="C685" s="38"/>
      <c r="E685" s="38"/>
    </row>
    <row r="686">
      <c r="B686" s="38"/>
      <c r="C686" s="38"/>
      <c r="E686" s="38"/>
    </row>
    <row r="687">
      <c r="B687" s="38"/>
      <c r="C687" s="38"/>
      <c r="E687" s="38"/>
    </row>
    <row r="688">
      <c r="B688" s="38"/>
      <c r="C688" s="38"/>
      <c r="E688" s="38"/>
    </row>
    <row r="689">
      <c r="B689" s="38"/>
      <c r="C689" s="38"/>
      <c r="E689" s="38"/>
    </row>
    <row r="690">
      <c r="B690" s="38"/>
      <c r="C690" s="38"/>
      <c r="E690" s="38"/>
    </row>
    <row r="691">
      <c r="B691" s="38"/>
      <c r="C691" s="38"/>
      <c r="E691" s="38"/>
    </row>
    <row r="692">
      <c r="B692" s="38"/>
      <c r="C692" s="38"/>
      <c r="E692" s="38"/>
    </row>
    <row r="693">
      <c r="B693" s="38"/>
      <c r="C693" s="38"/>
      <c r="E693" s="38"/>
    </row>
    <row r="694">
      <c r="B694" s="38"/>
      <c r="C694" s="38"/>
      <c r="E694" s="38"/>
    </row>
    <row r="695">
      <c r="B695" s="38"/>
      <c r="C695" s="38"/>
      <c r="E695" s="38"/>
    </row>
    <row r="696">
      <c r="B696" s="38"/>
      <c r="C696" s="38"/>
      <c r="E696" s="38"/>
    </row>
    <row r="697">
      <c r="B697" s="38"/>
      <c r="C697" s="38"/>
      <c r="E697" s="38"/>
    </row>
    <row r="698">
      <c r="B698" s="38"/>
      <c r="C698" s="38"/>
      <c r="E698" s="38"/>
    </row>
    <row r="699">
      <c r="B699" s="38"/>
      <c r="C699" s="38"/>
      <c r="E699" s="38"/>
    </row>
    <row r="700">
      <c r="B700" s="38"/>
      <c r="C700" s="38"/>
      <c r="E700" s="38"/>
    </row>
    <row r="701">
      <c r="B701" s="38"/>
      <c r="C701" s="38"/>
      <c r="E701" s="38"/>
    </row>
    <row r="702">
      <c r="B702" s="38"/>
      <c r="C702" s="38"/>
      <c r="E702" s="38"/>
    </row>
    <row r="703">
      <c r="B703" s="38"/>
      <c r="C703" s="38"/>
      <c r="E703" s="38"/>
    </row>
    <row r="704">
      <c r="B704" s="38"/>
      <c r="C704" s="38"/>
      <c r="E704" s="38"/>
    </row>
    <row r="705">
      <c r="B705" s="38"/>
      <c r="C705" s="38"/>
      <c r="E705" s="38"/>
    </row>
    <row r="706">
      <c r="B706" s="38"/>
      <c r="C706" s="38"/>
      <c r="E706" s="38"/>
    </row>
    <row r="707">
      <c r="B707" s="38"/>
      <c r="C707" s="38"/>
      <c r="E707" s="38"/>
    </row>
    <row r="708">
      <c r="B708" s="38"/>
      <c r="C708" s="38"/>
      <c r="E708" s="38"/>
    </row>
    <row r="709">
      <c r="B709" s="38"/>
      <c r="C709" s="38"/>
      <c r="E709" s="38"/>
    </row>
    <row r="710">
      <c r="B710" s="38"/>
      <c r="C710" s="38"/>
      <c r="E710" s="38"/>
    </row>
    <row r="711">
      <c r="B711" s="38"/>
      <c r="C711" s="38"/>
      <c r="E711" s="38"/>
    </row>
    <row r="712">
      <c r="B712" s="38"/>
      <c r="C712" s="38"/>
      <c r="E712" s="38"/>
    </row>
    <row r="713">
      <c r="B713" s="38"/>
      <c r="C713" s="38"/>
      <c r="E713" s="38"/>
    </row>
    <row r="714">
      <c r="B714" s="38"/>
      <c r="C714" s="38"/>
      <c r="E714" s="38"/>
    </row>
    <row r="715">
      <c r="B715" s="38"/>
      <c r="C715" s="38"/>
      <c r="E715" s="38"/>
    </row>
    <row r="716">
      <c r="B716" s="38"/>
      <c r="C716" s="38"/>
      <c r="E716" s="38"/>
    </row>
    <row r="717">
      <c r="B717" s="38"/>
      <c r="C717" s="38"/>
      <c r="E717" s="38"/>
    </row>
    <row r="718">
      <c r="B718" s="38"/>
      <c r="C718" s="38"/>
      <c r="E718" s="38"/>
    </row>
    <row r="719">
      <c r="B719" s="38"/>
      <c r="C719" s="38"/>
      <c r="E719" s="38"/>
    </row>
    <row r="720">
      <c r="B720" s="38"/>
      <c r="C720" s="38"/>
      <c r="E720" s="38"/>
    </row>
    <row r="721">
      <c r="B721" s="38"/>
      <c r="C721" s="38"/>
      <c r="E721" s="38"/>
    </row>
    <row r="722">
      <c r="B722" s="38"/>
      <c r="C722" s="38"/>
      <c r="E722" s="38"/>
    </row>
    <row r="723">
      <c r="B723" s="38"/>
      <c r="C723" s="38"/>
      <c r="E723" s="38"/>
    </row>
    <row r="724">
      <c r="B724" s="38"/>
      <c r="C724" s="38"/>
      <c r="E724" s="38"/>
    </row>
    <row r="725">
      <c r="B725" s="38"/>
      <c r="C725" s="38"/>
      <c r="E725" s="38"/>
    </row>
    <row r="726">
      <c r="B726" s="38"/>
      <c r="C726" s="38"/>
      <c r="E726" s="38"/>
    </row>
    <row r="727">
      <c r="B727" s="38"/>
      <c r="C727" s="38"/>
      <c r="E727" s="38"/>
    </row>
    <row r="728">
      <c r="B728" s="38"/>
      <c r="C728" s="38"/>
      <c r="E728" s="38"/>
    </row>
    <row r="729">
      <c r="B729" s="38"/>
      <c r="C729" s="38"/>
      <c r="E729" s="38"/>
    </row>
    <row r="730">
      <c r="B730" s="38"/>
      <c r="C730" s="38"/>
      <c r="E730" s="38"/>
    </row>
    <row r="731">
      <c r="B731" s="38"/>
      <c r="C731" s="38"/>
      <c r="E731" s="38"/>
    </row>
    <row r="732">
      <c r="B732" s="38"/>
      <c r="C732" s="38"/>
      <c r="E732" s="38"/>
    </row>
    <row r="733">
      <c r="B733" s="38"/>
      <c r="C733" s="38"/>
      <c r="E733" s="38"/>
    </row>
    <row r="734">
      <c r="B734" s="38"/>
      <c r="C734" s="38"/>
      <c r="E734" s="38"/>
    </row>
    <row r="735">
      <c r="B735" s="38"/>
      <c r="C735" s="38"/>
      <c r="E735" s="38"/>
    </row>
    <row r="736">
      <c r="B736" s="38"/>
      <c r="C736" s="38"/>
      <c r="E736" s="38"/>
    </row>
    <row r="737">
      <c r="B737" s="38"/>
      <c r="C737" s="38"/>
      <c r="E737" s="38"/>
    </row>
    <row r="738">
      <c r="B738" s="38"/>
      <c r="C738" s="38"/>
      <c r="E738" s="38"/>
    </row>
    <row r="739">
      <c r="B739" s="38"/>
      <c r="C739" s="38"/>
      <c r="E739" s="38"/>
    </row>
    <row r="740">
      <c r="B740" s="38"/>
      <c r="C740" s="38"/>
      <c r="E740" s="38"/>
    </row>
    <row r="741">
      <c r="B741" s="38"/>
      <c r="C741" s="38"/>
      <c r="E741" s="38"/>
    </row>
    <row r="742">
      <c r="B742" s="38"/>
      <c r="C742" s="38"/>
      <c r="E742" s="38"/>
    </row>
    <row r="743">
      <c r="B743" s="38"/>
      <c r="C743" s="38"/>
      <c r="E743" s="38"/>
    </row>
    <row r="744">
      <c r="B744" s="38"/>
      <c r="C744" s="38"/>
      <c r="E744" s="38"/>
    </row>
    <row r="745">
      <c r="B745" s="38"/>
      <c r="C745" s="38"/>
      <c r="E745" s="38"/>
    </row>
    <row r="746">
      <c r="B746" s="38"/>
      <c r="C746" s="38"/>
      <c r="E746" s="38"/>
    </row>
    <row r="747">
      <c r="B747" s="38"/>
      <c r="C747" s="38"/>
      <c r="E747" s="38"/>
    </row>
    <row r="748">
      <c r="B748" s="38"/>
      <c r="C748" s="38"/>
      <c r="E748" s="38"/>
    </row>
    <row r="749">
      <c r="B749" s="38"/>
      <c r="C749" s="38"/>
      <c r="E749" s="38"/>
    </row>
    <row r="750">
      <c r="B750" s="38"/>
      <c r="C750" s="38"/>
      <c r="E750" s="38"/>
    </row>
    <row r="751">
      <c r="B751" s="38"/>
      <c r="C751" s="38"/>
      <c r="E751" s="38"/>
    </row>
    <row r="752">
      <c r="B752" s="38"/>
      <c r="C752" s="38"/>
      <c r="E752" s="38"/>
    </row>
    <row r="753">
      <c r="B753" s="38"/>
      <c r="C753" s="38"/>
      <c r="E753" s="38"/>
    </row>
    <row r="754">
      <c r="B754" s="38"/>
      <c r="C754" s="38"/>
      <c r="E754" s="38"/>
    </row>
    <row r="755">
      <c r="B755" s="38"/>
      <c r="C755" s="38"/>
      <c r="E755" s="38"/>
    </row>
    <row r="756">
      <c r="B756" s="38"/>
      <c r="C756" s="38"/>
      <c r="E756" s="38"/>
    </row>
    <row r="757">
      <c r="B757" s="38"/>
      <c r="C757" s="38"/>
      <c r="E757" s="38"/>
    </row>
    <row r="758">
      <c r="B758" s="38"/>
      <c r="C758" s="38"/>
      <c r="E758" s="38"/>
    </row>
    <row r="759">
      <c r="B759" s="38"/>
      <c r="C759" s="38"/>
      <c r="E759" s="38"/>
    </row>
    <row r="760">
      <c r="B760" s="38"/>
      <c r="C760" s="38"/>
      <c r="E760" s="38"/>
    </row>
    <row r="761">
      <c r="B761" s="38"/>
      <c r="C761" s="38"/>
      <c r="E761" s="38"/>
    </row>
    <row r="762">
      <c r="B762" s="38"/>
      <c r="C762" s="38"/>
      <c r="E762" s="38"/>
    </row>
    <row r="763">
      <c r="B763" s="38"/>
      <c r="C763" s="38"/>
      <c r="E763" s="38"/>
    </row>
    <row r="764">
      <c r="B764" s="38"/>
      <c r="C764" s="38"/>
      <c r="E764" s="38"/>
    </row>
    <row r="765">
      <c r="B765" s="38"/>
      <c r="C765" s="38"/>
      <c r="E765" s="38"/>
    </row>
    <row r="766">
      <c r="B766" s="38"/>
      <c r="C766" s="38"/>
      <c r="E766" s="38"/>
    </row>
    <row r="767">
      <c r="B767" s="38"/>
      <c r="C767" s="38"/>
      <c r="E767" s="38"/>
    </row>
    <row r="768">
      <c r="B768" s="38"/>
      <c r="C768" s="38"/>
      <c r="E768" s="38"/>
    </row>
    <row r="769">
      <c r="B769" s="38"/>
      <c r="C769" s="38"/>
      <c r="E769" s="38"/>
    </row>
    <row r="770">
      <c r="B770" s="38"/>
      <c r="C770" s="38"/>
      <c r="E770" s="38"/>
    </row>
    <row r="771">
      <c r="B771" s="38"/>
      <c r="C771" s="38"/>
      <c r="E771" s="38"/>
    </row>
    <row r="772">
      <c r="B772" s="38"/>
      <c r="C772" s="38"/>
      <c r="E772" s="38"/>
    </row>
    <row r="773">
      <c r="B773" s="38"/>
      <c r="C773" s="38"/>
      <c r="E773" s="38"/>
    </row>
    <row r="774">
      <c r="B774" s="38"/>
      <c r="C774" s="38"/>
      <c r="E774" s="38"/>
    </row>
    <row r="775">
      <c r="B775" s="38"/>
      <c r="C775" s="38"/>
      <c r="E775" s="38"/>
    </row>
    <row r="776">
      <c r="B776" s="38"/>
      <c r="C776" s="38"/>
      <c r="E776" s="38"/>
    </row>
    <row r="777">
      <c r="B777" s="38"/>
      <c r="C777" s="38"/>
      <c r="E777" s="38"/>
    </row>
    <row r="778">
      <c r="B778" s="38"/>
      <c r="C778" s="38"/>
      <c r="E778" s="38"/>
    </row>
    <row r="779">
      <c r="B779" s="38"/>
      <c r="C779" s="38"/>
      <c r="E779" s="38"/>
    </row>
    <row r="780">
      <c r="B780" s="38"/>
      <c r="C780" s="38"/>
      <c r="E780" s="38"/>
    </row>
    <row r="781">
      <c r="B781" s="38"/>
      <c r="C781" s="38"/>
      <c r="E781" s="38"/>
    </row>
    <row r="782">
      <c r="B782" s="38"/>
      <c r="C782" s="38"/>
      <c r="E782" s="38"/>
    </row>
    <row r="783">
      <c r="B783" s="38"/>
      <c r="C783" s="38"/>
      <c r="E783" s="38"/>
    </row>
    <row r="784">
      <c r="B784" s="38"/>
      <c r="C784" s="38"/>
      <c r="E784" s="38"/>
    </row>
    <row r="785">
      <c r="B785" s="38"/>
      <c r="C785" s="38"/>
      <c r="E785" s="38"/>
    </row>
    <row r="786">
      <c r="B786" s="38"/>
      <c r="C786" s="38"/>
      <c r="E786" s="38"/>
    </row>
    <row r="787">
      <c r="B787" s="38"/>
      <c r="C787" s="38"/>
      <c r="E787" s="38"/>
    </row>
    <row r="788">
      <c r="B788" s="38"/>
      <c r="C788" s="38"/>
      <c r="E788" s="38"/>
    </row>
    <row r="789">
      <c r="B789" s="38"/>
      <c r="C789" s="38"/>
      <c r="E789" s="38"/>
    </row>
    <row r="790">
      <c r="B790" s="38"/>
      <c r="C790" s="38"/>
      <c r="E790" s="38"/>
    </row>
    <row r="791">
      <c r="B791" s="38"/>
      <c r="C791" s="38"/>
      <c r="E791" s="38"/>
    </row>
    <row r="792">
      <c r="B792" s="38"/>
      <c r="C792" s="38"/>
      <c r="E792" s="38"/>
    </row>
    <row r="793">
      <c r="B793" s="38"/>
      <c r="C793" s="38"/>
      <c r="E793" s="38"/>
    </row>
    <row r="794">
      <c r="B794" s="38"/>
      <c r="C794" s="38"/>
      <c r="E794" s="38"/>
    </row>
    <row r="795">
      <c r="B795" s="38"/>
      <c r="C795" s="38"/>
      <c r="E795" s="38"/>
    </row>
    <row r="796">
      <c r="B796" s="38"/>
      <c r="C796" s="38"/>
      <c r="E796" s="38"/>
    </row>
    <row r="797">
      <c r="B797" s="38"/>
      <c r="C797" s="38"/>
      <c r="E797" s="38"/>
    </row>
    <row r="798">
      <c r="B798" s="38"/>
      <c r="C798" s="38"/>
      <c r="E798" s="38"/>
    </row>
    <row r="799">
      <c r="B799" s="38"/>
      <c r="C799" s="38"/>
      <c r="E799" s="38"/>
    </row>
    <row r="800">
      <c r="B800" s="38"/>
      <c r="C800" s="38"/>
      <c r="E800" s="38"/>
    </row>
    <row r="801">
      <c r="B801" s="38"/>
      <c r="C801" s="38"/>
      <c r="E801" s="38"/>
    </row>
    <row r="802">
      <c r="B802" s="38"/>
      <c r="C802" s="38"/>
      <c r="E802" s="38"/>
    </row>
    <row r="803">
      <c r="B803" s="38"/>
      <c r="C803" s="38"/>
      <c r="E803" s="38"/>
    </row>
    <row r="804">
      <c r="B804" s="38"/>
      <c r="C804" s="38"/>
      <c r="E804" s="38"/>
    </row>
    <row r="805">
      <c r="B805" s="38"/>
      <c r="C805" s="38"/>
      <c r="E805" s="38"/>
    </row>
    <row r="806">
      <c r="B806" s="38"/>
      <c r="C806" s="38"/>
      <c r="E806" s="38"/>
    </row>
    <row r="807">
      <c r="B807" s="38"/>
      <c r="C807" s="38"/>
      <c r="E807" s="38"/>
    </row>
    <row r="808">
      <c r="B808" s="38"/>
      <c r="C808" s="38"/>
      <c r="E808" s="38"/>
    </row>
    <row r="809">
      <c r="B809" s="38"/>
      <c r="C809" s="38"/>
      <c r="E809" s="38"/>
    </row>
    <row r="810">
      <c r="B810" s="38"/>
      <c r="C810" s="38"/>
      <c r="E810" s="38"/>
    </row>
    <row r="811">
      <c r="B811" s="38"/>
      <c r="C811" s="38"/>
      <c r="E811" s="38"/>
    </row>
    <row r="812">
      <c r="B812" s="38"/>
      <c r="C812" s="38"/>
      <c r="E812" s="38"/>
    </row>
    <row r="813">
      <c r="B813" s="38"/>
      <c r="C813" s="38"/>
      <c r="E813" s="38"/>
    </row>
    <row r="814">
      <c r="B814" s="38"/>
      <c r="C814" s="38"/>
      <c r="E814" s="38"/>
    </row>
    <row r="815">
      <c r="B815" s="38"/>
      <c r="C815" s="38"/>
      <c r="E815" s="38"/>
    </row>
    <row r="816">
      <c r="B816" s="38"/>
      <c r="C816" s="38"/>
      <c r="E816" s="38"/>
    </row>
    <row r="817">
      <c r="B817" s="38"/>
      <c r="C817" s="38"/>
      <c r="E817" s="38"/>
    </row>
    <row r="818">
      <c r="B818" s="38"/>
      <c r="C818" s="38"/>
      <c r="E818" s="38"/>
    </row>
    <row r="819">
      <c r="B819" s="38"/>
      <c r="C819" s="38"/>
      <c r="E819" s="38"/>
    </row>
    <row r="820">
      <c r="B820" s="38"/>
      <c r="C820" s="38"/>
      <c r="E820" s="38"/>
    </row>
    <row r="821">
      <c r="B821" s="38"/>
      <c r="C821" s="38"/>
      <c r="E821" s="38"/>
    </row>
    <row r="822">
      <c r="B822" s="38"/>
      <c r="C822" s="38"/>
      <c r="E822" s="38"/>
    </row>
    <row r="823">
      <c r="B823" s="38"/>
      <c r="C823" s="38"/>
      <c r="E823" s="38"/>
    </row>
    <row r="824">
      <c r="B824" s="38"/>
      <c r="C824" s="38"/>
      <c r="E824" s="38"/>
    </row>
    <row r="825">
      <c r="B825" s="38"/>
      <c r="C825" s="38"/>
      <c r="E825" s="38"/>
    </row>
    <row r="826">
      <c r="B826" s="38"/>
      <c r="C826" s="38"/>
      <c r="E826" s="38"/>
    </row>
    <row r="827">
      <c r="B827" s="38"/>
      <c r="C827" s="38"/>
      <c r="E827" s="38"/>
    </row>
    <row r="828">
      <c r="B828" s="38"/>
      <c r="C828" s="38"/>
      <c r="E828" s="38"/>
    </row>
    <row r="829">
      <c r="B829" s="38"/>
      <c r="C829" s="38"/>
      <c r="E829" s="38"/>
    </row>
    <row r="830">
      <c r="B830" s="38"/>
      <c r="C830" s="38"/>
      <c r="E830" s="38"/>
    </row>
    <row r="831">
      <c r="B831" s="38"/>
      <c r="C831" s="38"/>
      <c r="E831" s="38"/>
    </row>
    <row r="832">
      <c r="B832" s="38"/>
      <c r="C832" s="38"/>
      <c r="E832" s="38"/>
    </row>
    <row r="833">
      <c r="B833" s="38"/>
      <c r="C833" s="38"/>
      <c r="E833" s="38"/>
    </row>
    <row r="834">
      <c r="B834" s="38"/>
      <c r="C834" s="38"/>
      <c r="E834" s="38"/>
    </row>
    <row r="835">
      <c r="B835" s="38"/>
      <c r="C835" s="38"/>
      <c r="E835" s="38"/>
    </row>
    <row r="836">
      <c r="B836" s="38"/>
      <c r="C836" s="38"/>
      <c r="E836" s="38"/>
    </row>
    <row r="837">
      <c r="B837" s="38"/>
      <c r="C837" s="38"/>
      <c r="E837" s="38"/>
    </row>
    <row r="838">
      <c r="B838" s="38"/>
      <c r="C838" s="38"/>
      <c r="E838" s="38"/>
    </row>
    <row r="839">
      <c r="B839" s="38"/>
      <c r="C839" s="38"/>
      <c r="E839" s="38"/>
    </row>
    <row r="840">
      <c r="B840" s="38"/>
      <c r="C840" s="38"/>
      <c r="E840" s="38"/>
    </row>
    <row r="841">
      <c r="B841" s="38"/>
      <c r="C841" s="38"/>
      <c r="E841" s="38"/>
    </row>
    <row r="842">
      <c r="B842" s="38"/>
      <c r="C842" s="38"/>
      <c r="E842" s="38"/>
    </row>
    <row r="843">
      <c r="B843" s="38"/>
      <c r="C843" s="38"/>
      <c r="E843" s="38"/>
    </row>
    <row r="844">
      <c r="B844" s="38"/>
      <c r="C844" s="38"/>
      <c r="E844" s="38"/>
    </row>
    <row r="845">
      <c r="B845" s="38"/>
      <c r="C845" s="38"/>
      <c r="E845" s="38"/>
    </row>
    <row r="846">
      <c r="B846" s="38"/>
      <c r="C846" s="38"/>
      <c r="E846" s="38"/>
    </row>
    <row r="847">
      <c r="B847" s="38"/>
      <c r="C847" s="38"/>
      <c r="E847" s="38"/>
    </row>
    <row r="848">
      <c r="B848" s="38"/>
      <c r="C848" s="38"/>
      <c r="E848" s="38"/>
    </row>
    <row r="849">
      <c r="B849" s="38"/>
      <c r="C849" s="38"/>
      <c r="E849" s="38"/>
    </row>
    <row r="850">
      <c r="B850" s="38"/>
      <c r="C850" s="38"/>
      <c r="E850" s="38"/>
    </row>
    <row r="851">
      <c r="B851" s="38"/>
      <c r="C851" s="38"/>
      <c r="E851" s="38"/>
    </row>
    <row r="852">
      <c r="B852" s="38"/>
      <c r="C852" s="38"/>
      <c r="E852" s="38"/>
    </row>
    <row r="853">
      <c r="B853" s="38"/>
      <c r="C853" s="38"/>
      <c r="E853" s="38"/>
    </row>
    <row r="854">
      <c r="B854" s="38"/>
      <c r="C854" s="38"/>
      <c r="E854" s="38"/>
    </row>
    <row r="855">
      <c r="B855" s="38"/>
      <c r="C855" s="38"/>
      <c r="E855" s="38"/>
    </row>
    <row r="856">
      <c r="B856" s="38"/>
      <c r="C856" s="38"/>
      <c r="E856" s="38"/>
    </row>
    <row r="857">
      <c r="B857" s="38"/>
      <c r="C857" s="38"/>
      <c r="E857" s="38"/>
    </row>
    <row r="858">
      <c r="B858" s="38"/>
      <c r="C858" s="38"/>
      <c r="E858" s="38"/>
    </row>
    <row r="859">
      <c r="B859" s="38"/>
      <c r="C859" s="38"/>
      <c r="E859" s="38"/>
    </row>
    <row r="860">
      <c r="B860" s="38"/>
      <c r="C860" s="38"/>
      <c r="E860" s="38"/>
    </row>
    <row r="861">
      <c r="B861" s="38"/>
      <c r="C861" s="38"/>
      <c r="E861" s="38"/>
    </row>
    <row r="862">
      <c r="B862" s="38"/>
      <c r="C862" s="38"/>
      <c r="E862" s="38"/>
    </row>
    <row r="863">
      <c r="B863" s="38"/>
      <c r="C863" s="38"/>
      <c r="E863" s="38"/>
    </row>
    <row r="864">
      <c r="B864" s="38"/>
      <c r="C864" s="38"/>
      <c r="E864" s="38"/>
    </row>
    <row r="865">
      <c r="B865" s="38"/>
      <c r="C865" s="38"/>
      <c r="E865" s="38"/>
    </row>
    <row r="866">
      <c r="B866" s="38"/>
      <c r="C866" s="38"/>
      <c r="E866" s="38"/>
    </row>
    <row r="867">
      <c r="B867" s="38"/>
      <c r="C867" s="38"/>
      <c r="E867" s="38"/>
    </row>
    <row r="868">
      <c r="B868" s="38"/>
      <c r="C868" s="38"/>
      <c r="E868" s="38"/>
    </row>
    <row r="869">
      <c r="B869" s="38"/>
      <c r="C869" s="38"/>
      <c r="E869" s="38"/>
    </row>
    <row r="870">
      <c r="B870" s="38"/>
      <c r="C870" s="38"/>
      <c r="E870" s="38"/>
    </row>
    <row r="871">
      <c r="B871" s="38"/>
      <c r="C871" s="38"/>
      <c r="E871" s="38"/>
    </row>
    <row r="872">
      <c r="B872" s="38"/>
      <c r="C872" s="38"/>
      <c r="E872" s="38"/>
    </row>
    <row r="873">
      <c r="B873" s="38"/>
      <c r="C873" s="38"/>
      <c r="E873" s="38"/>
    </row>
    <row r="874">
      <c r="B874" s="38"/>
      <c r="C874" s="38"/>
      <c r="E874" s="38"/>
    </row>
    <row r="875">
      <c r="B875" s="38"/>
      <c r="C875" s="38"/>
      <c r="E875" s="38"/>
    </row>
    <row r="876">
      <c r="B876" s="38"/>
      <c r="C876" s="38"/>
      <c r="E876" s="38"/>
    </row>
    <row r="877">
      <c r="B877" s="38"/>
      <c r="C877" s="38"/>
      <c r="E877" s="38"/>
    </row>
    <row r="878">
      <c r="B878" s="38"/>
      <c r="C878" s="38"/>
      <c r="E878" s="38"/>
    </row>
    <row r="879">
      <c r="B879" s="38"/>
      <c r="C879" s="38"/>
      <c r="E879" s="38"/>
    </row>
    <row r="880">
      <c r="B880" s="38"/>
      <c r="C880" s="38"/>
      <c r="E880" s="38"/>
    </row>
    <row r="881">
      <c r="B881" s="38"/>
      <c r="C881" s="38"/>
      <c r="E881" s="38"/>
    </row>
    <row r="882">
      <c r="B882" s="38"/>
      <c r="C882" s="38"/>
      <c r="E882" s="38"/>
    </row>
    <row r="883">
      <c r="B883" s="38"/>
      <c r="C883" s="38"/>
      <c r="E883" s="38"/>
    </row>
    <row r="884">
      <c r="B884" s="38"/>
      <c r="C884" s="38"/>
      <c r="E884" s="38"/>
    </row>
    <row r="885">
      <c r="B885" s="38"/>
      <c r="C885" s="38"/>
      <c r="E885" s="38"/>
    </row>
    <row r="886">
      <c r="B886" s="38"/>
      <c r="C886" s="38"/>
      <c r="E886" s="38"/>
    </row>
    <row r="887">
      <c r="B887" s="38"/>
      <c r="C887" s="38"/>
      <c r="E887" s="38"/>
    </row>
    <row r="888">
      <c r="B888" s="38"/>
      <c r="C888" s="38"/>
      <c r="E888" s="38"/>
    </row>
    <row r="889">
      <c r="B889" s="38"/>
      <c r="C889" s="38"/>
      <c r="E889" s="38"/>
    </row>
    <row r="890">
      <c r="B890" s="38"/>
      <c r="C890" s="38"/>
      <c r="E890" s="38"/>
    </row>
    <row r="891">
      <c r="B891" s="38"/>
      <c r="C891" s="38"/>
      <c r="E891" s="38"/>
    </row>
    <row r="892">
      <c r="B892" s="38"/>
      <c r="C892" s="38"/>
      <c r="E892" s="38"/>
    </row>
    <row r="893">
      <c r="B893" s="38"/>
      <c r="C893" s="38"/>
      <c r="E893" s="38"/>
    </row>
    <row r="894">
      <c r="B894" s="38"/>
      <c r="C894" s="38"/>
      <c r="E894" s="38"/>
    </row>
    <row r="895">
      <c r="B895" s="38"/>
      <c r="C895" s="38"/>
      <c r="E895" s="38"/>
    </row>
    <row r="896">
      <c r="B896" s="38"/>
      <c r="C896" s="38"/>
      <c r="E896" s="38"/>
    </row>
    <row r="897">
      <c r="B897" s="38"/>
      <c r="C897" s="38"/>
      <c r="E897" s="38"/>
    </row>
    <row r="898">
      <c r="B898" s="38"/>
      <c r="C898" s="38"/>
      <c r="E898" s="38"/>
    </row>
    <row r="899">
      <c r="B899" s="38"/>
      <c r="C899" s="38"/>
      <c r="E899" s="38"/>
    </row>
    <row r="900">
      <c r="B900" s="38"/>
      <c r="C900" s="38"/>
      <c r="E900" s="38"/>
    </row>
    <row r="901">
      <c r="B901" s="38"/>
      <c r="C901" s="38"/>
      <c r="E901" s="38"/>
    </row>
    <row r="902">
      <c r="B902" s="38"/>
      <c r="C902" s="38"/>
      <c r="E902" s="38"/>
    </row>
    <row r="903">
      <c r="B903" s="38"/>
      <c r="C903" s="38"/>
      <c r="E903" s="38"/>
    </row>
    <row r="904">
      <c r="B904" s="38"/>
      <c r="C904" s="38"/>
      <c r="E904" s="38"/>
    </row>
    <row r="905">
      <c r="B905" s="38"/>
      <c r="C905" s="38"/>
      <c r="E905" s="38"/>
    </row>
    <row r="906">
      <c r="B906" s="38"/>
      <c r="C906" s="38"/>
      <c r="E906" s="38"/>
    </row>
    <row r="907">
      <c r="B907" s="38"/>
      <c r="C907" s="38"/>
      <c r="E907" s="38"/>
    </row>
    <row r="908">
      <c r="B908" s="38"/>
      <c r="C908" s="38"/>
      <c r="E908" s="38"/>
    </row>
    <row r="909">
      <c r="B909" s="38"/>
      <c r="C909" s="38"/>
      <c r="E909" s="38"/>
    </row>
    <row r="910">
      <c r="B910" s="38"/>
      <c r="C910" s="38"/>
      <c r="E910" s="38"/>
    </row>
    <row r="911">
      <c r="B911" s="38"/>
      <c r="C911" s="38"/>
      <c r="E911" s="38"/>
    </row>
    <row r="912">
      <c r="B912" s="38"/>
      <c r="C912" s="38"/>
      <c r="E912" s="38"/>
    </row>
    <row r="913">
      <c r="B913" s="38"/>
      <c r="C913" s="38"/>
      <c r="E913" s="38"/>
    </row>
    <row r="914">
      <c r="B914" s="38"/>
      <c r="C914" s="38"/>
      <c r="E914" s="38"/>
    </row>
    <row r="915">
      <c r="B915" s="38"/>
      <c r="C915" s="38"/>
      <c r="E915" s="38"/>
    </row>
    <row r="916">
      <c r="B916" s="38"/>
      <c r="C916" s="38"/>
      <c r="E916" s="38"/>
    </row>
    <row r="917">
      <c r="B917" s="38"/>
      <c r="C917" s="38"/>
      <c r="E917" s="38"/>
    </row>
    <row r="918">
      <c r="B918" s="38"/>
      <c r="C918" s="38"/>
      <c r="E918" s="38"/>
    </row>
    <row r="919">
      <c r="B919" s="38"/>
      <c r="C919" s="38"/>
      <c r="E919" s="38"/>
    </row>
    <row r="920">
      <c r="B920" s="38"/>
      <c r="C920" s="38"/>
      <c r="E920" s="38"/>
    </row>
    <row r="921">
      <c r="B921" s="38"/>
      <c r="C921" s="38"/>
      <c r="E921" s="38"/>
    </row>
    <row r="922">
      <c r="B922" s="38"/>
      <c r="C922" s="38"/>
      <c r="E922" s="38"/>
    </row>
    <row r="923">
      <c r="B923" s="38"/>
      <c r="C923" s="38"/>
      <c r="E923" s="38"/>
    </row>
    <row r="924">
      <c r="B924" s="38"/>
      <c r="C924" s="38"/>
      <c r="E924" s="38"/>
    </row>
    <row r="925">
      <c r="B925" s="38"/>
      <c r="C925" s="38"/>
      <c r="E925" s="38"/>
    </row>
    <row r="926">
      <c r="B926" s="38"/>
      <c r="C926" s="38"/>
      <c r="E926" s="38"/>
    </row>
    <row r="927">
      <c r="B927" s="38"/>
      <c r="C927" s="38"/>
      <c r="E927" s="38"/>
    </row>
    <row r="928">
      <c r="B928" s="38"/>
      <c r="C928" s="38"/>
      <c r="E928" s="38"/>
    </row>
    <row r="929">
      <c r="B929" s="38"/>
      <c r="C929" s="38"/>
      <c r="E929" s="38"/>
    </row>
    <row r="930">
      <c r="B930" s="38"/>
      <c r="C930" s="38"/>
      <c r="E930" s="38"/>
    </row>
    <row r="931">
      <c r="B931" s="38"/>
      <c r="C931" s="38"/>
      <c r="E931" s="38"/>
    </row>
    <row r="932">
      <c r="B932" s="38"/>
      <c r="C932" s="38"/>
      <c r="E932" s="38"/>
    </row>
    <row r="933">
      <c r="B933" s="38"/>
      <c r="C933" s="38"/>
      <c r="E933" s="38"/>
    </row>
    <row r="934">
      <c r="B934" s="38"/>
      <c r="C934" s="38"/>
      <c r="E934" s="38"/>
    </row>
    <row r="935">
      <c r="B935" s="38"/>
      <c r="C935" s="38"/>
      <c r="E935" s="38"/>
    </row>
    <row r="936">
      <c r="B936" s="38"/>
      <c r="C936" s="38"/>
      <c r="E936" s="38"/>
    </row>
    <row r="937">
      <c r="B937" s="38"/>
      <c r="C937" s="38"/>
      <c r="E937" s="38"/>
    </row>
    <row r="938">
      <c r="B938" s="38"/>
      <c r="C938" s="38"/>
      <c r="E938" s="38"/>
    </row>
    <row r="939">
      <c r="B939" s="38"/>
      <c r="C939" s="38"/>
      <c r="E939" s="38"/>
    </row>
    <row r="940">
      <c r="B940" s="38"/>
      <c r="C940" s="38"/>
      <c r="E940" s="38"/>
    </row>
    <row r="941">
      <c r="B941" s="38"/>
      <c r="C941" s="38"/>
      <c r="E941" s="38"/>
    </row>
    <row r="942">
      <c r="B942" s="38"/>
      <c r="C942" s="38"/>
      <c r="E942" s="38"/>
    </row>
    <row r="943">
      <c r="B943" s="38"/>
      <c r="C943" s="38"/>
      <c r="E943" s="38"/>
    </row>
    <row r="944">
      <c r="B944" s="38"/>
      <c r="C944" s="38"/>
      <c r="E944" s="38"/>
    </row>
    <row r="945">
      <c r="B945" s="38"/>
      <c r="C945" s="38"/>
      <c r="E945" s="38"/>
    </row>
    <row r="946">
      <c r="B946" s="38"/>
      <c r="C946" s="38"/>
      <c r="E946" s="38"/>
    </row>
    <row r="947">
      <c r="B947" s="38"/>
      <c r="C947" s="38"/>
      <c r="E947" s="38"/>
    </row>
    <row r="948">
      <c r="B948" s="38"/>
      <c r="C948" s="38"/>
      <c r="E948" s="38"/>
    </row>
    <row r="949">
      <c r="B949" s="38"/>
      <c r="C949" s="38"/>
      <c r="E949" s="38"/>
    </row>
    <row r="950">
      <c r="B950" s="38"/>
      <c r="C950" s="38"/>
      <c r="E950" s="38"/>
    </row>
    <row r="951">
      <c r="B951" s="38"/>
      <c r="C951" s="38"/>
      <c r="E951" s="38"/>
    </row>
    <row r="952">
      <c r="B952" s="38"/>
      <c r="C952" s="38"/>
      <c r="E952" s="38"/>
    </row>
    <row r="953">
      <c r="B953" s="38"/>
      <c r="C953" s="38"/>
      <c r="E953" s="38"/>
    </row>
    <row r="954">
      <c r="B954" s="38"/>
      <c r="C954" s="38"/>
      <c r="E954" s="38"/>
    </row>
    <row r="955">
      <c r="B955" s="38"/>
      <c r="C955" s="38"/>
      <c r="E955" s="38"/>
    </row>
    <row r="956">
      <c r="B956" s="38"/>
      <c r="C956" s="38"/>
      <c r="E956" s="38"/>
    </row>
    <row r="957">
      <c r="B957" s="38"/>
      <c r="C957" s="38"/>
      <c r="E957" s="38"/>
    </row>
    <row r="958">
      <c r="B958" s="38"/>
      <c r="C958" s="38"/>
      <c r="E958" s="38"/>
    </row>
    <row r="959">
      <c r="B959" s="38"/>
      <c r="C959" s="38"/>
      <c r="E959" s="38"/>
    </row>
    <row r="960">
      <c r="B960" s="38"/>
      <c r="C960" s="38"/>
      <c r="E960" s="38"/>
    </row>
    <row r="961">
      <c r="B961" s="38"/>
      <c r="C961" s="38"/>
      <c r="E961" s="38"/>
    </row>
    <row r="962">
      <c r="B962" s="38"/>
      <c r="C962" s="38"/>
      <c r="E962" s="38"/>
    </row>
    <row r="963">
      <c r="B963" s="38"/>
      <c r="C963" s="38"/>
      <c r="E963" s="38"/>
    </row>
    <row r="964">
      <c r="B964" s="38"/>
      <c r="C964" s="38"/>
      <c r="E964" s="38"/>
    </row>
    <row r="965">
      <c r="B965" s="38"/>
      <c r="C965" s="38"/>
      <c r="E965" s="38"/>
    </row>
    <row r="966">
      <c r="B966" s="38"/>
      <c r="C966" s="38"/>
      <c r="E966" s="38"/>
    </row>
    <row r="967">
      <c r="B967" s="38"/>
      <c r="C967" s="38"/>
      <c r="E967" s="38"/>
    </row>
    <row r="968">
      <c r="B968" s="38"/>
      <c r="C968" s="38"/>
      <c r="E968" s="38"/>
    </row>
    <row r="969">
      <c r="B969" s="38"/>
      <c r="C969" s="38"/>
      <c r="E969" s="38"/>
    </row>
    <row r="970">
      <c r="B970" s="38"/>
      <c r="C970" s="38"/>
      <c r="E970" s="38"/>
    </row>
    <row r="971">
      <c r="B971" s="38"/>
      <c r="C971" s="38"/>
      <c r="E971" s="38"/>
    </row>
    <row r="972">
      <c r="B972" s="38"/>
      <c r="C972" s="38"/>
      <c r="E972" s="38"/>
    </row>
    <row r="973">
      <c r="B973" s="38"/>
      <c r="C973" s="38"/>
      <c r="E973" s="38"/>
    </row>
    <row r="974">
      <c r="B974" s="38"/>
      <c r="C974" s="38"/>
      <c r="E974" s="38"/>
    </row>
    <row r="975">
      <c r="B975" s="38"/>
      <c r="C975" s="38"/>
      <c r="E975" s="38"/>
    </row>
    <row r="976">
      <c r="B976" s="38"/>
      <c r="C976" s="38"/>
      <c r="E976" s="38"/>
    </row>
    <row r="977">
      <c r="B977" s="38"/>
      <c r="C977" s="38"/>
      <c r="E977" s="38"/>
    </row>
    <row r="978">
      <c r="B978" s="38"/>
      <c r="C978" s="38"/>
      <c r="E978" s="38"/>
    </row>
    <row r="979">
      <c r="B979" s="38"/>
      <c r="C979" s="38"/>
      <c r="E979" s="38"/>
    </row>
    <row r="980">
      <c r="B980" s="38"/>
      <c r="C980" s="38"/>
      <c r="E980" s="38"/>
    </row>
  </sheetData>
  <dataValidations>
    <dataValidation type="list" allowBlank="1" sqref="K3:K300">
      <formula1>"Calude AI,Meta Lead"</formula1>
    </dataValidation>
    <dataValidation type="list" allowBlank="1" showErrorMessage="1" sqref="I3:I300">
      <formula1>"Intersted,Follow up Required,Not Internsted,Not Reachable,Campus Visit,Wrong Number,Not Called"</formula1>
    </dataValidation>
    <dataValidation type="list" allowBlank="1" showErrorMessage="1" sqref="G3:G300">
      <formula1>"Faculty 1,Faculty 2"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25"/>
    <col customWidth="1" min="4" max="4" width="17.5"/>
    <col customWidth="1" min="7" max="8" width="36.25"/>
    <col customWidth="1" min="9" max="9" width="14.38"/>
    <col customWidth="1" min="10" max="10" width="13.0"/>
  </cols>
  <sheetData>
    <row r="2" ht="22.5" customHeight="1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40" t="s">
        <v>901</v>
      </c>
      <c r="I2" s="4" t="s">
        <v>7</v>
      </c>
      <c r="J2" s="3" t="s">
        <v>8</v>
      </c>
      <c r="K2" s="5" t="s">
        <v>9</v>
      </c>
      <c r="L2" s="61" t="s">
        <v>902</v>
      </c>
    </row>
    <row r="3" ht="22.5" customHeight="1">
      <c r="A3" s="42">
        <v>1.0</v>
      </c>
      <c r="B3" s="27" t="s">
        <v>903</v>
      </c>
      <c r="C3" s="27" t="s">
        <v>904</v>
      </c>
      <c r="D3" s="27" t="s">
        <v>905</v>
      </c>
      <c r="E3" s="27" t="s">
        <v>906</v>
      </c>
      <c r="F3" s="27" t="s">
        <v>907</v>
      </c>
      <c r="G3" s="42" t="s">
        <v>908</v>
      </c>
      <c r="H3" s="42" t="s">
        <v>909</v>
      </c>
      <c r="I3" s="11" t="s">
        <v>161</v>
      </c>
      <c r="K3" s="11" t="s">
        <v>16</v>
      </c>
      <c r="L3" s="62"/>
    </row>
    <row r="4" ht="22.5" customHeight="1">
      <c r="A4" s="9">
        <v>2.0</v>
      </c>
      <c r="B4" s="27" t="s">
        <v>910</v>
      </c>
      <c r="C4" s="27" t="s">
        <v>911</v>
      </c>
      <c r="D4" s="27" t="s">
        <v>912</v>
      </c>
      <c r="E4" s="27" t="s">
        <v>913</v>
      </c>
      <c r="F4" s="27" t="s">
        <v>914</v>
      </c>
      <c r="G4" s="9" t="s">
        <v>908</v>
      </c>
      <c r="H4" s="42" t="s">
        <v>909</v>
      </c>
      <c r="I4" s="10" t="s">
        <v>161</v>
      </c>
      <c r="J4" s="43"/>
      <c r="K4" s="63"/>
      <c r="L4" s="43"/>
    </row>
    <row r="5" ht="22.5" customHeight="1">
      <c r="A5" s="9">
        <v>3.0</v>
      </c>
      <c r="B5" s="27" t="s">
        <v>915</v>
      </c>
      <c r="C5" s="27" t="s">
        <v>916</v>
      </c>
      <c r="D5" s="27" t="s">
        <v>917</v>
      </c>
      <c r="E5" s="27" t="s">
        <v>11</v>
      </c>
      <c r="F5" s="27" t="s">
        <v>918</v>
      </c>
      <c r="G5" s="9" t="s">
        <v>908</v>
      </c>
      <c r="H5" s="42" t="s">
        <v>909</v>
      </c>
      <c r="I5" s="10" t="s">
        <v>161</v>
      </c>
      <c r="J5" s="43"/>
      <c r="K5" s="63"/>
      <c r="L5" s="43"/>
    </row>
    <row r="6" ht="22.5" customHeight="1">
      <c r="A6" s="42">
        <v>4.0</v>
      </c>
      <c r="B6" s="27" t="s">
        <v>919</v>
      </c>
      <c r="C6" s="27" t="s">
        <v>920</v>
      </c>
      <c r="D6" s="27" t="s">
        <v>921</v>
      </c>
      <c r="E6" s="27" t="s">
        <v>922</v>
      </c>
      <c r="F6" s="27" t="s">
        <v>649</v>
      </c>
      <c r="G6" s="9" t="s">
        <v>908</v>
      </c>
      <c r="H6" s="42" t="s">
        <v>909</v>
      </c>
      <c r="I6" s="10" t="s">
        <v>176</v>
      </c>
      <c r="J6" s="43"/>
      <c r="K6" s="63"/>
      <c r="L6" s="43"/>
    </row>
    <row r="7" ht="22.5" customHeight="1">
      <c r="A7" s="9">
        <v>5.0</v>
      </c>
      <c r="B7" s="27" t="s">
        <v>923</v>
      </c>
      <c r="C7" s="27" t="s">
        <v>924</v>
      </c>
      <c r="D7" s="27" t="s">
        <v>925</v>
      </c>
      <c r="E7" s="27" t="s">
        <v>145</v>
      </c>
      <c r="F7" s="27" t="s">
        <v>926</v>
      </c>
      <c r="G7" s="9" t="s">
        <v>908</v>
      </c>
      <c r="H7" s="42" t="s">
        <v>909</v>
      </c>
      <c r="I7" s="10" t="s">
        <v>161</v>
      </c>
      <c r="J7" s="43"/>
      <c r="K7" s="63"/>
      <c r="L7" s="43"/>
    </row>
    <row r="8" ht="22.5" customHeight="1">
      <c r="A8" s="9">
        <v>6.0</v>
      </c>
      <c r="B8" s="27" t="s">
        <v>927</v>
      </c>
      <c r="C8" s="27" t="s">
        <v>928</v>
      </c>
      <c r="D8" s="27" t="s">
        <v>929</v>
      </c>
      <c r="E8" s="27" t="s">
        <v>229</v>
      </c>
      <c r="F8" s="27" t="s">
        <v>930</v>
      </c>
      <c r="G8" s="9" t="s">
        <v>908</v>
      </c>
      <c r="H8" s="42" t="s">
        <v>909</v>
      </c>
      <c r="I8" s="10" t="s">
        <v>14</v>
      </c>
      <c r="J8" s="43"/>
      <c r="K8" s="63"/>
      <c r="L8" s="43"/>
    </row>
    <row r="9" ht="22.5" customHeight="1">
      <c r="A9" s="42">
        <v>7.0</v>
      </c>
      <c r="B9" s="27" t="s">
        <v>931</v>
      </c>
      <c r="C9" s="27" t="s">
        <v>932</v>
      </c>
      <c r="D9" s="27" t="s">
        <v>933</v>
      </c>
      <c r="E9" s="27" t="s">
        <v>486</v>
      </c>
      <c r="F9" s="27" t="s">
        <v>934</v>
      </c>
      <c r="G9" s="9" t="s">
        <v>908</v>
      </c>
      <c r="H9" s="42" t="s">
        <v>909</v>
      </c>
      <c r="I9" s="10" t="s">
        <v>161</v>
      </c>
      <c r="J9" s="43"/>
      <c r="K9" s="63"/>
      <c r="L9" s="43"/>
    </row>
    <row r="10" ht="22.5" customHeight="1">
      <c r="A10" s="9">
        <v>8.0</v>
      </c>
      <c r="B10" s="27" t="s">
        <v>935</v>
      </c>
      <c r="C10" s="27" t="s">
        <v>936</v>
      </c>
      <c r="D10" s="27" t="s">
        <v>937</v>
      </c>
      <c r="E10" s="27" t="s">
        <v>938</v>
      </c>
      <c r="F10" s="27" t="s">
        <v>939</v>
      </c>
      <c r="G10" s="9" t="s">
        <v>908</v>
      </c>
      <c r="H10" s="42" t="s">
        <v>909</v>
      </c>
      <c r="I10" s="10" t="s">
        <v>161</v>
      </c>
      <c r="J10" s="43"/>
      <c r="K10" s="63"/>
      <c r="L10" s="43"/>
    </row>
    <row r="11" ht="22.5" customHeight="1">
      <c r="A11" s="9">
        <v>9.0</v>
      </c>
      <c r="B11" s="27" t="s">
        <v>940</v>
      </c>
      <c r="C11" s="27" t="s">
        <v>941</v>
      </c>
      <c r="D11" s="28">
        <v>9.938495717E9</v>
      </c>
      <c r="E11" s="27" t="s">
        <v>335</v>
      </c>
      <c r="F11" s="27" t="s">
        <v>942</v>
      </c>
      <c r="G11" s="9" t="s">
        <v>908</v>
      </c>
      <c r="H11" s="42" t="s">
        <v>909</v>
      </c>
      <c r="I11" s="10" t="s">
        <v>14</v>
      </c>
      <c r="J11" s="43"/>
      <c r="K11" s="63"/>
      <c r="L11" s="43"/>
    </row>
    <row r="12" ht="22.5" customHeight="1">
      <c r="A12" s="42">
        <v>10.0</v>
      </c>
      <c r="B12" s="27" t="s">
        <v>943</v>
      </c>
      <c r="C12" s="27" t="s">
        <v>944</v>
      </c>
      <c r="D12" s="28">
        <v>9.903878905E9</v>
      </c>
      <c r="E12" s="27" t="s">
        <v>229</v>
      </c>
      <c r="F12" s="27" t="s">
        <v>945</v>
      </c>
      <c r="G12" s="9" t="s">
        <v>908</v>
      </c>
      <c r="H12" s="42" t="s">
        <v>909</v>
      </c>
      <c r="I12" s="10" t="s">
        <v>14</v>
      </c>
      <c r="J12" s="43"/>
      <c r="K12" s="63"/>
      <c r="L12" s="43"/>
    </row>
    <row r="13" ht="22.5" customHeight="1">
      <c r="A13" s="9">
        <v>11.0</v>
      </c>
      <c r="B13" s="27" t="s">
        <v>946</v>
      </c>
      <c r="C13" s="27" t="s">
        <v>947</v>
      </c>
      <c r="D13" s="28">
        <v>9.658945461E9</v>
      </c>
      <c r="E13" s="27" t="s">
        <v>216</v>
      </c>
      <c r="F13" s="27" t="s">
        <v>948</v>
      </c>
      <c r="G13" s="9" t="s">
        <v>908</v>
      </c>
      <c r="H13" s="42" t="s">
        <v>909</v>
      </c>
      <c r="I13" s="10" t="s">
        <v>14</v>
      </c>
      <c r="J13" s="43"/>
      <c r="K13" s="63"/>
      <c r="L13" s="43"/>
    </row>
    <row r="14" ht="22.5" customHeight="1">
      <c r="A14" s="9">
        <v>12.0</v>
      </c>
      <c r="B14" s="27" t="s">
        <v>949</v>
      </c>
      <c r="C14" s="27" t="s">
        <v>950</v>
      </c>
      <c r="D14" s="28">
        <v>9.19390914976E11</v>
      </c>
      <c r="E14" s="27" t="s">
        <v>145</v>
      </c>
      <c r="F14" s="27" t="s">
        <v>951</v>
      </c>
      <c r="G14" s="9" t="s">
        <v>908</v>
      </c>
      <c r="H14" s="42" t="s">
        <v>909</v>
      </c>
      <c r="I14" s="10" t="s">
        <v>14</v>
      </c>
      <c r="J14" s="43"/>
      <c r="K14" s="63"/>
      <c r="L14" s="43"/>
    </row>
    <row r="15" ht="22.5" customHeight="1">
      <c r="A15" s="42">
        <v>13.0</v>
      </c>
      <c r="B15" s="64" t="s">
        <v>952</v>
      </c>
      <c r="C15" s="64" t="s">
        <v>953</v>
      </c>
      <c r="D15" s="65">
        <v>9.178594631E9</v>
      </c>
      <c r="E15" s="27" t="s">
        <v>199</v>
      </c>
      <c r="F15" s="27" t="s">
        <v>954</v>
      </c>
      <c r="G15" s="9" t="s">
        <v>908</v>
      </c>
      <c r="H15" s="42" t="s">
        <v>909</v>
      </c>
      <c r="I15" s="10" t="s">
        <v>14</v>
      </c>
      <c r="J15" s="43"/>
      <c r="K15" s="63"/>
      <c r="L15" s="43"/>
    </row>
    <row r="16" ht="22.5" customHeight="1">
      <c r="A16" s="9">
        <v>14.0</v>
      </c>
      <c r="B16" s="27" t="s">
        <v>955</v>
      </c>
      <c r="C16" s="27" t="s">
        <v>956</v>
      </c>
      <c r="D16" s="27" t="s">
        <v>957</v>
      </c>
      <c r="E16" s="27" t="s">
        <v>958</v>
      </c>
      <c r="F16" s="27" t="s">
        <v>959</v>
      </c>
      <c r="G16" s="9" t="s">
        <v>908</v>
      </c>
      <c r="H16" s="42" t="s">
        <v>909</v>
      </c>
      <c r="I16" s="10" t="s">
        <v>161</v>
      </c>
      <c r="J16" s="43"/>
      <c r="K16" s="63"/>
      <c r="L16" s="43"/>
    </row>
    <row r="17" ht="22.5" customHeight="1">
      <c r="A17" s="9">
        <v>15.0</v>
      </c>
      <c r="B17" s="27" t="s">
        <v>960</v>
      </c>
      <c r="C17" s="27" t="s">
        <v>961</v>
      </c>
      <c r="D17" s="27" t="s">
        <v>962</v>
      </c>
      <c r="E17" s="27" t="s">
        <v>216</v>
      </c>
      <c r="F17" s="27" t="s">
        <v>963</v>
      </c>
      <c r="G17" s="9" t="s">
        <v>908</v>
      </c>
      <c r="H17" s="42" t="s">
        <v>909</v>
      </c>
      <c r="I17" s="10" t="s">
        <v>161</v>
      </c>
      <c r="J17" s="43"/>
      <c r="K17" s="63"/>
      <c r="L17" s="43"/>
    </row>
    <row r="18" ht="22.5" customHeight="1">
      <c r="A18" s="42">
        <v>16.0</v>
      </c>
      <c r="B18" s="27" t="s">
        <v>964</v>
      </c>
      <c r="C18" s="27" t="s">
        <v>965</v>
      </c>
      <c r="D18" s="27" t="s">
        <v>966</v>
      </c>
      <c r="E18" s="27" t="s">
        <v>967</v>
      </c>
      <c r="F18" s="27" t="s">
        <v>968</v>
      </c>
      <c r="G18" s="9" t="s">
        <v>908</v>
      </c>
      <c r="H18" s="42" t="s">
        <v>909</v>
      </c>
      <c r="I18" s="10" t="s">
        <v>161</v>
      </c>
      <c r="J18" s="43"/>
      <c r="K18" s="63"/>
      <c r="L18" s="43"/>
    </row>
    <row r="19" ht="22.5" customHeight="1">
      <c r="A19" s="9">
        <v>17.0</v>
      </c>
      <c r="B19" s="27" t="s">
        <v>969</v>
      </c>
      <c r="C19" s="27" t="s">
        <v>970</v>
      </c>
      <c r="D19" s="27" t="s">
        <v>971</v>
      </c>
      <c r="E19" s="27" t="s">
        <v>11</v>
      </c>
      <c r="F19" s="27" t="s">
        <v>972</v>
      </c>
      <c r="G19" s="9" t="s">
        <v>908</v>
      </c>
      <c r="H19" s="42" t="s">
        <v>909</v>
      </c>
      <c r="I19" s="10" t="s">
        <v>161</v>
      </c>
      <c r="J19" s="43"/>
      <c r="K19" s="63"/>
      <c r="L19" s="43"/>
    </row>
    <row r="20" ht="22.5" customHeight="1">
      <c r="A20" s="9">
        <v>18.0</v>
      </c>
      <c r="B20" s="27" t="s">
        <v>973</v>
      </c>
      <c r="C20" s="27" t="s">
        <v>974</v>
      </c>
      <c r="D20" s="27" t="s">
        <v>975</v>
      </c>
      <c r="E20" s="27" t="s">
        <v>976</v>
      </c>
      <c r="F20" s="27" t="s">
        <v>234</v>
      </c>
      <c r="G20" s="9" t="s">
        <v>908</v>
      </c>
      <c r="H20" s="42" t="s">
        <v>909</v>
      </c>
      <c r="I20" s="10" t="s">
        <v>161</v>
      </c>
      <c r="J20" s="43"/>
      <c r="K20" s="63"/>
      <c r="L20" s="43"/>
    </row>
    <row r="21" ht="22.5" customHeight="1">
      <c r="A21" s="42">
        <v>19.0</v>
      </c>
      <c r="B21" s="27" t="s">
        <v>977</v>
      </c>
      <c r="C21" s="27" t="s">
        <v>978</v>
      </c>
      <c r="D21" s="27" t="s">
        <v>979</v>
      </c>
      <c r="E21" s="27" t="s">
        <v>216</v>
      </c>
      <c r="F21" s="27" t="s">
        <v>980</v>
      </c>
      <c r="G21" s="9" t="s">
        <v>908</v>
      </c>
      <c r="H21" s="42" t="s">
        <v>909</v>
      </c>
      <c r="I21" s="10" t="s">
        <v>161</v>
      </c>
      <c r="J21" s="43"/>
      <c r="K21" s="63"/>
      <c r="L21" s="43"/>
    </row>
    <row r="22" ht="22.5" customHeight="1">
      <c r="A22" s="9">
        <v>20.0</v>
      </c>
      <c r="B22" s="27" t="s">
        <v>981</v>
      </c>
      <c r="C22" s="27" t="s">
        <v>982</v>
      </c>
      <c r="D22" s="27" t="s">
        <v>983</v>
      </c>
      <c r="E22" s="27" t="s">
        <v>335</v>
      </c>
      <c r="F22" s="27" t="s">
        <v>984</v>
      </c>
      <c r="G22" s="9" t="s">
        <v>908</v>
      </c>
      <c r="H22" s="42" t="s">
        <v>909</v>
      </c>
      <c r="I22" s="10" t="s">
        <v>176</v>
      </c>
      <c r="J22" s="43"/>
      <c r="K22" s="63"/>
      <c r="L22" s="43"/>
    </row>
    <row r="23" ht="22.5" customHeight="1">
      <c r="A23" s="9">
        <v>21.0</v>
      </c>
      <c r="B23" s="27" t="s">
        <v>985</v>
      </c>
      <c r="C23" s="27" t="s">
        <v>986</v>
      </c>
      <c r="D23" s="27" t="s">
        <v>987</v>
      </c>
      <c r="E23" s="27" t="s">
        <v>988</v>
      </c>
      <c r="F23" s="27" t="s">
        <v>989</v>
      </c>
      <c r="G23" s="9" t="s">
        <v>908</v>
      </c>
      <c r="H23" s="42" t="s">
        <v>909</v>
      </c>
      <c r="I23" s="10" t="s">
        <v>176</v>
      </c>
      <c r="J23" s="43"/>
      <c r="K23" s="63"/>
      <c r="L23" s="43"/>
    </row>
    <row r="24" ht="22.5" customHeight="1">
      <c r="A24" s="42">
        <v>22.0</v>
      </c>
      <c r="B24" s="27" t="s">
        <v>990</v>
      </c>
      <c r="C24" s="27" t="s">
        <v>991</v>
      </c>
      <c r="D24" s="27" t="s">
        <v>992</v>
      </c>
      <c r="E24" s="27" t="s">
        <v>993</v>
      </c>
      <c r="F24" s="27" t="s">
        <v>994</v>
      </c>
      <c r="G24" s="9" t="s">
        <v>908</v>
      </c>
      <c r="H24" s="42" t="s">
        <v>909</v>
      </c>
      <c r="I24" s="10" t="s">
        <v>161</v>
      </c>
      <c r="J24" s="43"/>
      <c r="K24" s="63"/>
      <c r="L24" s="43"/>
    </row>
    <row r="25" ht="22.5" customHeight="1">
      <c r="A25" s="9">
        <v>23.0</v>
      </c>
      <c r="B25" s="27" t="s">
        <v>995</v>
      </c>
      <c r="C25" s="27" t="s">
        <v>996</v>
      </c>
      <c r="D25" s="27" t="s">
        <v>997</v>
      </c>
      <c r="E25" s="27" t="s">
        <v>998</v>
      </c>
      <c r="F25" s="27" t="s">
        <v>999</v>
      </c>
      <c r="G25" s="9" t="s">
        <v>908</v>
      </c>
      <c r="H25" s="42" t="s">
        <v>909</v>
      </c>
      <c r="I25" s="10" t="s">
        <v>161</v>
      </c>
      <c r="J25" s="43"/>
      <c r="K25" s="63"/>
      <c r="L25" s="43"/>
    </row>
    <row r="26" ht="22.5" customHeight="1">
      <c r="A26" s="9">
        <v>24.0</v>
      </c>
      <c r="B26" s="27" t="s">
        <v>1000</v>
      </c>
      <c r="C26" s="27" t="s">
        <v>1001</v>
      </c>
      <c r="D26" s="27" t="s">
        <v>1002</v>
      </c>
      <c r="E26" s="27" t="s">
        <v>1003</v>
      </c>
      <c r="F26" s="27" t="s">
        <v>1004</v>
      </c>
      <c r="G26" s="9" t="s">
        <v>908</v>
      </c>
      <c r="H26" s="42" t="s">
        <v>909</v>
      </c>
      <c r="I26" s="10" t="s">
        <v>161</v>
      </c>
      <c r="J26" s="43"/>
      <c r="K26" s="63"/>
      <c r="L26" s="43"/>
    </row>
    <row r="27" ht="22.5" customHeight="1">
      <c r="A27" s="42">
        <v>25.0</v>
      </c>
      <c r="B27" s="27" t="s">
        <v>1005</v>
      </c>
      <c r="C27" s="27" t="s">
        <v>1006</v>
      </c>
      <c r="D27" s="27" t="s">
        <v>1007</v>
      </c>
      <c r="E27" s="27" t="s">
        <v>216</v>
      </c>
      <c r="F27" s="27" t="s">
        <v>1008</v>
      </c>
      <c r="G27" s="9" t="s">
        <v>908</v>
      </c>
      <c r="H27" s="42" t="s">
        <v>909</v>
      </c>
      <c r="I27" s="10" t="s">
        <v>161</v>
      </c>
      <c r="J27" s="43"/>
      <c r="K27" s="63"/>
      <c r="L27" s="43"/>
    </row>
    <row r="28" ht="22.5" customHeight="1">
      <c r="A28" s="9">
        <v>26.0</v>
      </c>
      <c r="B28" s="27" t="s">
        <v>1009</v>
      </c>
      <c r="C28" s="27" t="s">
        <v>1010</v>
      </c>
      <c r="D28" s="27" t="s">
        <v>1011</v>
      </c>
      <c r="E28" s="27" t="s">
        <v>1012</v>
      </c>
      <c r="F28" s="27" t="s">
        <v>80</v>
      </c>
      <c r="G28" s="9" t="s">
        <v>908</v>
      </c>
      <c r="H28" s="42" t="s">
        <v>909</v>
      </c>
      <c r="I28" s="10" t="s">
        <v>161</v>
      </c>
      <c r="J28" s="43"/>
      <c r="K28" s="63"/>
      <c r="L28" s="43"/>
    </row>
    <row r="29" ht="22.5" customHeight="1">
      <c r="A29" s="9">
        <v>27.0</v>
      </c>
      <c r="B29" s="27" t="s">
        <v>1013</v>
      </c>
      <c r="C29" s="27" t="s">
        <v>1014</v>
      </c>
      <c r="D29" s="27" t="s">
        <v>1015</v>
      </c>
      <c r="E29" s="27" t="s">
        <v>229</v>
      </c>
      <c r="F29" s="27" t="s">
        <v>1016</v>
      </c>
      <c r="G29" s="9" t="s">
        <v>908</v>
      </c>
      <c r="H29" s="42" t="s">
        <v>909</v>
      </c>
      <c r="I29" s="10" t="s">
        <v>161</v>
      </c>
      <c r="J29" s="43"/>
      <c r="K29" s="63"/>
      <c r="L29" s="43"/>
    </row>
    <row r="30" ht="22.5" customHeight="1">
      <c r="A30" s="42">
        <v>28.0</v>
      </c>
      <c r="B30" s="27" t="s">
        <v>1017</v>
      </c>
      <c r="C30" s="27" t="s">
        <v>1018</v>
      </c>
      <c r="D30" s="27" t="s">
        <v>1019</v>
      </c>
      <c r="E30" s="27" t="s">
        <v>211</v>
      </c>
      <c r="F30" s="27" t="s">
        <v>1020</v>
      </c>
      <c r="G30" s="9" t="s">
        <v>908</v>
      </c>
      <c r="H30" s="42" t="s">
        <v>909</v>
      </c>
      <c r="I30" s="10" t="s">
        <v>161</v>
      </c>
      <c r="J30" s="43"/>
      <c r="K30" s="63"/>
      <c r="L30" s="43"/>
    </row>
    <row r="31" ht="22.5" customHeight="1">
      <c r="A31" s="9">
        <v>29.0</v>
      </c>
      <c r="B31" s="27" t="s">
        <v>1021</v>
      </c>
      <c r="C31" s="27" t="s">
        <v>1022</v>
      </c>
      <c r="D31" s="27" t="s">
        <v>1023</v>
      </c>
      <c r="E31" s="27" t="s">
        <v>958</v>
      </c>
      <c r="F31" s="27" t="s">
        <v>1024</v>
      </c>
      <c r="G31" s="9" t="s">
        <v>908</v>
      </c>
      <c r="H31" s="42" t="s">
        <v>909</v>
      </c>
      <c r="I31" s="10" t="s">
        <v>161</v>
      </c>
      <c r="J31" s="43"/>
      <c r="K31" s="63"/>
      <c r="L31" s="43"/>
    </row>
    <row r="32" ht="22.5" customHeight="1">
      <c r="A32" s="9">
        <v>30.0</v>
      </c>
      <c r="B32" s="27" t="s">
        <v>1025</v>
      </c>
      <c r="C32" s="27" t="s">
        <v>1026</v>
      </c>
      <c r="D32" s="27" t="s">
        <v>1027</v>
      </c>
      <c r="E32" s="27" t="s">
        <v>238</v>
      </c>
      <c r="F32" s="27" t="s">
        <v>1028</v>
      </c>
      <c r="G32" s="9" t="s">
        <v>908</v>
      </c>
      <c r="H32" s="42" t="s">
        <v>909</v>
      </c>
      <c r="I32" s="10" t="s">
        <v>176</v>
      </c>
      <c r="J32" s="43"/>
      <c r="K32" s="63"/>
      <c r="L32" s="43"/>
    </row>
    <row r="33" ht="22.5" customHeight="1">
      <c r="A33" s="42">
        <v>31.0</v>
      </c>
      <c r="B33" s="27" t="s">
        <v>1029</v>
      </c>
      <c r="C33" s="27" t="s">
        <v>1030</v>
      </c>
      <c r="D33" s="27" t="s">
        <v>1031</v>
      </c>
      <c r="E33" s="27" t="s">
        <v>211</v>
      </c>
      <c r="F33" s="27" t="s">
        <v>1032</v>
      </c>
      <c r="G33" s="9" t="s">
        <v>908</v>
      </c>
      <c r="H33" s="42" t="s">
        <v>909</v>
      </c>
      <c r="I33" s="10" t="s">
        <v>176</v>
      </c>
      <c r="J33" s="43"/>
      <c r="K33" s="63"/>
      <c r="L33" s="43"/>
    </row>
    <row r="34" ht="22.5" customHeight="1">
      <c r="A34" s="9">
        <v>32.0</v>
      </c>
      <c r="B34" s="27" t="s">
        <v>1033</v>
      </c>
      <c r="C34" s="27" t="s">
        <v>1034</v>
      </c>
      <c r="D34" s="27" t="s">
        <v>1035</v>
      </c>
      <c r="E34" s="27" t="s">
        <v>211</v>
      </c>
      <c r="F34" s="27" t="s">
        <v>1036</v>
      </c>
      <c r="G34" s="9" t="s">
        <v>908</v>
      </c>
      <c r="H34" s="42" t="s">
        <v>909</v>
      </c>
      <c r="I34" s="10" t="s">
        <v>161</v>
      </c>
      <c r="J34" s="43"/>
      <c r="K34" s="63"/>
      <c r="L34" s="43"/>
    </row>
    <row r="35" ht="22.5" customHeight="1">
      <c r="A35" s="9">
        <v>33.0</v>
      </c>
      <c r="B35" s="27" t="s">
        <v>1037</v>
      </c>
      <c r="C35" s="27" t="s">
        <v>1038</v>
      </c>
      <c r="D35" s="27" t="s">
        <v>1039</v>
      </c>
      <c r="E35" s="27" t="s">
        <v>369</v>
      </c>
      <c r="F35" s="27" t="s">
        <v>1040</v>
      </c>
      <c r="G35" s="9" t="s">
        <v>908</v>
      </c>
      <c r="H35" s="42" t="s">
        <v>909</v>
      </c>
      <c r="I35" s="10" t="s">
        <v>176</v>
      </c>
      <c r="J35" s="43"/>
      <c r="K35" s="63"/>
      <c r="L35" s="43"/>
    </row>
    <row r="36" ht="22.5" customHeight="1">
      <c r="A36" s="42">
        <v>34.0</v>
      </c>
      <c r="B36" s="27" t="s">
        <v>1041</v>
      </c>
      <c r="C36" s="27" t="s">
        <v>1042</v>
      </c>
      <c r="D36" s="27" t="s">
        <v>1043</v>
      </c>
      <c r="E36" s="27" t="s">
        <v>398</v>
      </c>
      <c r="F36" s="27" t="s">
        <v>1044</v>
      </c>
      <c r="G36" s="9" t="s">
        <v>908</v>
      </c>
      <c r="H36" s="42" t="s">
        <v>909</v>
      </c>
      <c r="I36" s="10" t="s">
        <v>161</v>
      </c>
      <c r="J36" s="43"/>
      <c r="K36" s="63"/>
      <c r="L36" s="43"/>
    </row>
    <row r="37" ht="22.5" customHeight="1">
      <c r="A37" s="9">
        <v>35.0</v>
      </c>
      <c r="B37" s="27" t="s">
        <v>1045</v>
      </c>
      <c r="C37" s="27" t="s">
        <v>1046</v>
      </c>
      <c r="D37" s="27" t="s">
        <v>1047</v>
      </c>
      <c r="E37" s="28">
        <v>841428.0</v>
      </c>
      <c r="F37" s="28">
        <v>12345.0</v>
      </c>
      <c r="G37" s="9" t="s">
        <v>908</v>
      </c>
      <c r="H37" s="42" t="s">
        <v>909</v>
      </c>
      <c r="I37" s="10" t="s">
        <v>161</v>
      </c>
      <c r="J37" s="43"/>
      <c r="K37" s="63"/>
      <c r="L37" s="43"/>
    </row>
    <row r="38" ht="22.5" customHeight="1">
      <c r="A38" s="9">
        <v>36.0</v>
      </c>
      <c r="B38" s="27" t="s">
        <v>1048</v>
      </c>
      <c r="C38" s="27" t="s">
        <v>1049</v>
      </c>
      <c r="D38" s="27" t="s">
        <v>1050</v>
      </c>
      <c r="E38" s="27" t="s">
        <v>238</v>
      </c>
      <c r="F38" s="27" t="s">
        <v>1051</v>
      </c>
      <c r="G38" s="9" t="s">
        <v>908</v>
      </c>
      <c r="H38" s="42" t="s">
        <v>909</v>
      </c>
      <c r="I38" s="10" t="s">
        <v>161</v>
      </c>
      <c r="J38" s="43"/>
      <c r="K38" s="63"/>
      <c r="L38" s="43"/>
    </row>
    <row r="39" ht="22.5" customHeight="1">
      <c r="A39" s="42">
        <v>37.0</v>
      </c>
      <c r="B39" s="27" t="s">
        <v>1052</v>
      </c>
      <c r="C39" s="27" t="s">
        <v>1053</v>
      </c>
      <c r="D39" s="27" t="s">
        <v>1054</v>
      </c>
      <c r="E39" s="27" t="s">
        <v>958</v>
      </c>
      <c r="F39" s="27" t="s">
        <v>1055</v>
      </c>
      <c r="G39" s="9" t="s">
        <v>908</v>
      </c>
      <c r="H39" s="42" t="s">
        <v>909</v>
      </c>
      <c r="I39" s="10" t="s">
        <v>161</v>
      </c>
      <c r="J39" s="43"/>
      <c r="K39" s="63"/>
      <c r="L39" s="43"/>
    </row>
    <row r="40" ht="22.5" customHeight="1">
      <c r="A40" s="9">
        <v>38.0</v>
      </c>
      <c r="B40" s="27" t="s">
        <v>1056</v>
      </c>
      <c r="C40" s="27" t="s">
        <v>1057</v>
      </c>
      <c r="D40" s="27" t="s">
        <v>1058</v>
      </c>
      <c r="E40" s="27" t="s">
        <v>229</v>
      </c>
      <c r="F40" s="27" t="s">
        <v>1059</v>
      </c>
      <c r="G40" s="9" t="s">
        <v>908</v>
      </c>
      <c r="H40" s="42" t="s">
        <v>909</v>
      </c>
      <c r="I40" s="10" t="s">
        <v>161</v>
      </c>
      <c r="J40" s="43"/>
      <c r="K40" s="63"/>
      <c r="L40" s="43"/>
    </row>
    <row r="41" ht="22.5" customHeight="1">
      <c r="A41" s="9">
        <v>39.0</v>
      </c>
      <c r="B41" s="27" t="s">
        <v>1060</v>
      </c>
      <c r="C41" s="27" t="s">
        <v>1061</v>
      </c>
      <c r="D41" s="27" t="s">
        <v>1062</v>
      </c>
      <c r="E41" s="27" t="s">
        <v>229</v>
      </c>
      <c r="F41" s="27" t="s">
        <v>1063</v>
      </c>
      <c r="G41" s="9" t="s">
        <v>908</v>
      </c>
      <c r="H41" s="42" t="s">
        <v>909</v>
      </c>
      <c r="I41" s="10" t="s">
        <v>161</v>
      </c>
      <c r="J41" s="43"/>
      <c r="K41" s="63"/>
      <c r="L41" s="43"/>
    </row>
    <row r="42" ht="22.5" customHeight="1">
      <c r="A42" s="42">
        <v>40.0</v>
      </c>
      <c r="B42" s="27" t="s">
        <v>1064</v>
      </c>
      <c r="C42" s="27" t="s">
        <v>1065</v>
      </c>
      <c r="D42" s="66">
        <v>9.19883003949E11</v>
      </c>
      <c r="E42" s="27" t="s">
        <v>211</v>
      </c>
      <c r="F42" s="34"/>
      <c r="G42" s="9" t="s">
        <v>908</v>
      </c>
      <c r="H42" s="42" t="s">
        <v>909</v>
      </c>
      <c r="I42" s="10" t="s">
        <v>140</v>
      </c>
      <c r="J42" s="43"/>
      <c r="K42" s="63"/>
      <c r="L42" s="43"/>
    </row>
    <row r="43" ht="22.5" customHeight="1">
      <c r="A43" s="9">
        <v>41.0</v>
      </c>
      <c r="B43" s="27" t="s">
        <v>1066</v>
      </c>
      <c r="C43" s="27" t="s">
        <v>1067</v>
      </c>
      <c r="D43" s="66">
        <v>9.18260384152E11</v>
      </c>
      <c r="E43" s="27" t="s">
        <v>11</v>
      </c>
      <c r="F43" s="34"/>
      <c r="G43" s="9" t="s">
        <v>908</v>
      </c>
      <c r="H43" s="42" t="s">
        <v>909</v>
      </c>
      <c r="I43" s="10" t="s">
        <v>161</v>
      </c>
      <c r="J43" s="43"/>
      <c r="K43" s="63"/>
      <c r="L43" s="43"/>
    </row>
    <row r="44" ht="22.5" customHeight="1">
      <c r="A44" s="9">
        <v>42.0</v>
      </c>
      <c r="B44" s="27" t="s">
        <v>1068</v>
      </c>
      <c r="C44" s="27" t="s">
        <v>1069</v>
      </c>
      <c r="D44" s="66">
        <v>9.19771640071E11</v>
      </c>
      <c r="E44" s="27" t="s">
        <v>229</v>
      </c>
      <c r="F44" s="34"/>
      <c r="G44" s="9" t="s">
        <v>908</v>
      </c>
      <c r="H44" s="42" t="s">
        <v>909</v>
      </c>
      <c r="I44" s="10" t="s">
        <v>161</v>
      </c>
      <c r="J44" s="43"/>
      <c r="K44" s="63"/>
      <c r="L44" s="43"/>
    </row>
    <row r="45" ht="22.5" customHeight="1">
      <c r="A45" s="42">
        <v>43.0</v>
      </c>
      <c r="B45" s="27" t="s">
        <v>1070</v>
      </c>
      <c r="C45" s="27" t="s">
        <v>1071</v>
      </c>
      <c r="D45" s="66">
        <v>9.19542349076E11</v>
      </c>
      <c r="E45" s="27" t="s">
        <v>534</v>
      </c>
      <c r="F45" s="34"/>
      <c r="G45" s="9" t="s">
        <v>908</v>
      </c>
      <c r="H45" s="42" t="s">
        <v>909</v>
      </c>
      <c r="I45" s="10" t="s">
        <v>161</v>
      </c>
      <c r="J45" s="43"/>
      <c r="K45" s="63"/>
      <c r="L45" s="43"/>
    </row>
    <row r="46" ht="22.5" customHeight="1">
      <c r="A46" s="9">
        <v>44.0</v>
      </c>
      <c r="B46" s="27" t="s">
        <v>1072</v>
      </c>
      <c r="C46" s="27" t="s">
        <v>1073</v>
      </c>
      <c r="D46" s="66">
        <v>9.16360262118E11</v>
      </c>
      <c r="E46" s="27" t="s">
        <v>1074</v>
      </c>
      <c r="F46" s="34"/>
      <c r="G46" s="9" t="s">
        <v>908</v>
      </c>
      <c r="H46" s="42" t="s">
        <v>909</v>
      </c>
      <c r="I46" s="10" t="s">
        <v>161</v>
      </c>
      <c r="J46" s="43"/>
      <c r="K46" s="63"/>
      <c r="L46" s="43"/>
    </row>
    <row r="47" ht="22.5" customHeight="1">
      <c r="A47" s="9">
        <v>45.0</v>
      </c>
      <c r="B47" s="27" t="s">
        <v>1075</v>
      </c>
      <c r="C47" s="27" t="s">
        <v>1076</v>
      </c>
      <c r="D47" s="66">
        <v>9.19534722704E11</v>
      </c>
      <c r="E47" s="27" t="s">
        <v>145</v>
      </c>
      <c r="F47" s="34"/>
      <c r="G47" s="9" t="s">
        <v>908</v>
      </c>
      <c r="H47" s="42" t="s">
        <v>909</v>
      </c>
      <c r="I47" s="10" t="s">
        <v>161</v>
      </c>
      <c r="J47" s="43"/>
      <c r="K47" s="63"/>
      <c r="L47" s="43"/>
    </row>
    <row r="48" ht="22.5" customHeight="1">
      <c r="A48" s="42">
        <v>46.0</v>
      </c>
      <c r="B48" s="27" t="s">
        <v>1077</v>
      </c>
      <c r="C48" s="27" t="s">
        <v>1078</v>
      </c>
      <c r="D48" s="66">
        <v>9.17978462678E11</v>
      </c>
      <c r="E48" s="27" t="s">
        <v>11</v>
      </c>
      <c r="F48" s="34"/>
      <c r="G48" s="9" t="s">
        <v>908</v>
      </c>
      <c r="H48" s="42" t="s">
        <v>909</v>
      </c>
      <c r="I48" s="10" t="s">
        <v>176</v>
      </c>
      <c r="J48" s="43"/>
      <c r="K48" s="63"/>
      <c r="L48" s="43"/>
    </row>
    <row r="49" ht="22.5" customHeight="1">
      <c r="A49" s="9">
        <v>47.0</v>
      </c>
      <c r="B49" s="27" t="s">
        <v>1079</v>
      </c>
      <c r="C49" s="27" t="s">
        <v>1080</v>
      </c>
      <c r="D49" s="66">
        <v>9.18250213897E11</v>
      </c>
      <c r="E49" s="27" t="s">
        <v>473</v>
      </c>
      <c r="F49" s="34"/>
      <c r="G49" s="9" t="s">
        <v>908</v>
      </c>
      <c r="H49" s="42" t="s">
        <v>909</v>
      </c>
      <c r="I49" s="10" t="s">
        <v>176</v>
      </c>
      <c r="J49" s="43"/>
      <c r="K49" s="63"/>
      <c r="L49" s="43"/>
    </row>
    <row r="50" ht="22.5" customHeight="1">
      <c r="A50" s="9">
        <v>48.0</v>
      </c>
      <c r="B50" s="27" t="s">
        <v>1081</v>
      </c>
      <c r="C50" s="27" t="s">
        <v>1082</v>
      </c>
      <c r="D50" s="66">
        <v>9.17572800009E11</v>
      </c>
      <c r="E50" s="27" t="s">
        <v>579</v>
      </c>
      <c r="F50" s="34"/>
      <c r="G50" s="9" t="s">
        <v>908</v>
      </c>
      <c r="H50" s="42" t="s">
        <v>909</v>
      </c>
      <c r="I50" s="10" t="s">
        <v>161</v>
      </c>
      <c r="J50" s="43"/>
      <c r="K50" s="63"/>
      <c r="L50" s="43"/>
    </row>
    <row r="51" ht="22.5" customHeight="1">
      <c r="A51" s="42">
        <v>49.0</v>
      </c>
      <c r="B51" s="27" t="s">
        <v>1083</v>
      </c>
      <c r="C51" s="27" t="s">
        <v>1084</v>
      </c>
      <c r="D51" s="66">
        <v>9.19508287984E11</v>
      </c>
      <c r="E51" s="27" t="s">
        <v>1085</v>
      </c>
      <c r="F51" s="34"/>
      <c r="G51" s="9" t="s">
        <v>908</v>
      </c>
      <c r="H51" s="42" t="s">
        <v>909</v>
      </c>
      <c r="I51" s="10" t="s">
        <v>161</v>
      </c>
      <c r="J51" s="43"/>
      <c r="K51" s="63"/>
      <c r="L51" s="43"/>
    </row>
    <row r="52" ht="22.5" customHeight="1">
      <c r="A52" s="9">
        <v>50.0</v>
      </c>
      <c r="B52" s="27" t="s">
        <v>1086</v>
      </c>
      <c r="C52" s="27" t="s">
        <v>1087</v>
      </c>
      <c r="D52" s="66">
        <v>9.18249088784E11</v>
      </c>
      <c r="E52" s="27" t="s">
        <v>11</v>
      </c>
      <c r="F52" s="34"/>
      <c r="G52" s="9" t="s">
        <v>908</v>
      </c>
      <c r="H52" s="42" t="s">
        <v>909</v>
      </c>
      <c r="I52" s="10" t="s">
        <v>176</v>
      </c>
      <c r="J52" s="43"/>
      <c r="K52" s="63"/>
      <c r="L52" s="43"/>
    </row>
    <row r="53" ht="22.5" customHeight="1">
      <c r="A53" s="9">
        <v>51.0</v>
      </c>
      <c r="B53" s="27" t="s">
        <v>1088</v>
      </c>
      <c r="C53" s="27" t="s">
        <v>1089</v>
      </c>
      <c r="D53" s="66">
        <v>9.16381521354E11</v>
      </c>
      <c r="E53" s="27" t="s">
        <v>453</v>
      </c>
      <c r="F53" s="34"/>
      <c r="G53" s="9" t="s">
        <v>908</v>
      </c>
      <c r="H53" s="42" t="s">
        <v>909</v>
      </c>
      <c r="I53" s="10" t="s">
        <v>161</v>
      </c>
      <c r="J53" s="43"/>
      <c r="K53" s="63"/>
      <c r="L53" s="43"/>
    </row>
    <row r="54" ht="22.5" customHeight="1">
      <c r="A54" s="42">
        <v>52.0</v>
      </c>
      <c r="B54" s="27" t="s">
        <v>1090</v>
      </c>
      <c r="C54" s="27" t="s">
        <v>1091</v>
      </c>
      <c r="D54" s="66">
        <v>9.190147759356E12</v>
      </c>
      <c r="E54" s="27" t="s">
        <v>486</v>
      </c>
      <c r="F54" s="34"/>
      <c r="G54" s="9" t="s">
        <v>908</v>
      </c>
      <c r="H54" s="42" t="s">
        <v>909</v>
      </c>
      <c r="I54" s="10" t="s">
        <v>161</v>
      </c>
      <c r="J54" s="43"/>
      <c r="K54" s="63"/>
      <c r="L54" s="43"/>
    </row>
    <row r="55" ht="22.5" customHeight="1">
      <c r="A55" s="9">
        <v>53.0</v>
      </c>
      <c r="B55" s="27" t="s">
        <v>1092</v>
      </c>
      <c r="C55" s="27" t="s">
        <v>1093</v>
      </c>
      <c r="D55" s="66">
        <v>9.19107779797E11</v>
      </c>
      <c r="E55" s="27" t="s">
        <v>369</v>
      </c>
      <c r="F55" s="34"/>
      <c r="G55" s="9" t="s">
        <v>908</v>
      </c>
      <c r="H55" s="42" t="s">
        <v>909</v>
      </c>
      <c r="I55" s="10" t="s">
        <v>161</v>
      </c>
      <c r="J55" s="43"/>
      <c r="K55" s="63"/>
      <c r="L55" s="43"/>
    </row>
    <row r="56" ht="22.5" customHeight="1">
      <c r="A56" s="9">
        <v>54.0</v>
      </c>
      <c r="B56" s="27" t="s">
        <v>1094</v>
      </c>
      <c r="C56" s="27" t="s">
        <v>1095</v>
      </c>
      <c r="D56" s="66">
        <v>9.19998609992E11</v>
      </c>
      <c r="E56" s="27" t="s">
        <v>579</v>
      </c>
      <c r="F56" s="34"/>
      <c r="G56" s="9" t="s">
        <v>908</v>
      </c>
      <c r="H56" s="42" t="s">
        <v>909</v>
      </c>
      <c r="I56" s="10" t="s">
        <v>161</v>
      </c>
      <c r="J56" s="43"/>
      <c r="K56" s="63"/>
      <c r="L56" s="43"/>
    </row>
    <row r="57" ht="22.5" customHeight="1">
      <c r="A57" s="42">
        <v>55.0</v>
      </c>
      <c r="B57" s="27" t="s">
        <v>1096</v>
      </c>
      <c r="C57" s="27" t="s">
        <v>1097</v>
      </c>
      <c r="D57" s="66">
        <v>9.19866132474E11</v>
      </c>
      <c r="E57" s="27" t="s">
        <v>1098</v>
      </c>
      <c r="F57" s="34"/>
      <c r="G57" s="9" t="s">
        <v>908</v>
      </c>
      <c r="H57" s="42" t="s">
        <v>909</v>
      </c>
      <c r="I57" s="10" t="s">
        <v>161</v>
      </c>
      <c r="J57" s="43"/>
      <c r="K57" s="63"/>
      <c r="L57" s="43"/>
    </row>
    <row r="58" ht="22.5" customHeight="1">
      <c r="A58" s="9">
        <v>56.0</v>
      </c>
      <c r="B58" s="27" t="s">
        <v>1099</v>
      </c>
      <c r="C58" s="27" t="s">
        <v>1100</v>
      </c>
      <c r="D58" s="66">
        <v>9.18760236484E11</v>
      </c>
      <c r="E58" s="27" t="s">
        <v>1101</v>
      </c>
      <c r="F58" s="34"/>
      <c r="G58" s="9" t="s">
        <v>908</v>
      </c>
      <c r="H58" s="42" t="s">
        <v>909</v>
      </c>
      <c r="I58" s="10" t="s">
        <v>161</v>
      </c>
      <c r="J58" s="43"/>
      <c r="K58" s="63"/>
      <c r="L58" s="43"/>
    </row>
    <row r="59" ht="22.5" customHeight="1">
      <c r="A59" s="9">
        <v>57.0</v>
      </c>
      <c r="B59" s="27" t="s">
        <v>1102</v>
      </c>
      <c r="C59" s="27" t="s">
        <v>1103</v>
      </c>
      <c r="D59" s="66">
        <v>9.194479895E11</v>
      </c>
      <c r="E59" s="27" t="s">
        <v>1104</v>
      </c>
      <c r="F59" s="34"/>
      <c r="G59" s="9" t="s">
        <v>908</v>
      </c>
      <c r="H59" s="42" t="s">
        <v>909</v>
      </c>
      <c r="I59" s="10" t="s">
        <v>161</v>
      </c>
      <c r="J59" s="43"/>
      <c r="K59" s="63"/>
      <c r="L59" s="43"/>
    </row>
    <row r="60" ht="22.5" customHeight="1">
      <c r="A60" s="42">
        <v>58.0</v>
      </c>
      <c r="B60" s="27" t="s">
        <v>1105</v>
      </c>
      <c r="C60" s="27" t="s">
        <v>1106</v>
      </c>
      <c r="D60" s="66">
        <v>9.19158908429E11</v>
      </c>
      <c r="E60" s="27" t="s">
        <v>1107</v>
      </c>
      <c r="F60" s="34"/>
      <c r="G60" s="9" t="s">
        <v>908</v>
      </c>
      <c r="H60" s="42" t="s">
        <v>909</v>
      </c>
      <c r="I60" s="10" t="s">
        <v>161</v>
      </c>
      <c r="J60" s="43"/>
      <c r="K60" s="63"/>
      <c r="L60" s="43"/>
    </row>
    <row r="61" ht="22.5" customHeight="1">
      <c r="A61" s="9">
        <v>59.0</v>
      </c>
      <c r="B61" s="27" t="s">
        <v>1108</v>
      </c>
      <c r="C61" s="27" t="s">
        <v>1109</v>
      </c>
      <c r="D61" s="66">
        <v>9.19449581063E11</v>
      </c>
      <c r="E61" s="27" t="s">
        <v>958</v>
      </c>
      <c r="F61" s="34"/>
      <c r="G61" s="9" t="s">
        <v>908</v>
      </c>
      <c r="H61" s="42" t="s">
        <v>909</v>
      </c>
      <c r="I61" s="10" t="s">
        <v>161</v>
      </c>
      <c r="J61" s="43"/>
      <c r="K61" s="63"/>
      <c r="L61" s="43"/>
    </row>
    <row r="62" ht="22.5" customHeight="1">
      <c r="A62" s="9">
        <v>60.0</v>
      </c>
      <c r="B62" s="27" t="s">
        <v>1110</v>
      </c>
      <c r="C62" s="27" t="s">
        <v>1111</v>
      </c>
      <c r="D62" s="66">
        <v>9.16305788116E11</v>
      </c>
      <c r="E62" s="27" t="s">
        <v>11</v>
      </c>
      <c r="F62" s="34"/>
      <c r="G62" s="9" t="s">
        <v>908</v>
      </c>
      <c r="H62" s="42" t="s">
        <v>909</v>
      </c>
      <c r="I62" s="10" t="s">
        <v>161</v>
      </c>
      <c r="J62" s="43"/>
      <c r="K62" s="63"/>
      <c r="L62" s="43"/>
    </row>
    <row r="63" ht="22.5" customHeight="1">
      <c r="A63" s="42">
        <v>61.0</v>
      </c>
      <c r="B63" s="27" t="s">
        <v>1112</v>
      </c>
      <c r="C63" s="27" t="s">
        <v>1113</v>
      </c>
      <c r="D63" s="66">
        <v>9.19064615732E11</v>
      </c>
      <c r="E63" s="27" t="s">
        <v>211</v>
      </c>
      <c r="F63" s="34"/>
      <c r="G63" s="9" t="s">
        <v>908</v>
      </c>
      <c r="H63" s="42" t="s">
        <v>909</v>
      </c>
      <c r="I63" s="10" t="s">
        <v>161</v>
      </c>
      <c r="J63" s="43"/>
      <c r="K63" s="63"/>
      <c r="L63" s="43"/>
    </row>
    <row r="64" ht="22.5" customHeight="1">
      <c r="A64" s="9">
        <v>62.0</v>
      </c>
      <c r="B64" s="27" t="s">
        <v>1114</v>
      </c>
      <c r="C64" s="27" t="s">
        <v>1115</v>
      </c>
      <c r="D64" s="66">
        <v>9.18327255667E11</v>
      </c>
      <c r="E64" s="27" t="s">
        <v>211</v>
      </c>
      <c r="F64" s="34"/>
      <c r="G64" s="9" t="s">
        <v>908</v>
      </c>
      <c r="H64" s="42" t="s">
        <v>909</v>
      </c>
      <c r="I64" s="10" t="s">
        <v>161</v>
      </c>
      <c r="J64" s="43"/>
      <c r="K64" s="63"/>
      <c r="L64" s="43"/>
    </row>
    <row r="65" ht="22.5" customHeight="1">
      <c r="A65" s="9">
        <v>63.0</v>
      </c>
      <c r="B65" s="27" t="s">
        <v>1116</v>
      </c>
      <c r="C65" s="27" t="s">
        <v>1117</v>
      </c>
      <c r="D65" s="66">
        <v>9.19437440342E11</v>
      </c>
      <c r="E65" s="27" t="s">
        <v>216</v>
      </c>
      <c r="F65" s="34"/>
      <c r="G65" s="9" t="s">
        <v>908</v>
      </c>
      <c r="H65" s="42" t="s">
        <v>909</v>
      </c>
      <c r="I65" s="10" t="s">
        <v>161</v>
      </c>
      <c r="J65" s="43"/>
      <c r="K65" s="63"/>
      <c r="L65" s="43"/>
    </row>
    <row r="66" ht="22.5" customHeight="1">
      <c r="A66" s="42">
        <v>64.0</v>
      </c>
      <c r="B66" s="27" t="s">
        <v>1118</v>
      </c>
      <c r="C66" s="27" t="s">
        <v>1119</v>
      </c>
      <c r="D66" s="66">
        <v>9.18759998011E11</v>
      </c>
      <c r="E66" s="27" t="s">
        <v>922</v>
      </c>
      <c r="F66" s="34"/>
      <c r="G66" s="9" t="s">
        <v>908</v>
      </c>
      <c r="H66" s="42" t="s">
        <v>909</v>
      </c>
      <c r="I66" s="10" t="s">
        <v>161</v>
      </c>
      <c r="J66" s="43"/>
      <c r="K66" s="63"/>
      <c r="L66" s="43"/>
    </row>
    <row r="67" ht="22.5" customHeight="1">
      <c r="A67" s="9">
        <v>65.0</v>
      </c>
      <c r="B67" s="27" t="s">
        <v>1120</v>
      </c>
      <c r="C67" s="27" t="s">
        <v>1121</v>
      </c>
      <c r="D67" s="66">
        <v>9.17008648376E11</v>
      </c>
      <c r="E67" s="27" t="s">
        <v>11</v>
      </c>
      <c r="F67" s="34"/>
      <c r="G67" s="9" t="s">
        <v>908</v>
      </c>
      <c r="H67" s="42" t="s">
        <v>909</v>
      </c>
      <c r="I67" s="10" t="s">
        <v>161</v>
      </c>
      <c r="J67" s="43"/>
      <c r="K67" s="63"/>
      <c r="L67" s="43"/>
    </row>
    <row r="68" ht="22.5" customHeight="1">
      <c r="A68" s="9">
        <v>66.0</v>
      </c>
      <c r="B68" s="27" t="s">
        <v>1122</v>
      </c>
      <c r="C68" s="27" t="s">
        <v>1123</v>
      </c>
      <c r="D68" s="66">
        <v>9.19494709339E11</v>
      </c>
      <c r="E68" s="27" t="s">
        <v>1098</v>
      </c>
      <c r="F68" s="34"/>
      <c r="G68" s="9" t="s">
        <v>908</v>
      </c>
      <c r="H68" s="42" t="s">
        <v>909</v>
      </c>
      <c r="I68" s="10" t="s">
        <v>161</v>
      </c>
      <c r="J68" s="43"/>
      <c r="K68" s="63"/>
      <c r="L68" s="43"/>
    </row>
    <row r="69" ht="22.5" customHeight="1">
      <c r="A69" s="42">
        <v>67.0</v>
      </c>
      <c r="B69" s="27" t="s">
        <v>1124</v>
      </c>
      <c r="C69" s="27" t="s">
        <v>1125</v>
      </c>
      <c r="D69" s="66">
        <v>9.18260769673E11</v>
      </c>
      <c r="E69" s="27" t="s">
        <v>216</v>
      </c>
      <c r="F69" s="34"/>
      <c r="G69" s="9" t="s">
        <v>908</v>
      </c>
      <c r="H69" s="42" t="s">
        <v>909</v>
      </c>
      <c r="I69" s="10" t="s">
        <v>161</v>
      </c>
      <c r="J69" s="43"/>
      <c r="K69" s="63"/>
      <c r="L69" s="43"/>
    </row>
    <row r="70" ht="22.5" customHeight="1">
      <c r="A70" s="9">
        <v>68.0</v>
      </c>
      <c r="B70" s="27" t="s">
        <v>1126</v>
      </c>
      <c r="C70" s="27" t="s">
        <v>1127</v>
      </c>
      <c r="D70" s="66">
        <v>9.19198998032E11</v>
      </c>
      <c r="E70" s="27" t="s">
        <v>1128</v>
      </c>
      <c r="F70" s="34"/>
      <c r="G70" s="9" t="s">
        <v>908</v>
      </c>
      <c r="H70" s="42" t="s">
        <v>909</v>
      </c>
      <c r="I70" s="10" t="s">
        <v>161</v>
      </c>
      <c r="J70" s="43"/>
      <c r="K70" s="63"/>
      <c r="L70" s="43"/>
    </row>
    <row r="71" ht="22.5" customHeight="1">
      <c r="A71" s="9">
        <v>69.0</v>
      </c>
      <c r="B71" s="27" t="s">
        <v>1129</v>
      </c>
      <c r="C71" s="27" t="s">
        <v>1130</v>
      </c>
      <c r="D71" s="66">
        <v>9.19673135511E11</v>
      </c>
      <c r="E71" s="27" t="s">
        <v>369</v>
      </c>
      <c r="F71" s="34"/>
      <c r="G71" s="9" t="s">
        <v>908</v>
      </c>
      <c r="H71" s="42" t="s">
        <v>909</v>
      </c>
      <c r="I71" s="10" t="s">
        <v>176</v>
      </c>
      <c r="J71" s="43"/>
      <c r="K71" s="63"/>
      <c r="L71" s="43"/>
    </row>
    <row r="72" ht="22.5" customHeight="1">
      <c r="A72" s="42">
        <v>70.0</v>
      </c>
      <c r="B72" s="27" t="s">
        <v>1131</v>
      </c>
      <c r="C72" s="27" t="s">
        <v>1132</v>
      </c>
      <c r="D72" s="66">
        <v>9.17382916361E11</v>
      </c>
      <c r="E72" s="27" t="s">
        <v>1133</v>
      </c>
      <c r="F72" s="34"/>
      <c r="G72" s="9" t="s">
        <v>908</v>
      </c>
      <c r="H72" s="42" t="s">
        <v>909</v>
      </c>
      <c r="I72" s="10" t="s">
        <v>176</v>
      </c>
      <c r="J72" s="43"/>
      <c r="K72" s="63"/>
      <c r="L72" s="43"/>
    </row>
    <row r="73" ht="22.5" customHeight="1">
      <c r="A73" s="9">
        <v>71.0</v>
      </c>
      <c r="B73" s="27" t="s">
        <v>1134</v>
      </c>
      <c r="C73" s="27" t="s">
        <v>1135</v>
      </c>
      <c r="D73" s="66">
        <v>9.1981155447E11</v>
      </c>
      <c r="E73" s="27" t="s">
        <v>1136</v>
      </c>
      <c r="F73" s="34"/>
      <c r="G73" s="9" t="s">
        <v>908</v>
      </c>
      <c r="H73" s="42" t="s">
        <v>909</v>
      </c>
      <c r="I73" s="10" t="s">
        <v>161</v>
      </c>
      <c r="J73" s="43"/>
      <c r="K73" s="63"/>
      <c r="L73" s="43"/>
    </row>
    <row r="74" ht="22.5" customHeight="1">
      <c r="A74" s="9">
        <v>72.0</v>
      </c>
      <c r="B74" s="27" t="s">
        <v>1137</v>
      </c>
      <c r="C74" s="27" t="s">
        <v>1138</v>
      </c>
      <c r="D74" s="66">
        <v>9.18051622795E11</v>
      </c>
      <c r="E74" s="27" t="s">
        <v>1139</v>
      </c>
      <c r="F74" s="34"/>
      <c r="G74" s="9" t="s">
        <v>908</v>
      </c>
      <c r="H74" s="42" t="s">
        <v>909</v>
      </c>
      <c r="I74" s="10" t="s">
        <v>161</v>
      </c>
      <c r="J74" s="43"/>
      <c r="K74" s="63"/>
      <c r="L74" s="43"/>
    </row>
    <row r="75" ht="22.5" customHeight="1">
      <c r="A75" s="42">
        <v>73.0</v>
      </c>
      <c r="B75" s="27" t="s">
        <v>1140</v>
      </c>
      <c r="C75" s="27" t="s">
        <v>1141</v>
      </c>
      <c r="D75" s="66">
        <v>9.17576078081E11</v>
      </c>
      <c r="E75" s="27" t="s">
        <v>335</v>
      </c>
      <c r="F75" s="34"/>
      <c r="G75" s="9" t="s">
        <v>908</v>
      </c>
      <c r="H75" s="42" t="s">
        <v>909</v>
      </c>
      <c r="I75" s="10" t="s">
        <v>176</v>
      </c>
      <c r="J75" s="43"/>
      <c r="K75" s="63"/>
      <c r="L75" s="43"/>
    </row>
    <row r="76" ht="22.5" customHeight="1">
      <c r="A76" s="9">
        <v>74.0</v>
      </c>
      <c r="B76" s="27" t="s">
        <v>1142</v>
      </c>
      <c r="C76" s="27" t="s">
        <v>1143</v>
      </c>
      <c r="D76" s="66">
        <v>1.8658609416E10</v>
      </c>
      <c r="E76" s="27" t="s">
        <v>1144</v>
      </c>
      <c r="F76" s="34"/>
      <c r="G76" s="9" t="s">
        <v>908</v>
      </c>
      <c r="H76" s="42" t="s">
        <v>909</v>
      </c>
      <c r="I76" s="10" t="s">
        <v>176</v>
      </c>
      <c r="J76" s="43"/>
      <c r="K76" s="63"/>
      <c r="L76" s="43"/>
    </row>
    <row r="77" ht="22.5" customHeight="1">
      <c r="A77" s="9">
        <v>75.0</v>
      </c>
      <c r="B77" s="27" t="s">
        <v>1145</v>
      </c>
      <c r="C77" s="27" t="s">
        <v>1146</v>
      </c>
      <c r="D77" s="66">
        <v>9.16260495362E11</v>
      </c>
      <c r="E77" s="27" t="s">
        <v>1147</v>
      </c>
      <c r="F77" s="34"/>
      <c r="G77" s="9" t="s">
        <v>908</v>
      </c>
      <c r="H77" s="42" t="s">
        <v>909</v>
      </c>
      <c r="I77" s="10" t="s">
        <v>161</v>
      </c>
      <c r="J77" s="43"/>
      <c r="K77" s="63"/>
      <c r="L77" s="43"/>
    </row>
    <row r="78" ht="22.5" customHeight="1">
      <c r="A78" s="42">
        <v>76.0</v>
      </c>
      <c r="B78" s="27" t="s">
        <v>1148</v>
      </c>
      <c r="C78" s="27" t="s">
        <v>1149</v>
      </c>
      <c r="D78" s="66">
        <v>9.1906544023E11</v>
      </c>
      <c r="E78" s="27" t="s">
        <v>145</v>
      </c>
      <c r="F78" s="34"/>
      <c r="G78" s="9" t="s">
        <v>908</v>
      </c>
      <c r="H78" s="42" t="s">
        <v>909</v>
      </c>
      <c r="I78" s="10" t="s">
        <v>161</v>
      </c>
      <c r="J78" s="43"/>
      <c r="K78" s="63"/>
      <c r="L78" s="43"/>
    </row>
    <row r="79" ht="22.5" customHeight="1">
      <c r="A79" s="9">
        <v>77.0</v>
      </c>
      <c r="B79" s="27" t="s">
        <v>1150</v>
      </c>
      <c r="C79" s="27" t="s">
        <v>1151</v>
      </c>
      <c r="D79" s="66">
        <v>9.17363038918E11</v>
      </c>
      <c r="E79" s="27" t="s">
        <v>1152</v>
      </c>
      <c r="F79" s="34"/>
      <c r="G79" s="9" t="s">
        <v>908</v>
      </c>
      <c r="H79" s="42" t="s">
        <v>909</v>
      </c>
      <c r="I79" s="10" t="s">
        <v>161</v>
      </c>
      <c r="J79" s="43"/>
      <c r="K79" s="63"/>
      <c r="L79" s="43"/>
    </row>
    <row r="80" ht="22.5" customHeight="1">
      <c r="A80" s="9">
        <v>78.0</v>
      </c>
      <c r="B80" s="27" t="s">
        <v>1153</v>
      </c>
      <c r="C80" s="27" t="s">
        <v>1154</v>
      </c>
      <c r="D80" s="66">
        <v>9.18001080758E11</v>
      </c>
      <c r="E80" s="27" t="s">
        <v>1155</v>
      </c>
      <c r="F80" s="34"/>
      <c r="G80" s="9" t="s">
        <v>908</v>
      </c>
      <c r="H80" s="42" t="s">
        <v>909</v>
      </c>
      <c r="I80" s="10" t="s">
        <v>176</v>
      </c>
      <c r="J80" s="43"/>
      <c r="K80" s="63"/>
      <c r="L80" s="43"/>
    </row>
    <row r="81" ht="22.5" customHeight="1">
      <c r="A81" s="42">
        <v>79.0</v>
      </c>
      <c r="B81" s="27" t="s">
        <v>1156</v>
      </c>
      <c r="C81" s="27" t="s">
        <v>1157</v>
      </c>
      <c r="D81" s="66">
        <v>9.18016529484E11</v>
      </c>
      <c r="E81" s="27" t="s">
        <v>175</v>
      </c>
      <c r="F81" s="34"/>
      <c r="G81" s="9" t="s">
        <v>908</v>
      </c>
      <c r="H81" s="42" t="s">
        <v>909</v>
      </c>
      <c r="I81" s="10" t="s">
        <v>161</v>
      </c>
      <c r="J81" s="43"/>
      <c r="K81" s="63"/>
      <c r="L81" s="43"/>
    </row>
    <row r="82" ht="22.5" customHeight="1">
      <c r="A82" s="9">
        <v>80.0</v>
      </c>
      <c r="B82" s="27" t="s">
        <v>1158</v>
      </c>
      <c r="C82" s="27" t="s">
        <v>1159</v>
      </c>
      <c r="D82" s="66">
        <v>9.19366658255E11</v>
      </c>
      <c r="E82" s="27" t="s">
        <v>1160</v>
      </c>
      <c r="F82" s="34"/>
      <c r="G82" s="9" t="s">
        <v>908</v>
      </c>
      <c r="H82" s="42" t="s">
        <v>909</v>
      </c>
      <c r="I82" s="10" t="s">
        <v>176</v>
      </c>
      <c r="J82" s="43"/>
      <c r="K82" s="63"/>
      <c r="L82" s="43"/>
    </row>
    <row r="83" ht="22.5" customHeight="1">
      <c r="A83" s="9">
        <v>81.0</v>
      </c>
      <c r="B83" s="27" t="s">
        <v>1161</v>
      </c>
      <c r="C83" s="27" t="s">
        <v>1162</v>
      </c>
      <c r="D83" s="66">
        <v>9.19955441943E11</v>
      </c>
      <c r="E83" s="27" t="s">
        <v>145</v>
      </c>
      <c r="F83" s="34"/>
      <c r="G83" s="9" t="s">
        <v>908</v>
      </c>
      <c r="H83" s="42" t="s">
        <v>909</v>
      </c>
      <c r="I83" s="10" t="s">
        <v>161</v>
      </c>
      <c r="J83" s="43"/>
      <c r="K83" s="63"/>
      <c r="L83" s="43"/>
    </row>
    <row r="84" ht="22.5" customHeight="1">
      <c r="A84" s="42">
        <v>82.0</v>
      </c>
      <c r="B84" s="27" t="s">
        <v>1163</v>
      </c>
      <c r="C84" s="27" t="s">
        <v>1164</v>
      </c>
      <c r="D84" s="66">
        <v>9.19609048732E11</v>
      </c>
      <c r="E84" s="27" t="s">
        <v>1165</v>
      </c>
      <c r="F84" s="34"/>
      <c r="G84" s="9" t="s">
        <v>908</v>
      </c>
      <c r="H84" s="42" t="s">
        <v>909</v>
      </c>
      <c r="I84" s="10" t="s">
        <v>161</v>
      </c>
      <c r="J84" s="43"/>
      <c r="K84" s="63"/>
      <c r="L84" s="43"/>
    </row>
    <row r="85" ht="22.5" customHeight="1">
      <c r="A85" s="9">
        <v>83.0</v>
      </c>
      <c r="B85" s="27" t="s">
        <v>1166</v>
      </c>
      <c r="C85" s="27" t="s">
        <v>1167</v>
      </c>
      <c r="D85" s="66">
        <v>9.19937761133E11</v>
      </c>
      <c r="E85" s="27" t="s">
        <v>11</v>
      </c>
      <c r="F85" s="34"/>
      <c r="G85" s="9" t="s">
        <v>908</v>
      </c>
      <c r="H85" s="42" t="s">
        <v>909</v>
      </c>
      <c r="I85" s="10" t="s">
        <v>161</v>
      </c>
      <c r="J85" s="43"/>
      <c r="K85" s="63"/>
      <c r="L85" s="43"/>
    </row>
    <row r="86" ht="22.5" customHeight="1">
      <c r="A86" s="9">
        <v>84.0</v>
      </c>
      <c r="B86" s="27" t="s">
        <v>1168</v>
      </c>
      <c r="C86" s="27" t="s">
        <v>1169</v>
      </c>
      <c r="D86" s="66">
        <v>9.16295935584E11</v>
      </c>
      <c r="E86" s="27" t="s">
        <v>486</v>
      </c>
      <c r="F86" s="34"/>
      <c r="G86" s="9" t="s">
        <v>908</v>
      </c>
      <c r="H86" s="42" t="s">
        <v>909</v>
      </c>
      <c r="I86" s="10" t="s">
        <v>161</v>
      </c>
      <c r="J86" s="43"/>
      <c r="K86" s="63"/>
      <c r="L86" s="43"/>
    </row>
    <row r="87" ht="22.5" customHeight="1">
      <c r="A87" s="42">
        <v>85.0</v>
      </c>
      <c r="B87" s="27" t="s">
        <v>1170</v>
      </c>
      <c r="C87" s="27" t="s">
        <v>1171</v>
      </c>
      <c r="D87" s="66">
        <v>9.19083551298E11</v>
      </c>
      <c r="E87" s="27" t="s">
        <v>922</v>
      </c>
      <c r="F87" s="34"/>
      <c r="G87" s="9" t="s">
        <v>908</v>
      </c>
      <c r="H87" s="42" t="s">
        <v>909</v>
      </c>
      <c r="I87" s="10" t="s">
        <v>161</v>
      </c>
      <c r="J87" s="43"/>
      <c r="K87" s="63"/>
      <c r="L87" s="43"/>
    </row>
    <row r="88" ht="22.5" customHeight="1">
      <c r="A88" s="9">
        <v>86.0</v>
      </c>
      <c r="B88" s="27" t="s">
        <v>1172</v>
      </c>
      <c r="C88" s="27" t="s">
        <v>1173</v>
      </c>
      <c r="D88" s="66">
        <v>1.8018775143E10</v>
      </c>
      <c r="E88" s="27" t="s">
        <v>238</v>
      </c>
      <c r="F88" s="34"/>
      <c r="G88" s="9" t="s">
        <v>908</v>
      </c>
      <c r="H88" s="42" t="s">
        <v>909</v>
      </c>
      <c r="I88" s="10" t="s">
        <v>161</v>
      </c>
      <c r="J88" s="43"/>
      <c r="K88" s="63"/>
      <c r="L88" s="43"/>
    </row>
    <row r="89" ht="22.5" customHeight="1">
      <c r="A89" s="9">
        <v>87.0</v>
      </c>
      <c r="B89" s="27" t="s">
        <v>1174</v>
      </c>
      <c r="C89" s="27" t="s">
        <v>1175</v>
      </c>
      <c r="D89" s="66">
        <v>1.8768173312E10</v>
      </c>
      <c r="E89" s="27" t="s">
        <v>1176</v>
      </c>
      <c r="F89" s="34"/>
      <c r="G89" s="9" t="s">
        <v>908</v>
      </c>
      <c r="H89" s="42" t="s">
        <v>909</v>
      </c>
      <c r="I89" s="10" t="s">
        <v>176</v>
      </c>
      <c r="J89" s="43"/>
      <c r="K89" s="63"/>
      <c r="L89" s="43"/>
    </row>
    <row r="90" ht="22.5" customHeight="1">
      <c r="A90" s="42">
        <v>88.0</v>
      </c>
      <c r="B90" s="27" t="s">
        <v>1177</v>
      </c>
      <c r="C90" s="27" t="s">
        <v>1178</v>
      </c>
      <c r="D90" s="66">
        <v>9.19793239323E11</v>
      </c>
      <c r="E90" s="27" t="s">
        <v>344</v>
      </c>
      <c r="F90" s="34"/>
      <c r="G90" s="9" t="s">
        <v>908</v>
      </c>
      <c r="H90" s="42" t="s">
        <v>909</v>
      </c>
      <c r="I90" s="10" t="s">
        <v>161</v>
      </c>
      <c r="J90" s="43"/>
      <c r="K90" s="63"/>
      <c r="L90" s="43"/>
    </row>
    <row r="91" ht="22.5" customHeight="1">
      <c r="A91" s="9">
        <v>89.0</v>
      </c>
      <c r="B91" s="27" t="s">
        <v>1179</v>
      </c>
      <c r="C91" s="27" t="s">
        <v>1180</v>
      </c>
      <c r="D91" s="66">
        <v>9.19572966347E11</v>
      </c>
      <c r="E91" s="27" t="s">
        <v>228</v>
      </c>
      <c r="F91" s="34"/>
      <c r="G91" s="9" t="s">
        <v>908</v>
      </c>
      <c r="H91" s="42" t="s">
        <v>909</v>
      </c>
      <c r="I91" s="10" t="s">
        <v>161</v>
      </c>
      <c r="J91" s="43"/>
      <c r="K91" s="63"/>
      <c r="L91" s="43"/>
    </row>
    <row r="92" ht="22.5" customHeight="1">
      <c r="A92" s="9">
        <v>90.0</v>
      </c>
      <c r="B92" s="27" t="s">
        <v>1181</v>
      </c>
      <c r="C92" s="27" t="s">
        <v>1182</v>
      </c>
      <c r="D92" s="66">
        <v>9.18809953749E11</v>
      </c>
      <c r="E92" s="27" t="s">
        <v>229</v>
      </c>
      <c r="F92" s="34"/>
      <c r="G92" s="9" t="s">
        <v>908</v>
      </c>
      <c r="H92" s="42" t="s">
        <v>909</v>
      </c>
      <c r="I92" s="10" t="s">
        <v>161</v>
      </c>
      <c r="J92" s="43"/>
      <c r="K92" s="63"/>
      <c r="L92" s="43"/>
    </row>
    <row r="93" ht="22.5" customHeight="1">
      <c r="A93" s="42">
        <v>91.0</v>
      </c>
      <c r="B93" s="27" t="s">
        <v>1183</v>
      </c>
      <c r="C93" s="27" t="s">
        <v>1184</v>
      </c>
      <c r="D93" s="66">
        <v>9.19474905831E11</v>
      </c>
      <c r="E93" s="27" t="s">
        <v>175</v>
      </c>
      <c r="F93" s="34"/>
      <c r="G93" s="9" t="s">
        <v>908</v>
      </c>
      <c r="H93" s="42" t="s">
        <v>909</v>
      </c>
      <c r="I93" s="10" t="s">
        <v>161</v>
      </c>
      <c r="J93" s="43"/>
      <c r="K93" s="63"/>
      <c r="L93" s="43"/>
    </row>
    <row r="94" ht="22.5" customHeight="1">
      <c r="A94" s="9">
        <v>92.0</v>
      </c>
      <c r="B94" s="27" t="s">
        <v>1185</v>
      </c>
      <c r="C94" s="27" t="s">
        <v>1186</v>
      </c>
      <c r="D94" s="66">
        <v>9.17908220729E11</v>
      </c>
      <c r="E94" s="27" t="s">
        <v>486</v>
      </c>
      <c r="F94" s="34"/>
      <c r="G94" s="9" t="s">
        <v>908</v>
      </c>
      <c r="H94" s="42" t="s">
        <v>909</v>
      </c>
      <c r="I94" s="10" t="s">
        <v>161</v>
      </c>
      <c r="J94" s="43"/>
      <c r="K94" s="63"/>
      <c r="L94" s="43"/>
    </row>
    <row r="95" ht="22.5" customHeight="1">
      <c r="A95" s="9">
        <v>93.0</v>
      </c>
      <c r="B95" s="27" t="s">
        <v>1187</v>
      </c>
      <c r="C95" s="27" t="s">
        <v>1188</v>
      </c>
      <c r="D95" s="66">
        <v>9.17061965301E11</v>
      </c>
      <c r="E95" s="27" t="s">
        <v>1189</v>
      </c>
      <c r="F95" s="34"/>
      <c r="G95" s="9" t="s">
        <v>908</v>
      </c>
      <c r="H95" s="42" t="s">
        <v>909</v>
      </c>
      <c r="I95" s="10" t="s">
        <v>176</v>
      </c>
      <c r="J95" s="43"/>
      <c r="K95" s="63"/>
      <c r="L95" s="43"/>
    </row>
    <row r="96" ht="22.5" customHeight="1">
      <c r="A96" s="42">
        <v>94.0</v>
      </c>
      <c r="B96" s="27" t="s">
        <v>1190</v>
      </c>
      <c r="C96" s="27" t="s">
        <v>1191</v>
      </c>
      <c r="D96" s="66">
        <v>9.19175697175E11</v>
      </c>
      <c r="E96" s="27" t="s">
        <v>369</v>
      </c>
      <c r="F96" s="34"/>
      <c r="G96" s="9" t="s">
        <v>908</v>
      </c>
      <c r="H96" s="42" t="s">
        <v>909</v>
      </c>
      <c r="I96" s="10" t="s">
        <v>161</v>
      </c>
      <c r="J96" s="43"/>
      <c r="K96" s="63"/>
      <c r="L96" s="43"/>
    </row>
    <row r="97" ht="22.5" customHeight="1">
      <c r="A97" s="9">
        <v>95.0</v>
      </c>
      <c r="B97" s="27" t="s">
        <v>1192</v>
      </c>
      <c r="C97" s="27" t="s">
        <v>1193</v>
      </c>
      <c r="D97" s="66">
        <v>9.19534087172E11</v>
      </c>
      <c r="E97" s="27" t="s">
        <v>1194</v>
      </c>
      <c r="F97" s="34"/>
      <c r="G97" s="9" t="s">
        <v>908</v>
      </c>
      <c r="H97" s="42" t="s">
        <v>909</v>
      </c>
      <c r="I97" s="10" t="s">
        <v>176</v>
      </c>
      <c r="J97" s="43"/>
      <c r="K97" s="63"/>
      <c r="L97" s="43"/>
    </row>
    <row r="98" ht="22.5" customHeight="1">
      <c r="A98" s="9">
        <v>96.0</v>
      </c>
      <c r="B98" s="27" t="s">
        <v>1195</v>
      </c>
      <c r="C98" s="27" t="s">
        <v>1196</v>
      </c>
      <c r="D98" s="66">
        <v>9.19383292464E11</v>
      </c>
      <c r="E98" s="27" t="s">
        <v>1197</v>
      </c>
      <c r="F98" s="34"/>
      <c r="G98" s="9" t="s">
        <v>908</v>
      </c>
      <c r="H98" s="42" t="s">
        <v>909</v>
      </c>
      <c r="I98" s="10" t="s">
        <v>176</v>
      </c>
      <c r="J98" s="43"/>
      <c r="K98" s="63"/>
      <c r="L98" s="43"/>
    </row>
    <row r="99" ht="22.5" customHeight="1">
      <c r="A99" s="42">
        <v>97.0</v>
      </c>
      <c r="B99" s="27" t="s">
        <v>1198</v>
      </c>
      <c r="C99" s="27" t="s">
        <v>1199</v>
      </c>
      <c r="D99" s="66">
        <v>9.18595193022E11</v>
      </c>
      <c r="E99" s="29"/>
      <c r="F99" s="34"/>
      <c r="G99" s="9" t="s">
        <v>908</v>
      </c>
      <c r="H99" s="42" t="s">
        <v>909</v>
      </c>
      <c r="I99" s="10" t="s">
        <v>161</v>
      </c>
      <c r="J99" s="43"/>
      <c r="K99" s="63"/>
      <c r="L99" s="43"/>
    </row>
    <row r="100" ht="22.5" customHeight="1">
      <c r="A100" s="9">
        <v>98.0</v>
      </c>
      <c r="B100" s="27" t="s">
        <v>1200</v>
      </c>
      <c r="C100" s="27" t="s">
        <v>1201</v>
      </c>
      <c r="D100" s="66">
        <v>9.19322477841E11</v>
      </c>
      <c r="E100" s="27" t="s">
        <v>1202</v>
      </c>
      <c r="F100" s="34"/>
      <c r="G100" s="9" t="s">
        <v>908</v>
      </c>
      <c r="H100" s="42" t="s">
        <v>909</v>
      </c>
      <c r="I100" s="10" t="s">
        <v>161</v>
      </c>
      <c r="J100" s="43"/>
      <c r="K100" s="63"/>
      <c r="L100" s="43"/>
    </row>
    <row r="101" ht="22.5" customHeight="1">
      <c r="A101" s="9">
        <v>99.0</v>
      </c>
      <c r="B101" s="27" t="s">
        <v>1203</v>
      </c>
      <c r="C101" s="27" t="s">
        <v>1204</v>
      </c>
      <c r="D101" s="66">
        <v>9.19692500982E11</v>
      </c>
      <c r="E101" s="27" t="s">
        <v>11</v>
      </c>
      <c r="F101" s="34"/>
      <c r="G101" s="9" t="s">
        <v>908</v>
      </c>
      <c r="H101" s="42" t="s">
        <v>909</v>
      </c>
      <c r="I101" s="10" t="s">
        <v>176</v>
      </c>
      <c r="J101" s="43"/>
      <c r="K101" s="63"/>
      <c r="L101" s="43"/>
    </row>
    <row r="102" ht="22.5" customHeight="1">
      <c r="A102" s="42">
        <v>100.0</v>
      </c>
      <c r="B102" s="27" t="s">
        <v>1205</v>
      </c>
      <c r="C102" s="27" t="s">
        <v>1206</v>
      </c>
      <c r="D102" s="66">
        <v>9.17679613119E11</v>
      </c>
      <c r="E102" s="27" t="s">
        <v>211</v>
      </c>
      <c r="F102" s="34"/>
      <c r="G102" s="9" t="s">
        <v>908</v>
      </c>
      <c r="H102" s="42" t="s">
        <v>909</v>
      </c>
      <c r="I102" s="10" t="s">
        <v>161</v>
      </c>
      <c r="J102" s="43"/>
      <c r="K102" s="63"/>
      <c r="L102" s="43"/>
    </row>
    <row r="103" ht="22.5" customHeight="1">
      <c r="A103" s="9">
        <v>101.0</v>
      </c>
      <c r="B103" s="27" t="s">
        <v>1207</v>
      </c>
      <c r="C103" s="27" t="s">
        <v>1208</v>
      </c>
      <c r="D103" s="66">
        <v>9.17782042881E11</v>
      </c>
      <c r="E103" s="27" t="s">
        <v>1209</v>
      </c>
      <c r="F103" s="34"/>
      <c r="G103" s="9" t="s">
        <v>908</v>
      </c>
      <c r="H103" s="42" t="s">
        <v>909</v>
      </c>
      <c r="I103" s="10" t="s">
        <v>161</v>
      </c>
      <c r="J103" s="43"/>
      <c r="K103" s="63"/>
      <c r="L103" s="43"/>
    </row>
    <row r="104" ht="22.5" customHeight="1">
      <c r="A104" s="9">
        <v>102.0</v>
      </c>
      <c r="B104" s="27" t="s">
        <v>1210</v>
      </c>
      <c r="C104" s="27" t="s">
        <v>1211</v>
      </c>
      <c r="D104" s="66">
        <v>9.17304623863E11</v>
      </c>
      <c r="E104" s="27" t="s">
        <v>1212</v>
      </c>
      <c r="F104" s="34"/>
      <c r="G104" s="9" t="s">
        <v>908</v>
      </c>
      <c r="H104" s="42" t="s">
        <v>909</v>
      </c>
      <c r="I104" s="10" t="s">
        <v>176</v>
      </c>
      <c r="J104" s="43"/>
      <c r="K104" s="63"/>
      <c r="L104" s="43"/>
    </row>
    <row r="105" ht="22.5" customHeight="1">
      <c r="A105" s="42">
        <v>103.0</v>
      </c>
      <c r="B105" s="27" t="s">
        <v>1213</v>
      </c>
      <c r="C105" s="27" t="s">
        <v>1214</v>
      </c>
      <c r="D105" s="66">
        <v>9.19383226775E11</v>
      </c>
      <c r="E105" s="27" t="s">
        <v>1215</v>
      </c>
      <c r="F105" s="34"/>
      <c r="G105" s="9" t="s">
        <v>908</v>
      </c>
      <c r="H105" s="42" t="s">
        <v>909</v>
      </c>
      <c r="I105" s="10" t="s">
        <v>161</v>
      </c>
      <c r="J105" s="43"/>
      <c r="K105" s="63"/>
      <c r="L105" s="43"/>
    </row>
    <row r="106" ht="22.5" customHeight="1">
      <c r="A106" s="9">
        <v>104.0</v>
      </c>
      <c r="B106" s="27" t="s">
        <v>1041</v>
      </c>
      <c r="C106" s="27" t="s">
        <v>1042</v>
      </c>
      <c r="D106" s="66">
        <v>9.19036479289E11</v>
      </c>
      <c r="E106" s="27" t="s">
        <v>398</v>
      </c>
      <c r="F106" s="34"/>
      <c r="G106" s="9" t="s">
        <v>908</v>
      </c>
      <c r="H106" s="42" t="s">
        <v>909</v>
      </c>
      <c r="I106" s="10" t="s">
        <v>161</v>
      </c>
      <c r="J106" s="43"/>
      <c r="K106" s="63"/>
      <c r="L106" s="43"/>
    </row>
    <row r="107" ht="22.5" customHeight="1">
      <c r="A107" s="9">
        <v>105.0</v>
      </c>
      <c r="B107" s="27" t="s">
        <v>1037</v>
      </c>
      <c r="C107" s="27" t="s">
        <v>1038</v>
      </c>
      <c r="D107" s="66">
        <v>9.17038324851E11</v>
      </c>
      <c r="E107" s="27" t="s">
        <v>369</v>
      </c>
      <c r="F107" s="34"/>
      <c r="G107" s="9" t="s">
        <v>908</v>
      </c>
      <c r="H107" s="42" t="s">
        <v>909</v>
      </c>
      <c r="I107" s="10" t="s">
        <v>161</v>
      </c>
      <c r="J107" s="43"/>
      <c r="K107" s="63"/>
      <c r="L107" s="43"/>
    </row>
    <row r="108" ht="22.5" customHeight="1">
      <c r="A108" s="42">
        <v>106.0</v>
      </c>
      <c r="B108" s="27" t="s">
        <v>1033</v>
      </c>
      <c r="C108" s="27" t="s">
        <v>1034</v>
      </c>
      <c r="D108" s="66">
        <v>9.17679155472E11</v>
      </c>
      <c r="E108" s="27" t="s">
        <v>211</v>
      </c>
      <c r="F108" s="34"/>
      <c r="G108" s="9" t="s">
        <v>908</v>
      </c>
      <c r="H108" s="42" t="s">
        <v>909</v>
      </c>
      <c r="I108" s="10" t="s">
        <v>161</v>
      </c>
      <c r="J108" s="43"/>
      <c r="K108" s="63"/>
      <c r="L108" s="43"/>
    </row>
    <row r="109" ht="22.5" customHeight="1">
      <c r="A109" s="9">
        <v>107.0</v>
      </c>
      <c r="B109" s="27" t="s">
        <v>1029</v>
      </c>
      <c r="C109" s="27" t="s">
        <v>1030</v>
      </c>
      <c r="D109" s="66">
        <v>9.19475257245E11</v>
      </c>
      <c r="E109" s="27" t="s">
        <v>211</v>
      </c>
      <c r="F109" s="34"/>
      <c r="G109" s="9" t="s">
        <v>908</v>
      </c>
      <c r="H109" s="42" t="s">
        <v>909</v>
      </c>
      <c r="I109" s="10" t="s">
        <v>14</v>
      </c>
      <c r="J109" s="43"/>
      <c r="K109" s="63"/>
      <c r="L109" s="43"/>
    </row>
    <row r="110" ht="22.5" customHeight="1">
      <c r="A110" s="9">
        <v>108.0</v>
      </c>
      <c r="B110" s="27" t="s">
        <v>1021</v>
      </c>
      <c r="C110" s="27" t="s">
        <v>1022</v>
      </c>
      <c r="D110" s="66">
        <v>7.975808299E9</v>
      </c>
      <c r="E110" s="27" t="s">
        <v>958</v>
      </c>
      <c r="F110" s="34"/>
      <c r="G110" s="9" t="s">
        <v>908</v>
      </c>
      <c r="H110" s="42" t="s">
        <v>909</v>
      </c>
      <c r="I110" s="10" t="s">
        <v>14</v>
      </c>
      <c r="J110" s="43"/>
      <c r="K110" s="63"/>
      <c r="L110" s="43"/>
    </row>
    <row r="111" ht="22.5" customHeight="1">
      <c r="A111" s="42">
        <v>109.0</v>
      </c>
      <c r="B111" s="27" t="s">
        <v>1017</v>
      </c>
      <c r="C111" s="27" t="s">
        <v>1018</v>
      </c>
      <c r="D111" s="66">
        <v>9.19733539841E11</v>
      </c>
      <c r="E111" s="27" t="s">
        <v>211</v>
      </c>
      <c r="F111" s="34"/>
      <c r="G111" s="9" t="s">
        <v>908</v>
      </c>
      <c r="H111" s="42" t="s">
        <v>909</v>
      </c>
      <c r="I111" s="10" t="s">
        <v>161</v>
      </c>
      <c r="J111" s="43"/>
      <c r="K111" s="63"/>
      <c r="L111" s="43"/>
    </row>
    <row r="112" ht="22.5" customHeight="1">
      <c r="A112" s="42">
        <v>110.0</v>
      </c>
      <c r="B112" s="34" t="s">
        <v>1216</v>
      </c>
      <c r="C112" s="34"/>
      <c r="D112" s="33">
        <v>8.927659844E9</v>
      </c>
      <c r="E112" s="34" t="s">
        <v>211</v>
      </c>
      <c r="F112" s="34" t="s">
        <v>66</v>
      </c>
      <c r="G112" s="9" t="s">
        <v>1217</v>
      </c>
      <c r="H112" s="9" t="s">
        <v>1218</v>
      </c>
      <c r="I112" s="10" t="s">
        <v>161</v>
      </c>
      <c r="J112" s="43"/>
      <c r="K112" s="63"/>
      <c r="L112" s="43"/>
    </row>
    <row r="113" ht="22.5" customHeight="1">
      <c r="A113" s="42">
        <v>111.0</v>
      </c>
      <c r="B113" s="34" t="s">
        <v>1219</v>
      </c>
      <c r="C113" s="34"/>
      <c r="D113" s="33">
        <v>7.864823599E9</v>
      </c>
      <c r="E113" s="34" t="s">
        <v>211</v>
      </c>
      <c r="F113" s="34" t="s">
        <v>66</v>
      </c>
      <c r="G113" s="67" t="s">
        <v>1217</v>
      </c>
      <c r="H113" s="9" t="s">
        <v>1218</v>
      </c>
      <c r="I113" s="10" t="s">
        <v>161</v>
      </c>
      <c r="J113" s="43"/>
      <c r="K113" s="63"/>
      <c r="L113" s="43"/>
    </row>
    <row r="114" ht="22.5" customHeight="1">
      <c r="A114" s="42">
        <v>112.0</v>
      </c>
      <c r="B114" s="34" t="s">
        <v>1220</v>
      </c>
      <c r="C114" s="34"/>
      <c r="D114" s="33">
        <v>8.900622971E9</v>
      </c>
      <c r="E114" s="34" t="s">
        <v>211</v>
      </c>
      <c r="F114" s="34" t="s">
        <v>66</v>
      </c>
      <c r="G114" s="67" t="s">
        <v>1217</v>
      </c>
      <c r="H114" s="9" t="s">
        <v>1218</v>
      </c>
      <c r="I114" s="10" t="s">
        <v>161</v>
      </c>
      <c r="J114" s="43"/>
      <c r="K114" s="63"/>
      <c r="L114" s="43"/>
    </row>
    <row r="115" ht="22.5" customHeight="1">
      <c r="A115" s="42">
        <v>113.0</v>
      </c>
      <c r="B115" s="34" t="s">
        <v>1221</v>
      </c>
      <c r="C115" s="34"/>
      <c r="D115" s="33">
        <v>9.830080536E9</v>
      </c>
      <c r="E115" s="34" t="s">
        <v>211</v>
      </c>
      <c r="F115" s="34" t="s">
        <v>66</v>
      </c>
      <c r="G115" s="67" t="s">
        <v>1217</v>
      </c>
      <c r="H115" s="9" t="s">
        <v>1218</v>
      </c>
      <c r="I115" s="10" t="s">
        <v>161</v>
      </c>
      <c r="J115" s="43"/>
      <c r="K115" s="63"/>
      <c r="L115" s="43"/>
    </row>
    <row r="116" ht="22.5" customHeight="1">
      <c r="A116" s="42">
        <v>114.0</v>
      </c>
      <c r="B116" s="34" t="s">
        <v>1222</v>
      </c>
      <c r="C116" s="34"/>
      <c r="D116" s="33">
        <v>8.240992042E9</v>
      </c>
      <c r="E116" s="34" t="s">
        <v>211</v>
      </c>
      <c r="F116" s="34" t="s">
        <v>66</v>
      </c>
      <c r="G116" s="67" t="s">
        <v>1217</v>
      </c>
      <c r="H116" s="9" t="s">
        <v>1218</v>
      </c>
      <c r="I116" s="10" t="s">
        <v>161</v>
      </c>
      <c r="J116" s="43"/>
      <c r="K116" s="63"/>
      <c r="L116" s="43"/>
    </row>
    <row r="117" ht="22.5" customHeight="1">
      <c r="A117" s="9">
        <v>115.0</v>
      </c>
      <c r="B117" s="34" t="s">
        <v>1223</v>
      </c>
      <c r="C117" s="34"/>
      <c r="D117" s="33">
        <v>7.439799134E9</v>
      </c>
      <c r="E117" s="34" t="s">
        <v>211</v>
      </c>
      <c r="F117" s="34" t="s">
        <v>66</v>
      </c>
      <c r="G117" s="67" t="s">
        <v>1217</v>
      </c>
      <c r="H117" s="9" t="s">
        <v>1218</v>
      </c>
      <c r="I117" s="10" t="s">
        <v>161</v>
      </c>
      <c r="J117" s="43"/>
      <c r="K117" s="63"/>
      <c r="L117" s="43"/>
    </row>
    <row r="118" ht="22.5" customHeight="1">
      <c r="A118" s="9">
        <v>116.0</v>
      </c>
      <c r="B118" s="34" t="s">
        <v>1224</v>
      </c>
      <c r="C118" s="34"/>
      <c r="D118" s="33">
        <v>9.330053787E9</v>
      </c>
      <c r="E118" s="34" t="s">
        <v>211</v>
      </c>
      <c r="F118" s="34" t="s">
        <v>66</v>
      </c>
      <c r="G118" s="67" t="s">
        <v>1217</v>
      </c>
      <c r="H118" s="9" t="s">
        <v>1218</v>
      </c>
      <c r="I118" s="10" t="s">
        <v>14</v>
      </c>
      <c r="J118" s="43"/>
      <c r="K118" s="63"/>
      <c r="L118" s="43"/>
    </row>
    <row r="119" ht="22.5" customHeight="1">
      <c r="A119" s="9">
        <v>117.0</v>
      </c>
      <c r="B119" s="34" t="s">
        <v>1225</v>
      </c>
      <c r="C119" s="34"/>
      <c r="D119" s="33">
        <v>8.945038075E9</v>
      </c>
      <c r="E119" s="34" t="s">
        <v>211</v>
      </c>
      <c r="F119" s="34" t="s">
        <v>66</v>
      </c>
      <c r="G119" s="67" t="s">
        <v>1217</v>
      </c>
      <c r="H119" s="9" t="s">
        <v>1218</v>
      </c>
      <c r="I119" s="10" t="s">
        <v>14</v>
      </c>
      <c r="J119" s="43"/>
      <c r="K119" s="63"/>
      <c r="L119" s="43"/>
    </row>
    <row r="120" ht="22.5" customHeight="1">
      <c r="A120" s="9">
        <v>118.0</v>
      </c>
      <c r="B120" s="34" t="s">
        <v>1226</v>
      </c>
      <c r="C120" s="34"/>
      <c r="D120" s="33">
        <v>7.031759393E9</v>
      </c>
      <c r="E120" s="34" t="s">
        <v>211</v>
      </c>
      <c r="F120" s="34" t="s">
        <v>66</v>
      </c>
      <c r="G120" s="67" t="s">
        <v>1217</v>
      </c>
      <c r="H120" s="9" t="s">
        <v>1218</v>
      </c>
      <c r="I120" s="10" t="s">
        <v>14</v>
      </c>
      <c r="J120" s="43"/>
      <c r="K120" s="63"/>
      <c r="L120" s="43"/>
    </row>
    <row r="121" ht="22.5" customHeight="1">
      <c r="A121" s="9">
        <v>119.0</v>
      </c>
      <c r="B121" s="34" t="s">
        <v>1227</v>
      </c>
      <c r="C121" s="34"/>
      <c r="D121" s="33">
        <v>8.250793627E9</v>
      </c>
      <c r="E121" s="34" t="s">
        <v>211</v>
      </c>
      <c r="F121" s="34" t="s">
        <v>66</v>
      </c>
      <c r="G121" s="67" t="s">
        <v>1217</v>
      </c>
      <c r="H121" s="9" t="s">
        <v>1218</v>
      </c>
      <c r="I121" s="10" t="s">
        <v>176</v>
      </c>
      <c r="J121" s="43"/>
      <c r="K121" s="63"/>
      <c r="L121" s="43"/>
    </row>
    <row r="122" ht="22.5" customHeight="1">
      <c r="A122" s="9">
        <v>120.0</v>
      </c>
      <c r="B122" s="34" t="s">
        <v>1228</v>
      </c>
      <c r="C122" s="34"/>
      <c r="D122" s="33">
        <v>6.290030731E9</v>
      </c>
      <c r="E122" s="34" t="s">
        <v>211</v>
      </c>
      <c r="F122" s="34" t="s">
        <v>66</v>
      </c>
      <c r="G122" s="67" t="s">
        <v>1217</v>
      </c>
      <c r="H122" s="9" t="s">
        <v>1218</v>
      </c>
      <c r="I122" s="10" t="s">
        <v>14</v>
      </c>
      <c r="J122" s="43"/>
      <c r="K122" s="63"/>
      <c r="L122" s="43"/>
    </row>
    <row r="123" ht="22.5" customHeight="1">
      <c r="A123" s="9">
        <v>121.0</v>
      </c>
      <c r="B123" s="34" t="s">
        <v>1229</v>
      </c>
      <c r="C123" s="34"/>
      <c r="D123" s="33">
        <v>9.417484782E9</v>
      </c>
      <c r="E123" s="34" t="s">
        <v>211</v>
      </c>
      <c r="F123" s="34" t="s">
        <v>66</v>
      </c>
      <c r="G123" s="67" t="s">
        <v>1217</v>
      </c>
      <c r="H123" s="9" t="s">
        <v>1218</v>
      </c>
      <c r="I123" s="10" t="s">
        <v>14</v>
      </c>
      <c r="J123" s="43"/>
      <c r="K123" s="63"/>
      <c r="L123" s="43"/>
    </row>
    <row r="124" ht="22.5" customHeight="1">
      <c r="A124" s="9">
        <v>122.0</v>
      </c>
      <c r="B124" s="34" t="s">
        <v>1230</v>
      </c>
      <c r="C124" s="34"/>
      <c r="D124" s="33">
        <v>8.420218272E9</v>
      </c>
      <c r="E124" s="34" t="s">
        <v>211</v>
      </c>
      <c r="F124" s="34" t="s">
        <v>66</v>
      </c>
      <c r="G124" s="67" t="s">
        <v>1217</v>
      </c>
      <c r="H124" s="9" t="s">
        <v>1218</v>
      </c>
      <c r="I124" s="10" t="s">
        <v>14</v>
      </c>
      <c r="J124" s="43"/>
      <c r="K124" s="63"/>
      <c r="L124" s="43"/>
    </row>
    <row r="125" ht="22.5" customHeight="1">
      <c r="A125" s="9">
        <v>123.0</v>
      </c>
      <c r="B125" s="34" t="s">
        <v>1231</v>
      </c>
      <c r="C125" s="34"/>
      <c r="D125" s="33">
        <v>8.597316054E9</v>
      </c>
      <c r="E125" s="34" t="s">
        <v>211</v>
      </c>
      <c r="F125" s="34" t="s">
        <v>66</v>
      </c>
      <c r="G125" s="67" t="s">
        <v>1217</v>
      </c>
      <c r="H125" s="9" t="s">
        <v>1218</v>
      </c>
      <c r="I125" s="10" t="s">
        <v>14</v>
      </c>
      <c r="J125" s="43"/>
      <c r="K125" s="63"/>
      <c r="L125" s="43"/>
    </row>
    <row r="126" ht="22.5" customHeight="1">
      <c r="A126" s="9">
        <v>124.0</v>
      </c>
      <c r="B126" s="34" t="s">
        <v>1232</v>
      </c>
      <c r="C126" s="34"/>
      <c r="D126" s="33">
        <v>9.830236329E9</v>
      </c>
      <c r="E126" s="34" t="s">
        <v>211</v>
      </c>
      <c r="F126" s="34" t="s">
        <v>66</v>
      </c>
      <c r="G126" s="67" t="s">
        <v>1217</v>
      </c>
      <c r="H126" s="9" t="s">
        <v>1218</v>
      </c>
      <c r="I126" s="10" t="s">
        <v>161</v>
      </c>
      <c r="J126" s="43"/>
      <c r="K126" s="63"/>
      <c r="L126" s="43"/>
    </row>
    <row r="127" ht="22.5" customHeight="1">
      <c r="A127" s="9">
        <v>125.0</v>
      </c>
      <c r="B127" s="34" t="s">
        <v>1233</v>
      </c>
      <c r="C127" s="34"/>
      <c r="D127" s="33">
        <v>8.240198408E9</v>
      </c>
      <c r="E127" s="34" t="s">
        <v>211</v>
      </c>
      <c r="F127" s="34" t="s">
        <v>66</v>
      </c>
      <c r="G127" s="67" t="s">
        <v>1217</v>
      </c>
      <c r="H127" s="9" t="s">
        <v>1218</v>
      </c>
      <c r="I127" s="10" t="s">
        <v>161</v>
      </c>
      <c r="J127" s="43"/>
      <c r="K127" s="63"/>
      <c r="L127" s="43"/>
    </row>
    <row r="128" ht="22.5" customHeight="1">
      <c r="A128" s="9">
        <v>126.0</v>
      </c>
      <c r="B128" s="34" t="s">
        <v>1234</v>
      </c>
      <c r="C128" s="34"/>
      <c r="D128" s="33">
        <v>8.777852796E9</v>
      </c>
      <c r="E128" s="34" t="s">
        <v>211</v>
      </c>
      <c r="F128" s="34" t="s">
        <v>66</v>
      </c>
      <c r="G128" s="67" t="s">
        <v>1217</v>
      </c>
      <c r="H128" s="9" t="s">
        <v>1218</v>
      </c>
      <c r="I128" s="10" t="s">
        <v>14</v>
      </c>
      <c r="J128" s="43"/>
      <c r="K128" s="63"/>
      <c r="L128" s="43"/>
    </row>
    <row r="129" ht="22.5" customHeight="1">
      <c r="A129" s="9">
        <v>127.0</v>
      </c>
      <c r="B129" s="34" t="s">
        <v>1235</v>
      </c>
      <c r="C129" s="34"/>
      <c r="D129" s="33">
        <v>9.903524003E9</v>
      </c>
      <c r="E129" s="34" t="s">
        <v>211</v>
      </c>
      <c r="F129" s="34" t="s">
        <v>66</v>
      </c>
      <c r="G129" s="67" t="s">
        <v>1217</v>
      </c>
      <c r="H129" s="9" t="s">
        <v>1218</v>
      </c>
      <c r="I129" s="10" t="s">
        <v>161</v>
      </c>
      <c r="J129" s="43"/>
      <c r="K129" s="63"/>
      <c r="L129" s="43"/>
    </row>
    <row r="130" ht="22.5" customHeight="1">
      <c r="A130" s="9">
        <v>128.0</v>
      </c>
      <c r="B130" s="34" t="s">
        <v>1236</v>
      </c>
      <c r="C130" s="34"/>
      <c r="D130" s="33">
        <v>6.290372269E9</v>
      </c>
      <c r="E130" s="34" t="s">
        <v>211</v>
      </c>
      <c r="F130" s="34" t="s">
        <v>66</v>
      </c>
      <c r="G130" s="67" t="s">
        <v>1217</v>
      </c>
      <c r="H130" s="9" t="s">
        <v>1218</v>
      </c>
      <c r="I130" s="10" t="s">
        <v>161</v>
      </c>
      <c r="J130" s="43"/>
      <c r="K130" s="63"/>
      <c r="L130" s="43"/>
    </row>
    <row r="131" ht="22.5" customHeight="1">
      <c r="A131" s="9">
        <v>129.0</v>
      </c>
      <c r="B131" s="34" t="s">
        <v>1237</v>
      </c>
      <c r="C131" s="34"/>
      <c r="D131" s="33">
        <v>9.732559379E9</v>
      </c>
      <c r="E131" s="34" t="s">
        <v>211</v>
      </c>
      <c r="F131" s="34" t="s">
        <v>66</v>
      </c>
      <c r="G131" s="67" t="s">
        <v>1217</v>
      </c>
      <c r="H131" s="9" t="s">
        <v>1218</v>
      </c>
      <c r="I131" s="10" t="s">
        <v>161</v>
      </c>
      <c r="J131" s="43"/>
      <c r="K131" s="63"/>
      <c r="L131" s="43"/>
    </row>
    <row r="132" ht="22.5" customHeight="1">
      <c r="A132" s="9">
        <v>130.0</v>
      </c>
      <c r="B132" s="34" t="s">
        <v>1238</v>
      </c>
      <c r="C132" s="34"/>
      <c r="D132" s="33">
        <v>9.263660023E9</v>
      </c>
      <c r="E132" s="34" t="s">
        <v>211</v>
      </c>
      <c r="F132" s="34" t="s">
        <v>66</v>
      </c>
      <c r="G132" s="67" t="s">
        <v>1217</v>
      </c>
      <c r="H132" s="9" t="s">
        <v>1218</v>
      </c>
      <c r="I132" s="10" t="s">
        <v>161</v>
      </c>
      <c r="J132" s="43"/>
      <c r="K132" s="63"/>
      <c r="L132" s="43"/>
    </row>
    <row r="133" ht="22.5" customHeight="1">
      <c r="A133" s="9">
        <v>131.0</v>
      </c>
      <c r="B133" s="34" t="s">
        <v>1239</v>
      </c>
      <c r="C133" s="34"/>
      <c r="D133" s="33">
        <v>9.830272259E9</v>
      </c>
      <c r="E133" s="34" t="s">
        <v>211</v>
      </c>
      <c r="F133" s="34" t="s">
        <v>66</v>
      </c>
      <c r="G133" s="67" t="s">
        <v>1217</v>
      </c>
      <c r="H133" s="9" t="s">
        <v>1218</v>
      </c>
      <c r="I133" s="10" t="s">
        <v>161</v>
      </c>
      <c r="J133" s="43"/>
      <c r="K133" s="63"/>
      <c r="L133" s="43"/>
    </row>
    <row r="134" ht="22.5" customHeight="1">
      <c r="A134" s="9">
        <v>132.0</v>
      </c>
      <c r="B134" s="34" t="s">
        <v>1240</v>
      </c>
      <c r="C134" s="34"/>
      <c r="D134" s="33">
        <v>9.331341813E9</v>
      </c>
      <c r="E134" s="34" t="s">
        <v>211</v>
      </c>
      <c r="F134" s="34" t="s">
        <v>66</v>
      </c>
      <c r="G134" s="67" t="s">
        <v>1217</v>
      </c>
      <c r="H134" s="9" t="s">
        <v>1218</v>
      </c>
      <c r="I134" s="10" t="s">
        <v>14</v>
      </c>
      <c r="J134" s="43"/>
      <c r="K134" s="63"/>
      <c r="L134" s="43"/>
    </row>
    <row r="135" ht="22.5" customHeight="1">
      <c r="A135" s="9">
        <v>133.0</v>
      </c>
      <c r="B135" s="34" t="s">
        <v>1241</v>
      </c>
      <c r="C135" s="34"/>
      <c r="D135" s="33">
        <v>9.433011523E9</v>
      </c>
      <c r="E135" s="34" t="s">
        <v>211</v>
      </c>
      <c r="F135" s="34" t="s">
        <v>66</v>
      </c>
      <c r="G135" s="67" t="s">
        <v>1217</v>
      </c>
      <c r="H135" s="9" t="s">
        <v>1218</v>
      </c>
      <c r="I135" s="10" t="s">
        <v>14</v>
      </c>
      <c r="J135" s="43"/>
      <c r="K135" s="63"/>
      <c r="L135" s="43"/>
    </row>
    <row r="136" ht="22.5" customHeight="1">
      <c r="A136" s="9">
        <v>134.0</v>
      </c>
      <c r="B136" s="34" t="s">
        <v>1242</v>
      </c>
      <c r="C136" s="34"/>
      <c r="D136" s="33">
        <v>8.777798638E9</v>
      </c>
      <c r="E136" s="34" t="s">
        <v>211</v>
      </c>
      <c r="F136" s="34" t="s">
        <v>66</v>
      </c>
      <c r="G136" s="67" t="s">
        <v>1217</v>
      </c>
      <c r="H136" s="9" t="s">
        <v>1218</v>
      </c>
      <c r="I136" s="10" t="s">
        <v>14</v>
      </c>
      <c r="J136" s="43"/>
      <c r="K136" s="63"/>
      <c r="L136" s="43"/>
    </row>
    <row r="137" ht="22.5" customHeight="1">
      <c r="A137" s="9">
        <v>135.0</v>
      </c>
      <c r="B137" s="34" t="s">
        <v>1243</v>
      </c>
      <c r="C137" s="34"/>
      <c r="D137" s="33">
        <v>8.478063658E9</v>
      </c>
      <c r="E137" s="34" t="s">
        <v>211</v>
      </c>
      <c r="F137" s="34" t="s">
        <v>66</v>
      </c>
      <c r="G137" s="67" t="s">
        <v>1217</v>
      </c>
      <c r="H137" s="9" t="s">
        <v>1218</v>
      </c>
      <c r="I137" s="10" t="s">
        <v>14</v>
      </c>
      <c r="J137" s="43"/>
      <c r="K137" s="63"/>
      <c r="L137" s="43"/>
    </row>
    <row r="138" ht="22.5" customHeight="1">
      <c r="A138" s="9">
        <v>136.0</v>
      </c>
      <c r="B138" s="34" t="s">
        <v>1244</v>
      </c>
      <c r="C138" s="34"/>
      <c r="D138" s="33">
        <v>7.864953557E9</v>
      </c>
      <c r="E138" s="34" t="s">
        <v>211</v>
      </c>
      <c r="F138" s="34" t="s">
        <v>66</v>
      </c>
      <c r="G138" s="67" t="s">
        <v>1217</v>
      </c>
      <c r="H138" s="9" t="s">
        <v>1218</v>
      </c>
      <c r="I138" s="10" t="s">
        <v>14</v>
      </c>
      <c r="J138" s="43"/>
      <c r="K138" s="63"/>
      <c r="L138" s="43"/>
    </row>
    <row r="139" ht="22.5" customHeight="1">
      <c r="A139" s="9">
        <v>137.0</v>
      </c>
      <c r="B139" s="34" t="s">
        <v>1245</v>
      </c>
      <c r="C139" s="34"/>
      <c r="D139" s="33">
        <v>9.43470134E9</v>
      </c>
      <c r="E139" s="34" t="s">
        <v>211</v>
      </c>
      <c r="F139" s="34" t="s">
        <v>66</v>
      </c>
      <c r="G139" s="67" t="s">
        <v>1217</v>
      </c>
      <c r="H139" s="9" t="s">
        <v>1218</v>
      </c>
      <c r="I139" s="10" t="s">
        <v>14</v>
      </c>
      <c r="J139" s="43"/>
      <c r="K139" s="63"/>
      <c r="L139" s="43"/>
    </row>
    <row r="140" ht="22.5" customHeight="1">
      <c r="A140" s="9">
        <v>138.0</v>
      </c>
      <c r="B140" s="34" t="s">
        <v>1246</v>
      </c>
      <c r="C140" s="34"/>
      <c r="D140" s="33">
        <v>9.007000252E9</v>
      </c>
      <c r="E140" s="34" t="s">
        <v>211</v>
      </c>
      <c r="F140" s="34" t="s">
        <v>66</v>
      </c>
      <c r="G140" s="67" t="s">
        <v>1217</v>
      </c>
      <c r="H140" s="9" t="s">
        <v>1218</v>
      </c>
      <c r="I140" s="10" t="s">
        <v>14</v>
      </c>
      <c r="J140" s="43"/>
      <c r="K140" s="63"/>
      <c r="L140" s="43"/>
    </row>
    <row r="141" ht="22.5" customHeight="1">
      <c r="A141" s="9">
        <v>139.0</v>
      </c>
      <c r="B141" s="34" t="s">
        <v>1247</v>
      </c>
      <c r="C141" s="34"/>
      <c r="D141" s="33">
        <v>7.003448598E9</v>
      </c>
      <c r="E141" s="34" t="s">
        <v>211</v>
      </c>
      <c r="F141" s="34" t="s">
        <v>66</v>
      </c>
      <c r="G141" s="67" t="s">
        <v>1217</v>
      </c>
      <c r="H141" s="9" t="s">
        <v>1218</v>
      </c>
      <c r="I141" s="10" t="s">
        <v>14</v>
      </c>
      <c r="J141" s="43"/>
      <c r="K141" s="63"/>
      <c r="L141" s="43"/>
    </row>
    <row r="142" ht="22.5" customHeight="1">
      <c r="A142" s="9">
        <v>140.0</v>
      </c>
      <c r="B142" s="34" t="s">
        <v>1248</v>
      </c>
      <c r="C142" s="34"/>
      <c r="D142" s="33">
        <v>9.883332891E9</v>
      </c>
      <c r="E142" s="34" t="s">
        <v>211</v>
      </c>
      <c r="F142" s="34" t="s">
        <v>66</v>
      </c>
      <c r="G142" s="67" t="s">
        <v>1217</v>
      </c>
      <c r="H142" s="9" t="s">
        <v>1218</v>
      </c>
      <c r="I142" s="10" t="s">
        <v>14</v>
      </c>
      <c r="J142" s="43"/>
      <c r="K142" s="63"/>
      <c r="L142" s="43"/>
    </row>
    <row r="143" ht="22.5" customHeight="1">
      <c r="A143" s="9">
        <v>141.0</v>
      </c>
      <c r="B143" s="34" t="s">
        <v>1249</v>
      </c>
      <c r="C143" s="34"/>
      <c r="D143" s="33">
        <v>7.439968022E9</v>
      </c>
      <c r="E143" s="34" t="s">
        <v>211</v>
      </c>
      <c r="F143" s="34" t="s">
        <v>66</v>
      </c>
      <c r="G143" s="67" t="s">
        <v>1217</v>
      </c>
      <c r="H143" s="9" t="s">
        <v>1218</v>
      </c>
      <c r="I143" s="10" t="s">
        <v>14</v>
      </c>
      <c r="J143" s="43"/>
      <c r="K143" s="63"/>
      <c r="L143" s="43"/>
    </row>
    <row r="144" ht="22.5" customHeight="1">
      <c r="A144" s="9">
        <v>142.0</v>
      </c>
      <c r="B144" s="34" t="s">
        <v>1250</v>
      </c>
      <c r="C144" s="34"/>
      <c r="D144" s="33">
        <v>9.836232811E9</v>
      </c>
      <c r="E144" s="34" t="s">
        <v>211</v>
      </c>
      <c r="F144" s="34" t="s">
        <v>66</v>
      </c>
      <c r="G144" s="67" t="s">
        <v>1217</v>
      </c>
      <c r="H144" s="9" t="s">
        <v>1218</v>
      </c>
      <c r="I144" s="10" t="s">
        <v>176</v>
      </c>
      <c r="J144" s="43"/>
      <c r="K144" s="63"/>
      <c r="L144" s="43"/>
    </row>
    <row r="145" ht="22.5" customHeight="1">
      <c r="A145" s="9">
        <v>143.0</v>
      </c>
      <c r="B145" s="34" t="s">
        <v>1251</v>
      </c>
      <c r="C145" s="34"/>
      <c r="D145" s="33">
        <v>8.250812648E9</v>
      </c>
      <c r="E145" s="34" t="s">
        <v>211</v>
      </c>
      <c r="F145" s="34" t="s">
        <v>66</v>
      </c>
      <c r="G145" s="67" t="s">
        <v>1217</v>
      </c>
      <c r="H145" s="9" t="s">
        <v>1218</v>
      </c>
      <c r="I145" s="10" t="s">
        <v>14</v>
      </c>
      <c r="J145" s="43"/>
      <c r="K145" s="63"/>
      <c r="L145" s="43"/>
    </row>
    <row r="146" ht="22.5" customHeight="1">
      <c r="A146" s="9">
        <v>144.0</v>
      </c>
      <c r="B146" s="34" t="s">
        <v>1252</v>
      </c>
      <c r="C146" s="34"/>
      <c r="D146" s="33">
        <v>9.800350968E9</v>
      </c>
      <c r="E146" s="34" t="s">
        <v>211</v>
      </c>
      <c r="F146" s="34" t="s">
        <v>66</v>
      </c>
      <c r="G146" s="67" t="s">
        <v>1217</v>
      </c>
      <c r="H146" s="9" t="s">
        <v>1218</v>
      </c>
      <c r="I146" s="10" t="s">
        <v>14</v>
      </c>
      <c r="J146" s="43"/>
      <c r="K146" s="63"/>
      <c r="L146" s="43"/>
    </row>
    <row r="147" ht="22.5" customHeight="1">
      <c r="A147" s="9">
        <v>145.0</v>
      </c>
      <c r="B147" s="34" t="s">
        <v>1253</v>
      </c>
      <c r="C147" s="34"/>
      <c r="D147" s="33">
        <v>9.832711255E9</v>
      </c>
      <c r="E147" s="34" t="s">
        <v>211</v>
      </c>
      <c r="F147" s="34" t="s">
        <v>66</v>
      </c>
      <c r="G147" s="67" t="s">
        <v>1217</v>
      </c>
      <c r="H147" s="9" t="s">
        <v>1218</v>
      </c>
      <c r="I147" s="10" t="s">
        <v>161</v>
      </c>
      <c r="J147" s="43"/>
      <c r="K147" s="63"/>
      <c r="L147" s="43"/>
    </row>
    <row r="148" ht="22.5" customHeight="1">
      <c r="A148" s="9">
        <v>146.0</v>
      </c>
      <c r="B148" s="34" t="s">
        <v>1254</v>
      </c>
      <c r="C148" s="34"/>
      <c r="D148" s="33">
        <v>9.474160104E9</v>
      </c>
      <c r="E148" s="34" t="s">
        <v>211</v>
      </c>
      <c r="F148" s="34" t="s">
        <v>66</v>
      </c>
      <c r="G148" s="67" t="s">
        <v>1217</v>
      </c>
      <c r="H148" s="9" t="s">
        <v>1218</v>
      </c>
      <c r="I148" s="10" t="s">
        <v>161</v>
      </c>
      <c r="J148" s="43"/>
      <c r="K148" s="63"/>
      <c r="L148" s="43"/>
    </row>
    <row r="149" ht="22.5" customHeight="1">
      <c r="A149" s="9">
        <v>147.0</v>
      </c>
      <c r="B149" s="34" t="s">
        <v>1255</v>
      </c>
      <c r="C149" s="34"/>
      <c r="D149" s="33">
        <v>9.547793295E9</v>
      </c>
      <c r="E149" s="34" t="s">
        <v>211</v>
      </c>
      <c r="F149" s="34" t="s">
        <v>66</v>
      </c>
      <c r="G149" s="67" t="s">
        <v>1217</v>
      </c>
      <c r="H149" s="9" t="s">
        <v>1218</v>
      </c>
      <c r="I149" s="10" t="s">
        <v>14</v>
      </c>
      <c r="J149" s="43"/>
      <c r="K149" s="63"/>
      <c r="L149" s="43"/>
    </row>
    <row r="150" ht="22.5" customHeight="1">
      <c r="A150" s="9">
        <v>148.0</v>
      </c>
      <c r="B150" s="34" t="s">
        <v>1256</v>
      </c>
      <c r="C150" s="34"/>
      <c r="D150" s="33">
        <v>7.07995112E9</v>
      </c>
      <c r="E150" s="34" t="s">
        <v>211</v>
      </c>
      <c r="F150" s="34" t="s">
        <v>66</v>
      </c>
      <c r="G150" s="67" t="s">
        <v>1217</v>
      </c>
      <c r="H150" s="9" t="s">
        <v>1218</v>
      </c>
      <c r="I150" s="10" t="s">
        <v>14</v>
      </c>
      <c r="J150" s="43"/>
      <c r="K150" s="63"/>
      <c r="L150" s="43"/>
    </row>
    <row r="151" ht="22.5" customHeight="1">
      <c r="A151" s="9">
        <v>149.0</v>
      </c>
      <c r="B151" s="34" t="s">
        <v>1257</v>
      </c>
      <c r="C151" s="34"/>
      <c r="D151" s="33">
        <v>8.513006536E9</v>
      </c>
      <c r="E151" s="34" t="s">
        <v>211</v>
      </c>
      <c r="F151" s="34" t="s">
        <v>66</v>
      </c>
      <c r="G151" s="67" t="s">
        <v>1217</v>
      </c>
      <c r="H151" s="9" t="s">
        <v>1218</v>
      </c>
      <c r="I151" s="10" t="s">
        <v>14</v>
      </c>
      <c r="J151" s="43"/>
      <c r="K151" s="63"/>
      <c r="L151" s="43"/>
    </row>
    <row r="152" ht="22.5" customHeight="1">
      <c r="A152" s="9">
        <v>150.0</v>
      </c>
      <c r="B152" s="34" t="s">
        <v>1258</v>
      </c>
      <c r="C152" s="34"/>
      <c r="D152" s="33">
        <v>9.153156299E9</v>
      </c>
      <c r="E152" s="34" t="s">
        <v>211</v>
      </c>
      <c r="F152" s="34" t="s">
        <v>66</v>
      </c>
      <c r="G152" s="67" t="s">
        <v>1217</v>
      </c>
      <c r="H152" s="9" t="s">
        <v>1218</v>
      </c>
      <c r="I152" s="10" t="s">
        <v>14</v>
      </c>
      <c r="J152" s="43"/>
      <c r="K152" s="63"/>
      <c r="L152" s="43"/>
    </row>
    <row r="153" ht="22.5" customHeight="1">
      <c r="A153" s="9">
        <v>151.0</v>
      </c>
      <c r="B153" s="34" t="s">
        <v>1259</v>
      </c>
      <c r="C153" s="34"/>
      <c r="D153" s="33">
        <v>9.679820858E9</v>
      </c>
      <c r="E153" s="34" t="s">
        <v>211</v>
      </c>
      <c r="F153" s="34" t="s">
        <v>66</v>
      </c>
      <c r="G153" s="67" t="s">
        <v>1217</v>
      </c>
      <c r="H153" s="9" t="s">
        <v>1218</v>
      </c>
      <c r="I153" s="10" t="s">
        <v>161</v>
      </c>
      <c r="J153" s="43"/>
      <c r="K153" s="63"/>
      <c r="L153" s="43"/>
    </row>
    <row r="154" ht="22.5" customHeight="1">
      <c r="A154" s="9">
        <v>152.0</v>
      </c>
      <c r="B154" s="34" t="s">
        <v>1260</v>
      </c>
      <c r="C154" s="34"/>
      <c r="D154" s="33">
        <v>7.407126494E9</v>
      </c>
      <c r="E154" s="34" t="s">
        <v>211</v>
      </c>
      <c r="F154" s="34" t="s">
        <v>66</v>
      </c>
      <c r="G154" s="67" t="s">
        <v>1217</v>
      </c>
      <c r="H154" s="9" t="s">
        <v>1218</v>
      </c>
      <c r="I154" s="10" t="s">
        <v>161</v>
      </c>
      <c r="J154" s="43"/>
      <c r="K154" s="63"/>
      <c r="L154" s="43"/>
    </row>
    <row r="155" ht="22.5" customHeight="1">
      <c r="A155" s="9">
        <v>153.0</v>
      </c>
      <c r="B155" s="34" t="s">
        <v>1261</v>
      </c>
      <c r="C155" s="34"/>
      <c r="D155" s="33">
        <v>7.044446748E9</v>
      </c>
      <c r="E155" s="34" t="s">
        <v>211</v>
      </c>
      <c r="F155" s="34" t="s">
        <v>66</v>
      </c>
      <c r="G155" s="67" t="s">
        <v>1217</v>
      </c>
      <c r="H155" s="9" t="s">
        <v>1218</v>
      </c>
      <c r="I155" s="10" t="s">
        <v>161</v>
      </c>
      <c r="J155" s="43"/>
      <c r="K155" s="63"/>
      <c r="L155" s="43"/>
    </row>
    <row r="156" ht="22.5" customHeight="1">
      <c r="A156" s="9">
        <v>154.0</v>
      </c>
      <c r="B156" s="34" t="s">
        <v>1262</v>
      </c>
      <c r="C156" s="34"/>
      <c r="D156" s="33">
        <v>7.718426527E9</v>
      </c>
      <c r="E156" s="34" t="s">
        <v>211</v>
      </c>
      <c r="F156" s="34" t="s">
        <v>66</v>
      </c>
      <c r="G156" s="67" t="s">
        <v>1217</v>
      </c>
      <c r="H156" s="9" t="s">
        <v>1218</v>
      </c>
      <c r="I156" s="10" t="s">
        <v>161</v>
      </c>
      <c r="J156" s="43"/>
      <c r="K156" s="63"/>
      <c r="L156" s="43"/>
    </row>
    <row r="157" ht="22.5" customHeight="1">
      <c r="A157" s="9">
        <v>155.0</v>
      </c>
      <c r="B157" s="34" t="s">
        <v>1263</v>
      </c>
      <c r="C157" s="34"/>
      <c r="D157" s="33">
        <v>7.98034144E9</v>
      </c>
      <c r="E157" s="34" t="s">
        <v>211</v>
      </c>
      <c r="F157" s="34" t="s">
        <v>66</v>
      </c>
      <c r="G157" s="67" t="s">
        <v>1217</v>
      </c>
      <c r="H157" s="9" t="s">
        <v>1218</v>
      </c>
      <c r="I157" s="10" t="s">
        <v>161</v>
      </c>
      <c r="J157" s="43"/>
      <c r="K157" s="63"/>
      <c r="L157" s="43"/>
    </row>
    <row r="158" ht="22.5" customHeight="1">
      <c r="A158" s="9">
        <v>156.0</v>
      </c>
      <c r="B158" s="34" t="s">
        <v>1264</v>
      </c>
      <c r="C158" s="34"/>
      <c r="D158" s="33">
        <v>9.732584832E9</v>
      </c>
      <c r="E158" s="34" t="s">
        <v>211</v>
      </c>
      <c r="F158" s="34" t="s">
        <v>66</v>
      </c>
      <c r="G158" s="67" t="s">
        <v>1217</v>
      </c>
      <c r="H158" s="9" t="s">
        <v>1218</v>
      </c>
      <c r="I158" s="10" t="s">
        <v>161</v>
      </c>
      <c r="J158" s="43"/>
      <c r="K158" s="63"/>
      <c r="L158" s="43"/>
    </row>
    <row r="159" ht="22.5" customHeight="1">
      <c r="A159" s="9">
        <v>157.0</v>
      </c>
      <c r="B159" s="34" t="s">
        <v>1265</v>
      </c>
      <c r="C159" s="34"/>
      <c r="D159" s="33">
        <v>8.967436227E9</v>
      </c>
      <c r="E159" s="34" t="s">
        <v>211</v>
      </c>
      <c r="F159" s="34" t="s">
        <v>66</v>
      </c>
      <c r="G159" s="67" t="s">
        <v>1217</v>
      </c>
      <c r="H159" s="9" t="s">
        <v>1218</v>
      </c>
      <c r="I159" s="10" t="s">
        <v>14</v>
      </c>
      <c r="J159" s="43"/>
      <c r="K159" s="63"/>
      <c r="L159" s="43"/>
    </row>
    <row r="160" ht="22.5" customHeight="1">
      <c r="A160" s="9">
        <v>158.0</v>
      </c>
      <c r="B160" s="34" t="s">
        <v>1266</v>
      </c>
      <c r="C160" s="34"/>
      <c r="D160" s="33">
        <v>8.777091351E9</v>
      </c>
      <c r="E160" s="34" t="s">
        <v>211</v>
      </c>
      <c r="F160" s="34" t="s">
        <v>66</v>
      </c>
      <c r="G160" s="67" t="s">
        <v>1217</v>
      </c>
      <c r="H160" s="9" t="s">
        <v>1218</v>
      </c>
      <c r="I160" s="10" t="s">
        <v>14</v>
      </c>
      <c r="J160" s="43"/>
      <c r="K160" s="63"/>
      <c r="L160" s="43"/>
    </row>
    <row r="161" ht="22.5" customHeight="1">
      <c r="A161" s="9">
        <v>159.0</v>
      </c>
      <c r="B161" s="34" t="s">
        <v>1267</v>
      </c>
      <c r="C161" s="34"/>
      <c r="D161" s="33">
        <v>9.609004276E9</v>
      </c>
      <c r="E161" s="34" t="s">
        <v>211</v>
      </c>
      <c r="F161" s="34" t="s">
        <v>66</v>
      </c>
      <c r="G161" s="67" t="s">
        <v>1217</v>
      </c>
      <c r="H161" s="9" t="s">
        <v>1218</v>
      </c>
      <c r="I161" s="10" t="s">
        <v>14</v>
      </c>
      <c r="J161" s="43"/>
      <c r="K161" s="63"/>
      <c r="L161" s="43"/>
    </row>
    <row r="162" ht="22.5" customHeight="1">
      <c r="A162" s="9">
        <v>160.0</v>
      </c>
      <c r="B162" s="34" t="s">
        <v>1268</v>
      </c>
      <c r="C162" s="34"/>
      <c r="D162" s="33">
        <v>7.044504998E9</v>
      </c>
      <c r="E162" s="34" t="s">
        <v>211</v>
      </c>
      <c r="F162" s="34" t="s">
        <v>66</v>
      </c>
      <c r="G162" s="67" t="s">
        <v>1217</v>
      </c>
      <c r="H162" s="9" t="s">
        <v>1218</v>
      </c>
      <c r="I162" s="10" t="s">
        <v>161</v>
      </c>
      <c r="J162" s="43"/>
      <c r="K162" s="63"/>
      <c r="L162" s="43"/>
    </row>
    <row r="163" ht="22.5" customHeight="1">
      <c r="A163" s="9">
        <v>161.0</v>
      </c>
      <c r="B163" s="34" t="s">
        <v>1269</v>
      </c>
      <c r="C163" s="34"/>
      <c r="D163" s="33">
        <v>8.296171094E9</v>
      </c>
      <c r="E163" s="34" t="s">
        <v>211</v>
      </c>
      <c r="F163" s="34" t="s">
        <v>66</v>
      </c>
      <c r="G163" s="67" t="s">
        <v>1217</v>
      </c>
      <c r="H163" s="9" t="s">
        <v>1218</v>
      </c>
      <c r="I163" s="10" t="s">
        <v>161</v>
      </c>
      <c r="J163" s="43"/>
      <c r="K163" s="63"/>
      <c r="L163" s="43"/>
    </row>
    <row r="164" ht="22.5" customHeight="1">
      <c r="A164" s="9">
        <v>162.0</v>
      </c>
      <c r="B164" s="34" t="s">
        <v>1270</v>
      </c>
      <c r="C164" s="34"/>
      <c r="D164" s="33">
        <v>9.563658566E9</v>
      </c>
      <c r="E164" s="34" t="s">
        <v>211</v>
      </c>
      <c r="F164" s="34" t="s">
        <v>66</v>
      </c>
      <c r="G164" s="67" t="s">
        <v>1217</v>
      </c>
      <c r="H164" s="9" t="s">
        <v>1218</v>
      </c>
      <c r="I164" s="10" t="s">
        <v>14</v>
      </c>
      <c r="J164" s="43"/>
      <c r="K164" s="63"/>
      <c r="L164" s="43"/>
    </row>
    <row r="165" ht="22.5" customHeight="1">
      <c r="A165" s="9">
        <v>163.0</v>
      </c>
      <c r="B165" s="34" t="s">
        <v>1271</v>
      </c>
      <c r="C165" s="34"/>
      <c r="D165" s="33">
        <v>9.874519506E9</v>
      </c>
      <c r="E165" s="34" t="s">
        <v>211</v>
      </c>
      <c r="F165" s="34" t="s">
        <v>66</v>
      </c>
      <c r="G165" s="67" t="s">
        <v>1217</v>
      </c>
      <c r="H165" s="9" t="s">
        <v>1218</v>
      </c>
      <c r="I165" s="10" t="s">
        <v>14</v>
      </c>
      <c r="J165" s="43"/>
      <c r="K165" s="63"/>
      <c r="L165" s="43"/>
    </row>
    <row r="166" ht="22.5" customHeight="1">
      <c r="A166" s="9">
        <v>164.0</v>
      </c>
      <c r="B166" s="34" t="s">
        <v>1272</v>
      </c>
      <c r="C166" s="34"/>
      <c r="D166" s="33">
        <v>6.291059654E9</v>
      </c>
      <c r="E166" s="34" t="s">
        <v>211</v>
      </c>
      <c r="F166" s="34" t="s">
        <v>66</v>
      </c>
      <c r="G166" s="67" t="s">
        <v>1217</v>
      </c>
      <c r="H166" s="9" t="s">
        <v>1218</v>
      </c>
      <c r="I166" s="10" t="s">
        <v>176</v>
      </c>
      <c r="J166" s="43"/>
      <c r="K166" s="63"/>
      <c r="L166" s="43"/>
    </row>
    <row r="167" ht="22.5" customHeight="1">
      <c r="A167" s="9">
        <v>165.0</v>
      </c>
      <c r="B167" s="34" t="s">
        <v>1273</v>
      </c>
      <c r="C167" s="34"/>
      <c r="D167" s="33">
        <v>9.474314582E9</v>
      </c>
      <c r="E167" s="34" t="s">
        <v>211</v>
      </c>
      <c r="F167" s="34" t="s">
        <v>66</v>
      </c>
      <c r="G167" s="67" t="s">
        <v>1217</v>
      </c>
      <c r="H167" s="9" t="s">
        <v>1218</v>
      </c>
      <c r="I167" s="10" t="s">
        <v>161</v>
      </c>
      <c r="J167" s="43"/>
      <c r="K167" s="63"/>
      <c r="L167" s="43"/>
    </row>
    <row r="168" ht="22.5" customHeight="1">
      <c r="A168" s="9">
        <v>166.0</v>
      </c>
      <c r="B168" s="34" t="s">
        <v>1274</v>
      </c>
      <c r="C168" s="34"/>
      <c r="D168" s="33">
        <v>7.029909527E9</v>
      </c>
      <c r="E168" s="34" t="s">
        <v>211</v>
      </c>
      <c r="F168" s="34" t="s">
        <v>66</v>
      </c>
      <c r="G168" s="67" t="s">
        <v>1217</v>
      </c>
      <c r="H168" s="9" t="s">
        <v>1218</v>
      </c>
      <c r="I168" s="10" t="s">
        <v>161</v>
      </c>
      <c r="J168" s="43"/>
      <c r="K168" s="63"/>
      <c r="L168" s="43"/>
    </row>
    <row r="169" ht="22.5" customHeight="1">
      <c r="A169" s="9">
        <v>167.0</v>
      </c>
      <c r="B169" s="34" t="s">
        <v>1275</v>
      </c>
      <c r="C169" s="34"/>
      <c r="D169" s="33">
        <v>9.875482895E9</v>
      </c>
      <c r="E169" s="34" t="s">
        <v>211</v>
      </c>
      <c r="F169" s="34" t="s">
        <v>66</v>
      </c>
      <c r="G169" s="67" t="s">
        <v>1217</v>
      </c>
      <c r="H169" s="9" t="s">
        <v>1218</v>
      </c>
      <c r="I169" s="10" t="s">
        <v>161</v>
      </c>
      <c r="J169" s="43"/>
      <c r="K169" s="63"/>
      <c r="L169" s="43"/>
    </row>
    <row r="170" ht="22.5" customHeight="1">
      <c r="A170" s="9">
        <v>168.0</v>
      </c>
      <c r="B170" s="34" t="s">
        <v>1276</v>
      </c>
      <c r="C170" s="34"/>
      <c r="D170" s="33">
        <v>9.733996696E9</v>
      </c>
      <c r="E170" s="34" t="s">
        <v>211</v>
      </c>
      <c r="F170" s="34" t="s">
        <v>66</v>
      </c>
      <c r="G170" s="67" t="s">
        <v>1217</v>
      </c>
      <c r="H170" s="9" t="s">
        <v>1218</v>
      </c>
      <c r="I170" s="10" t="s">
        <v>14</v>
      </c>
      <c r="J170" s="43"/>
      <c r="K170" s="63"/>
      <c r="L170" s="43"/>
    </row>
    <row r="171" ht="22.5" customHeight="1">
      <c r="A171" s="9">
        <v>169.0</v>
      </c>
      <c r="B171" s="34" t="s">
        <v>1277</v>
      </c>
      <c r="C171" s="34"/>
      <c r="D171" s="33">
        <v>8.240119402E9</v>
      </c>
      <c r="E171" s="34" t="s">
        <v>211</v>
      </c>
      <c r="F171" s="34" t="s">
        <v>66</v>
      </c>
      <c r="G171" s="67" t="s">
        <v>1217</v>
      </c>
      <c r="H171" s="9" t="s">
        <v>1218</v>
      </c>
      <c r="I171" s="10" t="s">
        <v>14</v>
      </c>
      <c r="J171" s="43"/>
      <c r="K171" s="63"/>
      <c r="L171" s="43"/>
    </row>
    <row r="172" ht="22.5" customHeight="1">
      <c r="A172" s="9">
        <v>170.0</v>
      </c>
      <c r="B172" s="34" t="s">
        <v>1278</v>
      </c>
      <c r="C172" s="34"/>
      <c r="D172" s="33">
        <v>7.278676275E9</v>
      </c>
      <c r="E172" s="34" t="s">
        <v>211</v>
      </c>
      <c r="F172" s="34" t="s">
        <v>66</v>
      </c>
      <c r="G172" s="67" t="s">
        <v>1217</v>
      </c>
      <c r="H172" s="9" t="s">
        <v>1218</v>
      </c>
      <c r="I172" s="10" t="s">
        <v>161</v>
      </c>
      <c r="J172" s="43"/>
      <c r="K172" s="63"/>
      <c r="L172" s="43"/>
    </row>
    <row r="173" ht="22.5" customHeight="1">
      <c r="A173" s="9">
        <v>171.0</v>
      </c>
      <c r="B173" s="34" t="s">
        <v>1279</v>
      </c>
      <c r="C173" s="34"/>
      <c r="D173" s="33">
        <v>9.547419532E9</v>
      </c>
      <c r="E173" s="34" t="s">
        <v>211</v>
      </c>
      <c r="F173" s="34" t="s">
        <v>66</v>
      </c>
      <c r="G173" s="67" t="s">
        <v>1217</v>
      </c>
      <c r="H173" s="9" t="s">
        <v>1218</v>
      </c>
      <c r="I173" s="10" t="s">
        <v>161</v>
      </c>
      <c r="J173" s="43"/>
      <c r="K173" s="63"/>
      <c r="L173" s="43"/>
    </row>
    <row r="174" ht="22.5" customHeight="1">
      <c r="A174" s="9">
        <v>172.0</v>
      </c>
      <c r="B174" s="34" t="s">
        <v>1280</v>
      </c>
      <c r="C174" s="34"/>
      <c r="D174" s="33">
        <v>8.158819771E9</v>
      </c>
      <c r="E174" s="34" t="s">
        <v>211</v>
      </c>
      <c r="F174" s="34" t="s">
        <v>66</v>
      </c>
      <c r="G174" s="67" t="s">
        <v>1217</v>
      </c>
      <c r="H174" s="9" t="s">
        <v>1218</v>
      </c>
      <c r="I174" s="10" t="s">
        <v>176</v>
      </c>
      <c r="J174" s="43"/>
      <c r="K174" s="63"/>
      <c r="L174" s="43"/>
    </row>
    <row r="175" ht="22.5" customHeight="1">
      <c r="A175" s="9">
        <v>173.0</v>
      </c>
      <c r="B175" s="34" t="s">
        <v>1281</v>
      </c>
      <c r="C175" s="34"/>
      <c r="D175" s="33">
        <v>8.92784006E9</v>
      </c>
      <c r="E175" s="34" t="s">
        <v>211</v>
      </c>
      <c r="F175" s="34" t="s">
        <v>66</v>
      </c>
      <c r="G175" s="67" t="s">
        <v>1217</v>
      </c>
      <c r="H175" s="9" t="s">
        <v>1218</v>
      </c>
      <c r="I175" s="10" t="s">
        <v>161</v>
      </c>
      <c r="J175" s="43"/>
      <c r="K175" s="63"/>
      <c r="L175" s="43"/>
    </row>
    <row r="176" ht="22.5" customHeight="1">
      <c r="A176" s="9">
        <v>174.0</v>
      </c>
      <c r="B176" s="34" t="s">
        <v>1282</v>
      </c>
      <c r="C176" s="34"/>
      <c r="D176" s="33">
        <v>7.439127088E9</v>
      </c>
      <c r="E176" s="34" t="s">
        <v>211</v>
      </c>
      <c r="F176" s="34" t="s">
        <v>66</v>
      </c>
      <c r="G176" s="67" t="s">
        <v>1217</v>
      </c>
      <c r="H176" s="9" t="s">
        <v>1218</v>
      </c>
      <c r="I176" s="10" t="s">
        <v>176</v>
      </c>
      <c r="J176" s="43"/>
      <c r="K176" s="63"/>
      <c r="L176" s="43"/>
    </row>
    <row r="177" ht="22.5" customHeight="1">
      <c r="A177" s="9">
        <v>175.0</v>
      </c>
      <c r="B177" s="34" t="s">
        <v>1283</v>
      </c>
      <c r="C177" s="34"/>
      <c r="D177" s="33">
        <v>7.980473796E9</v>
      </c>
      <c r="E177" s="34" t="s">
        <v>211</v>
      </c>
      <c r="F177" s="34" t="s">
        <v>66</v>
      </c>
      <c r="G177" s="67" t="s">
        <v>1217</v>
      </c>
      <c r="H177" s="9" t="s">
        <v>1218</v>
      </c>
      <c r="I177" s="10" t="s">
        <v>176</v>
      </c>
      <c r="J177" s="43"/>
      <c r="K177" s="63"/>
      <c r="L177" s="43"/>
    </row>
    <row r="178" ht="22.5" customHeight="1">
      <c r="A178" s="9">
        <v>176.0</v>
      </c>
      <c r="B178" s="34" t="s">
        <v>1284</v>
      </c>
      <c r="C178" s="34"/>
      <c r="D178" s="33">
        <v>9.830508998E9</v>
      </c>
      <c r="E178" s="34" t="s">
        <v>211</v>
      </c>
      <c r="F178" s="34" t="s">
        <v>66</v>
      </c>
      <c r="G178" s="67" t="s">
        <v>1217</v>
      </c>
      <c r="H178" s="9" t="s">
        <v>1218</v>
      </c>
      <c r="I178" s="10" t="s">
        <v>176</v>
      </c>
      <c r="J178" s="43"/>
      <c r="K178" s="63"/>
      <c r="L178" s="43"/>
    </row>
    <row r="179" ht="22.5" customHeight="1">
      <c r="A179" s="9">
        <v>177.0</v>
      </c>
      <c r="B179" s="34" t="s">
        <v>1285</v>
      </c>
      <c r="C179" s="34"/>
      <c r="D179" s="33">
        <v>9.073211315E9</v>
      </c>
      <c r="E179" s="34" t="s">
        <v>211</v>
      </c>
      <c r="F179" s="34" t="s">
        <v>66</v>
      </c>
      <c r="G179" s="67" t="s">
        <v>1217</v>
      </c>
      <c r="H179" s="9" t="s">
        <v>1218</v>
      </c>
      <c r="I179" s="11" t="s">
        <v>161</v>
      </c>
      <c r="J179" s="43"/>
      <c r="K179" s="63"/>
      <c r="L179" s="43"/>
    </row>
    <row r="180" ht="22.5" customHeight="1">
      <c r="A180" s="9">
        <v>178.0</v>
      </c>
      <c r="B180" s="34" t="s">
        <v>1286</v>
      </c>
      <c r="C180" s="34"/>
      <c r="D180" s="33">
        <v>9.8301073E9</v>
      </c>
      <c r="E180" s="34" t="s">
        <v>211</v>
      </c>
      <c r="F180" s="34" t="s">
        <v>66</v>
      </c>
      <c r="G180" s="67" t="s">
        <v>1217</v>
      </c>
      <c r="H180" s="9" t="s">
        <v>1218</v>
      </c>
      <c r="I180" s="10" t="s">
        <v>161</v>
      </c>
      <c r="J180" s="43"/>
      <c r="K180" s="63"/>
      <c r="L180" s="43"/>
    </row>
    <row r="181" ht="22.5" customHeight="1">
      <c r="A181" s="9">
        <v>179.0</v>
      </c>
      <c r="B181" s="34" t="s">
        <v>1287</v>
      </c>
      <c r="C181" s="34"/>
      <c r="D181" s="33">
        <v>9.932211596E9</v>
      </c>
      <c r="E181" s="34" t="s">
        <v>211</v>
      </c>
      <c r="F181" s="34" t="s">
        <v>66</v>
      </c>
      <c r="G181" s="67" t="s">
        <v>1217</v>
      </c>
      <c r="H181" s="9" t="s">
        <v>1218</v>
      </c>
      <c r="I181" s="10" t="s">
        <v>161</v>
      </c>
      <c r="J181" s="43"/>
      <c r="K181" s="63"/>
      <c r="L181" s="43"/>
    </row>
    <row r="182" ht="22.5" customHeight="1">
      <c r="A182" s="9">
        <v>180.0</v>
      </c>
      <c r="B182" s="34" t="s">
        <v>1288</v>
      </c>
      <c r="C182" s="34"/>
      <c r="D182" s="33">
        <v>8.967473516E9</v>
      </c>
      <c r="E182" s="34" t="s">
        <v>211</v>
      </c>
      <c r="F182" s="34" t="s">
        <v>66</v>
      </c>
      <c r="G182" s="67" t="s">
        <v>1217</v>
      </c>
      <c r="H182" s="9" t="s">
        <v>1218</v>
      </c>
      <c r="I182" s="10" t="s">
        <v>176</v>
      </c>
      <c r="J182" s="43"/>
      <c r="K182" s="63"/>
      <c r="L182" s="43"/>
    </row>
    <row r="183" ht="22.5" customHeight="1">
      <c r="A183" s="9">
        <v>181.0</v>
      </c>
      <c r="B183" s="34" t="s">
        <v>1289</v>
      </c>
      <c r="C183" s="34"/>
      <c r="D183" s="33">
        <v>9.007400514E9</v>
      </c>
      <c r="E183" s="34" t="s">
        <v>211</v>
      </c>
      <c r="F183" s="34" t="s">
        <v>66</v>
      </c>
      <c r="G183" s="67" t="s">
        <v>1217</v>
      </c>
      <c r="H183" s="9" t="s">
        <v>1218</v>
      </c>
      <c r="I183" s="10" t="s">
        <v>176</v>
      </c>
      <c r="J183" s="43"/>
      <c r="K183" s="63"/>
      <c r="L183" s="43"/>
    </row>
    <row r="184" ht="22.5" customHeight="1">
      <c r="A184" s="9">
        <v>182.0</v>
      </c>
      <c r="B184" s="34" t="s">
        <v>1290</v>
      </c>
      <c r="C184" s="34"/>
      <c r="D184" s="33">
        <v>8.637327033E9</v>
      </c>
      <c r="E184" s="34" t="s">
        <v>211</v>
      </c>
      <c r="F184" s="34" t="s">
        <v>66</v>
      </c>
      <c r="G184" s="67" t="s">
        <v>1217</v>
      </c>
      <c r="H184" s="9" t="s">
        <v>1218</v>
      </c>
      <c r="I184" s="10" t="s">
        <v>14</v>
      </c>
      <c r="J184" s="43"/>
      <c r="K184" s="63"/>
      <c r="L184" s="43"/>
    </row>
    <row r="185" ht="22.5" customHeight="1">
      <c r="A185" s="9">
        <v>183.0</v>
      </c>
      <c r="B185" s="34" t="s">
        <v>1291</v>
      </c>
      <c r="C185" s="34"/>
      <c r="D185" s="33">
        <v>8.016842222E9</v>
      </c>
      <c r="E185" s="34" t="s">
        <v>211</v>
      </c>
      <c r="F185" s="34" t="s">
        <v>66</v>
      </c>
      <c r="G185" s="67" t="s">
        <v>1217</v>
      </c>
      <c r="H185" s="9" t="s">
        <v>1218</v>
      </c>
      <c r="I185" s="10" t="s">
        <v>161</v>
      </c>
      <c r="J185" s="43"/>
      <c r="K185" s="63"/>
      <c r="L185" s="43"/>
    </row>
    <row r="186" ht="22.5" customHeight="1">
      <c r="A186" s="9">
        <v>184.0</v>
      </c>
      <c r="B186" s="34" t="s">
        <v>1292</v>
      </c>
      <c r="C186" s="34"/>
      <c r="D186" s="33">
        <v>9.547930748E9</v>
      </c>
      <c r="E186" s="34" t="s">
        <v>211</v>
      </c>
      <c r="F186" s="34" t="s">
        <v>66</v>
      </c>
      <c r="G186" s="67" t="s">
        <v>1217</v>
      </c>
      <c r="H186" s="9" t="s">
        <v>1218</v>
      </c>
      <c r="I186" s="10" t="s">
        <v>14</v>
      </c>
      <c r="J186" s="43"/>
      <c r="K186" s="63"/>
      <c r="L186" s="43"/>
    </row>
    <row r="187" ht="22.5" customHeight="1">
      <c r="A187" s="9">
        <v>185.0</v>
      </c>
      <c r="B187" s="34" t="s">
        <v>1293</v>
      </c>
      <c r="C187" s="34"/>
      <c r="D187" s="33">
        <v>7.501121554E9</v>
      </c>
      <c r="E187" s="34" t="s">
        <v>211</v>
      </c>
      <c r="F187" s="34" t="s">
        <v>66</v>
      </c>
      <c r="G187" s="67" t="s">
        <v>1217</v>
      </c>
      <c r="H187" s="9" t="s">
        <v>1218</v>
      </c>
      <c r="I187" s="10" t="s">
        <v>176</v>
      </c>
      <c r="J187" s="43"/>
      <c r="K187" s="63"/>
      <c r="L187" s="43"/>
    </row>
    <row r="188" ht="22.5" customHeight="1">
      <c r="A188" s="9">
        <v>186.0</v>
      </c>
      <c r="B188" s="34" t="s">
        <v>1294</v>
      </c>
      <c r="C188" s="34"/>
      <c r="D188" s="33">
        <v>8.918244815E9</v>
      </c>
      <c r="E188" s="34" t="s">
        <v>211</v>
      </c>
      <c r="F188" s="34" t="s">
        <v>66</v>
      </c>
      <c r="G188" s="67" t="s">
        <v>1217</v>
      </c>
      <c r="H188" s="9" t="s">
        <v>1218</v>
      </c>
      <c r="I188" s="10" t="s">
        <v>14</v>
      </c>
      <c r="J188" s="43"/>
      <c r="K188" s="63"/>
      <c r="L188" s="43"/>
    </row>
    <row r="189" ht="22.5" customHeight="1">
      <c r="A189" s="9">
        <v>187.0</v>
      </c>
      <c r="B189" s="34" t="s">
        <v>1295</v>
      </c>
      <c r="C189" s="34"/>
      <c r="D189" s="33">
        <v>9.49329471E9</v>
      </c>
      <c r="E189" s="34" t="s">
        <v>211</v>
      </c>
      <c r="F189" s="34" t="s">
        <v>66</v>
      </c>
      <c r="G189" s="67" t="s">
        <v>1217</v>
      </c>
      <c r="H189" s="9" t="s">
        <v>1218</v>
      </c>
      <c r="I189" s="10" t="s">
        <v>14</v>
      </c>
      <c r="J189" s="43"/>
      <c r="K189" s="63"/>
      <c r="L189" s="43"/>
    </row>
    <row r="190" ht="22.5" customHeight="1">
      <c r="A190" s="9">
        <v>188.0</v>
      </c>
      <c r="B190" s="34" t="s">
        <v>1296</v>
      </c>
      <c r="C190" s="34"/>
      <c r="D190" s="33">
        <v>9.903726178E9</v>
      </c>
      <c r="E190" s="34" t="s">
        <v>211</v>
      </c>
      <c r="F190" s="34" t="s">
        <v>66</v>
      </c>
      <c r="G190" s="67" t="s">
        <v>1217</v>
      </c>
      <c r="H190" s="9" t="s">
        <v>1218</v>
      </c>
      <c r="I190" s="10" t="s">
        <v>14</v>
      </c>
      <c r="J190" s="43"/>
      <c r="K190" s="63"/>
      <c r="L190" s="43"/>
    </row>
    <row r="191" ht="22.5" customHeight="1">
      <c r="A191" s="9">
        <v>189.0</v>
      </c>
      <c r="B191" s="34" t="s">
        <v>1297</v>
      </c>
      <c r="C191" s="34"/>
      <c r="D191" s="33">
        <v>8.972354835E9</v>
      </c>
      <c r="E191" s="34" t="s">
        <v>211</v>
      </c>
      <c r="F191" s="34" t="s">
        <v>66</v>
      </c>
      <c r="G191" s="67" t="s">
        <v>1217</v>
      </c>
      <c r="H191" s="9" t="s">
        <v>1218</v>
      </c>
      <c r="I191" s="10" t="s">
        <v>161</v>
      </c>
      <c r="J191" s="43"/>
      <c r="K191" s="63"/>
      <c r="L191" s="43"/>
    </row>
    <row r="192" ht="22.5" customHeight="1">
      <c r="A192" s="9">
        <v>190.0</v>
      </c>
      <c r="B192" s="34" t="s">
        <v>1298</v>
      </c>
      <c r="C192" s="34"/>
      <c r="D192" s="33">
        <v>8.345989542E9</v>
      </c>
      <c r="E192" s="34" t="s">
        <v>211</v>
      </c>
      <c r="F192" s="34" t="s">
        <v>66</v>
      </c>
      <c r="G192" s="67" t="s">
        <v>1217</v>
      </c>
      <c r="H192" s="9" t="s">
        <v>1218</v>
      </c>
      <c r="I192" s="10" t="s">
        <v>161</v>
      </c>
      <c r="J192" s="43"/>
      <c r="K192" s="63"/>
      <c r="L192" s="43"/>
    </row>
    <row r="193" ht="22.5" customHeight="1">
      <c r="A193" s="9">
        <v>191.0</v>
      </c>
      <c r="B193" s="34" t="s">
        <v>1299</v>
      </c>
      <c r="C193" s="34"/>
      <c r="D193" s="33">
        <v>7.327049255E9</v>
      </c>
      <c r="E193" s="34" t="s">
        <v>211</v>
      </c>
      <c r="F193" s="34" t="s">
        <v>66</v>
      </c>
      <c r="G193" s="67" t="s">
        <v>1217</v>
      </c>
      <c r="H193" s="9" t="s">
        <v>1218</v>
      </c>
      <c r="I193" s="10" t="s">
        <v>161</v>
      </c>
      <c r="J193" s="43"/>
      <c r="K193" s="63"/>
      <c r="L193" s="43"/>
    </row>
    <row r="194" ht="22.5" customHeight="1">
      <c r="A194" s="9">
        <v>192.0</v>
      </c>
      <c r="B194" s="34" t="s">
        <v>1300</v>
      </c>
      <c r="C194" s="34"/>
      <c r="D194" s="33">
        <v>9.830853955E9</v>
      </c>
      <c r="E194" s="34" t="s">
        <v>211</v>
      </c>
      <c r="F194" s="34" t="s">
        <v>66</v>
      </c>
      <c r="G194" s="67" t="s">
        <v>1217</v>
      </c>
      <c r="H194" s="9" t="s">
        <v>1218</v>
      </c>
      <c r="I194" s="10" t="s">
        <v>14</v>
      </c>
      <c r="J194" s="43"/>
      <c r="K194" s="63"/>
      <c r="L194" s="43"/>
    </row>
    <row r="195" ht="22.5" customHeight="1">
      <c r="A195" s="9">
        <v>193.0</v>
      </c>
      <c r="B195" s="34" t="s">
        <v>1301</v>
      </c>
      <c r="C195" s="34"/>
      <c r="D195" s="33">
        <v>8.597203806E9</v>
      </c>
      <c r="E195" s="34" t="s">
        <v>211</v>
      </c>
      <c r="F195" s="34" t="s">
        <v>66</v>
      </c>
      <c r="G195" s="67" t="s">
        <v>1217</v>
      </c>
      <c r="H195" s="9" t="s">
        <v>1218</v>
      </c>
      <c r="I195" s="10" t="s">
        <v>14</v>
      </c>
      <c r="J195" s="43"/>
      <c r="K195" s="63"/>
      <c r="L195" s="43"/>
    </row>
    <row r="196" ht="22.5" customHeight="1">
      <c r="A196" s="9">
        <v>194.0</v>
      </c>
      <c r="B196" s="34" t="s">
        <v>1302</v>
      </c>
      <c r="C196" s="34"/>
      <c r="D196" s="33">
        <v>9.073934359E9</v>
      </c>
      <c r="E196" s="34" t="s">
        <v>211</v>
      </c>
      <c r="F196" s="34" t="s">
        <v>66</v>
      </c>
      <c r="G196" s="67" t="s">
        <v>1217</v>
      </c>
      <c r="H196" s="9" t="s">
        <v>1218</v>
      </c>
      <c r="I196" s="10" t="s">
        <v>161</v>
      </c>
      <c r="J196" s="43"/>
      <c r="K196" s="63"/>
      <c r="L196" s="43"/>
    </row>
    <row r="197" ht="22.5" customHeight="1">
      <c r="A197" s="9">
        <v>195.0</v>
      </c>
      <c r="B197" s="34" t="s">
        <v>1303</v>
      </c>
      <c r="C197" s="34"/>
      <c r="D197" s="33">
        <v>9.830274391E9</v>
      </c>
      <c r="E197" s="34" t="s">
        <v>211</v>
      </c>
      <c r="F197" s="34" t="s">
        <v>66</v>
      </c>
      <c r="G197" s="67" t="s">
        <v>1217</v>
      </c>
      <c r="H197" s="9" t="s">
        <v>1218</v>
      </c>
      <c r="I197" s="10" t="s">
        <v>14</v>
      </c>
      <c r="J197" s="43"/>
      <c r="K197" s="63"/>
      <c r="L197" s="43"/>
    </row>
    <row r="198" ht="22.5" customHeight="1">
      <c r="A198" s="9">
        <v>196.0</v>
      </c>
      <c r="B198" s="34" t="s">
        <v>1304</v>
      </c>
      <c r="C198" s="34"/>
      <c r="D198" s="33">
        <v>9.83203446E9</v>
      </c>
      <c r="E198" s="34" t="s">
        <v>211</v>
      </c>
      <c r="F198" s="34" t="s">
        <v>66</v>
      </c>
      <c r="G198" s="67" t="s">
        <v>1217</v>
      </c>
      <c r="H198" s="9" t="s">
        <v>1218</v>
      </c>
      <c r="I198" s="10" t="s">
        <v>14</v>
      </c>
      <c r="J198" s="43"/>
      <c r="K198" s="63"/>
      <c r="L198" s="43"/>
    </row>
    <row r="199" ht="22.5" customHeight="1">
      <c r="A199" s="9">
        <v>197.0</v>
      </c>
      <c r="B199" s="34" t="s">
        <v>1305</v>
      </c>
      <c r="C199" s="34"/>
      <c r="D199" s="33">
        <v>9.80490021E9</v>
      </c>
      <c r="E199" s="34" t="s">
        <v>211</v>
      </c>
      <c r="F199" s="34" t="s">
        <v>66</v>
      </c>
      <c r="G199" s="67" t="s">
        <v>1217</v>
      </c>
      <c r="H199" s="9" t="s">
        <v>1218</v>
      </c>
      <c r="I199" s="10" t="s">
        <v>176</v>
      </c>
      <c r="J199" s="43"/>
      <c r="K199" s="63"/>
      <c r="L199" s="43"/>
    </row>
    <row r="200" ht="22.5" customHeight="1">
      <c r="A200" s="9">
        <v>198.0</v>
      </c>
      <c r="B200" s="34" t="s">
        <v>1306</v>
      </c>
      <c r="C200" s="34"/>
      <c r="D200" s="33">
        <v>7.278042931E9</v>
      </c>
      <c r="E200" s="34" t="s">
        <v>211</v>
      </c>
      <c r="F200" s="34" t="s">
        <v>66</v>
      </c>
      <c r="G200" s="67" t="s">
        <v>1217</v>
      </c>
      <c r="H200" s="9" t="s">
        <v>1218</v>
      </c>
      <c r="I200" s="10" t="s">
        <v>176</v>
      </c>
      <c r="J200" s="43"/>
      <c r="K200" s="63"/>
      <c r="L200" s="43"/>
    </row>
    <row r="201" ht="22.5" customHeight="1">
      <c r="A201" s="9">
        <v>199.0</v>
      </c>
      <c r="B201" s="34" t="s">
        <v>1307</v>
      </c>
      <c r="C201" s="34"/>
      <c r="D201" s="33">
        <v>9.064654621E9</v>
      </c>
      <c r="E201" s="34" t="s">
        <v>211</v>
      </c>
      <c r="F201" s="34" t="s">
        <v>66</v>
      </c>
      <c r="G201" s="67" t="s">
        <v>1217</v>
      </c>
      <c r="H201" s="9" t="s">
        <v>1218</v>
      </c>
      <c r="I201" s="10" t="s">
        <v>14</v>
      </c>
      <c r="J201" s="43"/>
      <c r="K201" s="63"/>
      <c r="L201" s="43"/>
    </row>
    <row r="202" ht="22.5" customHeight="1">
      <c r="A202" s="9">
        <v>200.0</v>
      </c>
      <c r="B202" s="34" t="s">
        <v>1308</v>
      </c>
      <c r="C202" s="34"/>
      <c r="D202" s="33">
        <v>9.733599846E9</v>
      </c>
      <c r="E202" s="34" t="s">
        <v>211</v>
      </c>
      <c r="F202" s="34" t="s">
        <v>66</v>
      </c>
      <c r="G202" s="67" t="s">
        <v>1217</v>
      </c>
      <c r="H202" s="9" t="s">
        <v>1218</v>
      </c>
      <c r="I202" s="10" t="s">
        <v>161</v>
      </c>
      <c r="J202" s="43"/>
      <c r="K202" s="63"/>
      <c r="L202" s="43"/>
    </row>
    <row r="203" ht="22.5" customHeight="1">
      <c r="A203" s="9">
        <v>201.0</v>
      </c>
      <c r="B203" s="34" t="s">
        <v>1309</v>
      </c>
      <c r="C203" s="34"/>
      <c r="D203" s="33">
        <v>9.163319493E9</v>
      </c>
      <c r="E203" s="34" t="s">
        <v>211</v>
      </c>
      <c r="F203" s="34" t="s">
        <v>66</v>
      </c>
      <c r="G203" s="67" t="s">
        <v>1217</v>
      </c>
      <c r="H203" s="9" t="s">
        <v>1218</v>
      </c>
      <c r="I203" s="10" t="s">
        <v>161</v>
      </c>
      <c r="J203" s="43"/>
      <c r="K203" s="63"/>
      <c r="L203" s="43"/>
    </row>
    <row r="204" ht="22.5" customHeight="1">
      <c r="A204" s="9">
        <v>202.0</v>
      </c>
      <c r="B204" s="34" t="s">
        <v>1310</v>
      </c>
      <c r="C204" s="34"/>
      <c r="D204" s="33">
        <v>6.297186995E9</v>
      </c>
      <c r="E204" s="34" t="s">
        <v>211</v>
      </c>
      <c r="F204" s="34" t="s">
        <v>66</v>
      </c>
      <c r="G204" s="67" t="s">
        <v>1217</v>
      </c>
      <c r="H204" s="9" t="s">
        <v>1218</v>
      </c>
      <c r="I204" s="10" t="s">
        <v>14</v>
      </c>
      <c r="J204" s="43"/>
      <c r="K204" s="63"/>
      <c r="L204" s="43"/>
    </row>
    <row r="205" ht="22.5" customHeight="1">
      <c r="A205" s="9">
        <v>203.0</v>
      </c>
      <c r="B205" s="34" t="s">
        <v>1311</v>
      </c>
      <c r="C205" s="34"/>
      <c r="D205" s="33">
        <v>9.47774199E9</v>
      </c>
      <c r="E205" s="34" t="s">
        <v>211</v>
      </c>
      <c r="F205" s="34" t="s">
        <v>66</v>
      </c>
      <c r="G205" s="67" t="s">
        <v>1217</v>
      </c>
      <c r="H205" s="9" t="s">
        <v>1218</v>
      </c>
      <c r="I205" s="10" t="s">
        <v>176</v>
      </c>
      <c r="J205" s="43"/>
      <c r="K205" s="63"/>
      <c r="L205" s="43"/>
    </row>
    <row r="206" ht="22.5" customHeight="1">
      <c r="A206" s="9">
        <v>204.0</v>
      </c>
      <c r="B206" s="34" t="s">
        <v>1312</v>
      </c>
      <c r="C206" s="34"/>
      <c r="D206" s="33">
        <v>7.90869655E9</v>
      </c>
      <c r="E206" s="34" t="s">
        <v>211</v>
      </c>
      <c r="F206" s="34" t="s">
        <v>66</v>
      </c>
      <c r="G206" s="67" t="s">
        <v>1217</v>
      </c>
      <c r="H206" s="9" t="s">
        <v>1218</v>
      </c>
      <c r="I206" s="10" t="s">
        <v>14</v>
      </c>
      <c r="J206" s="43"/>
      <c r="K206" s="63"/>
      <c r="L206" s="43"/>
    </row>
    <row r="207" ht="22.5" customHeight="1">
      <c r="A207" s="9">
        <v>205.0</v>
      </c>
      <c r="B207" s="34" t="s">
        <v>1313</v>
      </c>
      <c r="C207" s="34"/>
      <c r="D207" s="33">
        <v>9.05103221E9</v>
      </c>
      <c r="E207" s="34" t="s">
        <v>211</v>
      </c>
      <c r="F207" s="34" t="s">
        <v>66</v>
      </c>
      <c r="G207" s="67" t="s">
        <v>1217</v>
      </c>
      <c r="H207" s="9" t="s">
        <v>1218</v>
      </c>
      <c r="I207" s="10" t="s">
        <v>161</v>
      </c>
      <c r="J207" s="43"/>
      <c r="K207" s="63"/>
      <c r="L207" s="43"/>
    </row>
    <row r="208" ht="22.5" customHeight="1">
      <c r="A208" s="9">
        <v>206.0</v>
      </c>
      <c r="B208" s="34" t="s">
        <v>1314</v>
      </c>
      <c r="C208" s="34"/>
      <c r="D208" s="33">
        <v>6.289153192E9</v>
      </c>
      <c r="E208" s="34" t="s">
        <v>211</v>
      </c>
      <c r="F208" s="34" t="s">
        <v>66</v>
      </c>
      <c r="G208" s="67" t="s">
        <v>1217</v>
      </c>
      <c r="H208" s="9" t="s">
        <v>1218</v>
      </c>
      <c r="I208" s="10" t="s">
        <v>176</v>
      </c>
      <c r="J208" s="43"/>
      <c r="K208" s="63"/>
      <c r="L208" s="43"/>
    </row>
    <row r="209" ht="22.5" customHeight="1">
      <c r="A209" s="9">
        <v>207.0</v>
      </c>
      <c r="B209" s="34" t="s">
        <v>1315</v>
      </c>
      <c r="C209" s="34"/>
      <c r="D209" s="33">
        <v>8.100548176E9</v>
      </c>
      <c r="E209" s="34" t="s">
        <v>211</v>
      </c>
      <c r="F209" s="34" t="s">
        <v>66</v>
      </c>
      <c r="G209" s="67" t="s">
        <v>1217</v>
      </c>
      <c r="H209" s="9" t="s">
        <v>1218</v>
      </c>
      <c r="I209" s="10" t="s">
        <v>176</v>
      </c>
      <c r="J209" s="43"/>
      <c r="K209" s="63"/>
      <c r="L209" s="43"/>
    </row>
    <row r="210" ht="22.5" customHeight="1">
      <c r="A210" s="9">
        <v>208.0</v>
      </c>
      <c r="B210" s="34" t="s">
        <v>1316</v>
      </c>
      <c r="C210" s="34"/>
      <c r="D210" s="33">
        <v>9.064596479E9</v>
      </c>
      <c r="E210" s="34" t="s">
        <v>211</v>
      </c>
      <c r="F210" s="34" t="s">
        <v>66</v>
      </c>
      <c r="G210" s="67" t="s">
        <v>1217</v>
      </c>
      <c r="H210" s="9" t="s">
        <v>1218</v>
      </c>
      <c r="I210" s="10" t="s">
        <v>176</v>
      </c>
      <c r="J210" s="43"/>
      <c r="K210" s="63"/>
      <c r="L210" s="43"/>
    </row>
    <row r="211" ht="22.5" customHeight="1">
      <c r="A211" s="9">
        <v>209.0</v>
      </c>
      <c r="B211" s="34" t="s">
        <v>1317</v>
      </c>
      <c r="C211" s="34"/>
      <c r="D211" s="33">
        <v>8.90285237E9</v>
      </c>
      <c r="E211" s="34" t="s">
        <v>211</v>
      </c>
      <c r="F211" s="34" t="s">
        <v>66</v>
      </c>
      <c r="G211" s="67" t="s">
        <v>1217</v>
      </c>
      <c r="H211" s="9" t="s">
        <v>1218</v>
      </c>
      <c r="I211" s="10" t="s">
        <v>176</v>
      </c>
      <c r="J211" s="43"/>
      <c r="K211" s="63"/>
      <c r="L211" s="43"/>
    </row>
    <row r="212" ht="22.5" customHeight="1">
      <c r="A212" s="9">
        <v>210.0</v>
      </c>
      <c r="B212" s="34" t="s">
        <v>1318</v>
      </c>
      <c r="C212" s="34"/>
      <c r="D212" s="33">
        <v>9.883135445E9</v>
      </c>
      <c r="E212" s="34" t="s">
        <v>211</v>
      </c>
      <c r="F212" s="34" t="s">
        <v>66</v>
      </c>
      <c r="G212" s="67" t="s">
        <v>1217</v>
      </c>
      <c r="H212" s="9" t="s">
        <v>1218</v>
      </c>
      <c r="I212" s="10" t="s">
        <v>176</v>
      </c>
      <c r="J212" s="43"/>
      <c r="K212" s="63"/>
      <c r="L212" s="43"/>
    </row>
    <row r="213" ht="22.5" customHeight="1">
      <c r="A213" s="9">
        <v>211.0</v>
      </c>
      <c r="B213" s="34" t="s">
        <v>1319</v>
      </c>
      <c r="C213" s="34"/>
      <c r="D213" s="33">
        <v>8.296635021E9</v>
      </c>
      <c r="E213" s="34" t="s">
        <v>211</v>
      </c>
      <c r="F213" s="34" t="s">
        <v>66</v>
      </c>
      <c r="G213" s="67" t="s">
        <v>1217</v>
      </c>
      <c r="H213" s="9" t="s">
        <v>1218</v>
      </c>
      <c r="I213" s="10" t="s">
        <v>14</v>
      </c>
      <c r="J213" s="43"/>
      <c r="K213" s="63"/>
      <c r="L213" s="43"/>
    </row>
    <row r="214" ht="22.5" customHeight="1">
      <c r="A214" s="9">
        <v>212.0</v>
      </c>
      <c r="B214" s="34" t="s">
        <v>1320</v>
      </c>
      <c r="C214" s="34"/>
      <c r="D214" s="33">
        <v>7.908682639E9</v>
      </c>
      <c r="E214" s="34" t="s">
        <v>211</v>
      </c>
      <c r="F214" s="34" t="s">
        <v>66</v>
      </c>
      <c r="G214" s="67" t="s">
        <v>1217</v>
      </c>
      <c r="H214" s="9" t="s">
        <v>1218</v>
      </c>
      <c r="I214" s="10" t="s">
        <v>161</v>
      </c>
      <c r="J214" s="43"/>
      <c r="K214" s="63"/>
      <c r="L214" s="43"/>
    </row>
    <row r="215" ht="22.5" customHeight="1">
      <c r="A215" s="9">
        <v>213.0</v>
      </c>
      <c r="B215" s="34" t="s">
        <v>1321</v>
      </c>
      <c r="C215" s="34"/>
      <c r="D215" s="33">
        <v>8.388931307E9</v>
      </c>
      <c r="E215" s="34" t="s">
        <v>211</v>
      </c>
      <c r="F215" s="34" t="s">
        <v>66</v>
      </c>
      <c r="G215" s="67" t="s">
        <v>1217</v>
      </c>
      <c r="H215" s="9" t="s">
        <v>1218</v>
      </c>
      <c r="I215" s="10" t="s">
        <v>161</v>
      </c>
      <c r="J215" s="43"/>
      <c r="K215" s="63"/>
      <c r="L215" s="43"/>
    </row>
    <row r="216" ht="22.5" customHeight="1">
      <c r="A216" s="9">
        <v>214.0</v>
      </c>
      <c r="B216" s="34" t="s">
        <v>1322</v>
      </c>
      <c r="C216" s="34"/>
      <c r="D216" s="33">
        <v>9.002821484E9</v>
      </c>
      <c r="E216" s="34" t="s">
        <v>211</v>
      </c>
      <c r="F216" s="34" t="s">
        <v>66</v>
      </c>
      <c r="G216" s="67" t="s">
        <v>1217</v>
      </c>
      <c r="H216" s="9" t="s">
        <v>1218</v>
      </c>
      <c r="I216" s="10" t="s">
        <v>176</v>
      </c>
      <c r="J216" s="43"/>
      <c r="K216" s="63"/>
      <c r="L216" s="43"/>
    </row>
    <row r="217" ht="22.5" customHeight="1">
      <c r="A217" s="9">
        <v>215.0</v>
      </c>
      <c r="B217" s="34" t="s">
        <v>1323</v>
      </c>
      <c r="C217" s="34"/>
      <c r="D217" s="33">
        <v>9.733451698E9</v>
      </c>
      <c r="E217" s="34" t="s">
        <v>211</v>
      </c>
      <c r="F217" s="34" t="s">
        <v>66</v>
      </c>
      <c r="G217" s="67" t="s">
        <v>1217</v>
      </c>
      <c r="H217" s="9" t="s">
        <v>1218</v>
      </c>
      <c r="I217" s="10" t="s">
        <v>161</v>
      </c>
      <c r="J217" s="43"/>
      <c r="K217" s="63"/>
      <c r="L217" s="43"/>
    </row>
    <row r="218" ht="22.5" customHeight="1">
      <c r="A218" s="9">
        <v>216.0</v>
      </c>
      <c r="B218" s="34" t="s">
        <v>1324</v>
      </c>
      <c r="C218" s="34"/>
      <c r="D218" s="33">
        <v>9.831976859E9</v>
      </c>
      <c r="E218" s="34" t="s">
        <v>211</v>
      </c>
      <c r="F218" s="34" t="s">
        <v>66</v>
      </c>
      <c r="G218" s="67" t="s">
        <v>1217</v>
      </c>
      <c r="H218" s="9" t="s">
        <v>1218</v>
      </c>
      <c r="I218" s="10" t="s">
        <v>161</v>
      </c>
      <c r="J218" s="43"/>
      <c r="K218" s="63"/>
      <c r="L218" s="43"/>
    </row>
    <row r="219" ht="22.5" customHeight="1">
      <c r="A219" s="9">
        <v>217.0</v>
      </c>
      <c r="B219" s="34" t="s">
        <v>1325</v>
      </c>
      <c r="C219" s="34"/>
      <c r="D219" s="33">
        <v>9.433305556E9</v>
      </c>
      <c r="E219" s="34" t="s">
        <v>211</v>
      </c>
      <c r="F219" s="34" t="s">
        <v>66</v>
      </c>
      <c r="G219" s="67" t="s">
        <v>1217</v>
      </c>
      <c r="H219" s="9" t="s">
        <v>1218</v>
      </c>
      <c r="I219" s="10" t="s">
        <v>14</v>
      </c>
      <c r="J219" s="43"/>
      <c r="K219" s="63"/>
      <c r="L219" s="43"/>
    </row>
    <row r="220" ht="22.5" customHeight="1">
      <c r="A220" s="9">
        <v>218.0</v>
      </c>
      <c r="B220" s="34" t="s">
        <v>1326</v>
      </c>
      <c r="C220" s="34"/>
      <c r="D220" s="33">
        <v>9.432826074E9</v>
      </c>
      <c r="E220" s="34" t="s">
        <v>211</v>
      </c>
      <c r="F220" s="34" t="s">
        <v>66</v>
      </c>
      <c r="G220" s="67" t="s">
        <v>1217</v>
      </c>
      <c r="H220" s="9" t="s">
        <v>1218</v>
      </c>
      <c r="I220" s="10" t="s">
        <v>14</v>
      </c>
      <c r="J220" s="43"/>
      <c r="K220" s="63"/>
      <c r="L220" s="43"/>
    </row>
    <row r="221" ht="22.5" customHeight="1">
      <c r="A221" s="9">
        <v>219.0</v>
      </c>
      <c r="B221" s="34" t="s">
        <v>1327</v>
      </c>
      <c r="C221" s="34"/>
      <c r="D221" s="33">
        <v>7.908280711E9</v>
      </c>
      <c r="E221" s="34" t="s">
        <v>211</v>
      </c>
      <c r="F221" s="34" t="s">
        <v>66</v>
      </c>
      <c r="G221" s="67" t="s">
        <v>1217</v>
      </c>
      <c r="H221" s="9" t="s">
        <v>1218</v>
      </c>
      <c r="I221" s="10" t="s">
        <v>161</v>
      </c>
      <c r="J221" s="43"/>
      <c r="K221" s="63"/>
      <c r="L221" s="43"/>
    </row>
    <row r="222" ht="22.5" customHeight="1">
      <c r="A222" s="9">
        <v>220.0</v>
      </c>
      <c r="B222" s="34" t="s">
        <v>1328</v>
      </c>
      <c r="C222" s="34"/>
      <c r="D222" s="33">
        <v>9.038105058E9</v>
      </c>
      <c r="E222" s="34" t="s">
        <v>211</v>
      </c>
      <c r="F222" s="34" t="s">
        <v>66</v>
      </c>
      <c r="G222" s="67" t="s">
        <v>1217</v>
      </c>
      <c r="H222" s="9" t="s">
        <v>1218</v>
      </c>
      <c r="I222" s="10" t="s">
        <v>14</v>
      </c>
      <c r="J222" s="43"/>
      <c r="K222" s="63"/>
      <c r="L222" s="43"/>
    </row>
    <row r="223" ht="22.5" customHeight="1">
      <c r="A223" s="9">
        <v>221.0</v>
      </c>
      <c r="B223" s="34" t="s">
        <v>1329</v>
      </c>
      <c r="C223" s="34"/>
      <c r="D223" s="33">
        <v>7.596003517E9</v>
      </c>
      <c r="E223" s="34" t="s">
        <v>211</v>
      </c>
      <c r="F223" s="34" t="s">
        <v>66</v>
      </c>
      <c r="G223" s="67" t="s">
        <v>1217</v>
      </c>
      <c r="H223" s="9" t="s">
        <v>1218</v>
      </c>
      <c r="I223" s="10" t="s">
        <v>14</v>
      </c>
      <c r="J223" s="43"/>
      <c r="K223" s="63"/>
      <c r="L223" s="43"/>
    </row>
    <row r="224" ht="22.5" customHeight="1">
      <c r="A224" s="9">
        <v>222.0</v>
      </c>
      <c r="B224" s="34" t="s">
        <v>1330</v>
      </c>
      <c r="C224" s="34"/>
      <c r="D224" s="33">
        <v>7.718646298E9</v>
      </c>
      <c r="E224" s="34" t="s">
        <v>211</v>
      </c>
      <c r="F224" s="34" t="s">
        <v>66</v>
      </c>
      <c r="G224" s="67" t="s">
        <v>1217</v>
      </c>
      <c r="H224" s="9" t="s">
        <v>1218</v>
      </c>
      <c r="I224" s="10" t="s">
        <v>14</v>
      </c>
      <c r="J224" s="43"/>
      <c r="K224" s="63"/>
      <c r="L224" s="43"/>
    </row>
    <row r="225" ht="22.5" customHeight="1">
      <c r="A225" s="9">
        <v>223.0</v>
      </c>
      <c r="B225" s="34" t="s">
        <v>1331</v>
      </c>
      <c r="C225" s="34"/>
      <c r="D225" s="33">
        <v>9.609511486E9</v>
      </c>
      <c r="E225" s="34" t="s">
        <v>211</v>
      </c>
      <c r="F225" s="34" t="s">
        <v>66</v>
      </c>
      <c r="G225" s="67" t="s">
        <v>1217</v>
      </c>
      <c r="H225" s="9" t="s">
        <v>1218</v>
      </c>
      <c r="I225" s="10" t="s">
        <v>14</v>
      </c>
      <c r="J225" s="43"/>
      <c r="K225" s="63"/>
      <c r="L225" s="43"/>
    </row>
    <row r="226" ht="22.5" customHeight="1">
      <c r="A226" s="9">
        <v>224.0</v>
      </c>
      <c r="B226" s="34" t="s">
        <v>1332</v>
      </c>
      <c r="C226" s="34"/>
      <c r="D226" s="33">
        <v>7.980392805E9</v>
      </c>
      <c r="E226" s="34" t="s">
        <v>211</v>
      </c>
      <c r="F226" s="34" t="s">
        <v>66</v>
      </c>
      <c r="G226" s="67" t="s">
        <v>1217</v>
      </c>
      <c r="H226" s="9" t="s">
        <v>1218</v>
      </c>
      <c r="I226" s="10" t="s">
        <v>14</v>
      </c>
      <c r="J226" s="43"/>
      <c r="K226" s="63"/>
      <c r="L226" s="43"/>
    </row>
    <row r="227" ht="22.5" customHeight="1">
      <c r="A227" s="9">
        <v>225.0</v>
      </c>
      <c r="B227" s="34" t="s">
        <v>1333</v>
      </c>
      <c r="C227" s="34"/>
      <c r="D227" s="33">
        <v>9.830172037E9</v>
      </c>
      <c r="E227" s="34" t="s">
        <v>211</v>
      </c>
      <c r="F227" s="34" t="s">
        <v>66</v>
      </c>
      <c r="G227" s="67" t="s">
        <v>1217</v>
      </c>
      <c r="H227" s="9" t="s">
        <v>1218</v>
      </c>
      <c r="I227" s="10" t="s">
        <v>14</v>
      </c>
      <c r="J227" s="43"/>
      <c r="K227" s="63"/>
      <c r="L227" s="43"/>
    </row>
    <row r="228" ht="22.5" customHeight="1">
      <c r="A228" s="9">
        <v>226.0</v>
      </c>
      <c r="B228" s="34" t="s">
        <v>1334</v>
      </c>
      <c r="C228" s="34"/>
      <c r="D228" s="33">
        <v>9.800998446E9</v>
      </c>
      <c r="E228" s="34" t="s">
        <v>211</v>
      </c>
      <c r="F228" s="34" t="s">
        <v>66</v>
      </c>
      <c r="G228" s="67" t="s">
        <v>1217</v>
      </c>
      <c r="H228" s="9" t="s">
        <v>1218</v>
      </c>
      <c r="I228" s="10" t="s">
        <v>14</v>
      </c>
      <c r="J228" s="43"/>
      <c r="K228" s="63"/>
      <c r="L228" s="43"/>
    </row>
    <row r="229" ht="22.5" customHeight="1">
      <c r="A229" s="9">
        <v>227.0</v>
      </c>
      <c r="B229" s="34" t="s">
        <v>1335</v>
      </c>
      <c r="C229" s="34"/>
      <c r="D229" s="33">
        <v>8.371004891E9</v>
      </c>
      <c r="E229" s="34" t="s">
        <v>211</v>
      </c>
      <c r="F229" s="34" t="s">
        <v>66</v>
      </c>
      <c r="G229" s="67" t="s">
        <v>1217</v>
      </c>
      <c r="H229" s="9" t="s">
        <v>1218</v>
      </c>
      <c r="I229" s="10" t="s">
        <v>176</v>
      </c>
      <c r="J229" s="43"/>
      <c r="K229" s="63"/>
      <c r="L229" s="43"/>
    </row>
    <row r="230" ht="22.5" customHeight="1">
      <c r="A230" s="9">
        <v>228.0</v>
      </c>
      <c r="B230" s="34" t="s">
        <v>1336</v>
      </c>
      <c r="C230" s="34"/>
      <c r="D230" s="33">
        <v>9.775839083E9</v>
      </c>
      <c r="E230" s="34" t="s">
        <v>211</v>
      </c>
      <c r="F230" s="34" t="s">
        <v>66</v>
      </c>
      <c r="G230" s="67" t="s">
        <v>1217</v>
      </c>
      <c r="H230" s="9" t="s">
        <v>1218</v>
      </c>
      <c r="I230" s="10" t="s">
        <v>176</v>
      </c>
      <c r="J230" s="43"/>
      <c r="K230" s="63"/>
      <c r="L230" s="43"/>
    </row>
    <row r="231" ht="22.5" customHeight="1">
      <c r="A231" s="9">
        <v>229.0</v>
      </c>
      <c r="B231" s="34" t="s">
        <v>1337</v>
      </c>
      <c r="C231" s="34"/>
      <c r="D231" s="33">
        <v>9.830332428E9</v>
      </c>
      <c r="E231" s="34" t="s">
        <v>211</v>
      </c>
      <c r="F231" s="34" t="s">
        <v>66</v>
      </c>
      <c r="G231" s="67" t="s">
        <v>1217</v>
      </c>
      <c r="H231" s="9" t="s">
        <v>1218</v>
      </c>
      <c r="I231" s="10" t="s">
        <v>176</v>
      </c>
      <c r="J231" s="43"/>
      <c r="K231" s="63"/>
      <c r="L231" s="43"/>
    </row>
    <row r="232" ht="22.5" customHeight="1">
      <c r="A232" s="9">
        <v>230.0</v>
      </c>
      <c r="B232" s="34" t="s">
        <v>1338</v>
      </c>
      <c r="C232" s="34"/>
      <c r="D232" s="33">
        <v>8.768689324E9</v>
      </c>
      <c r="E232" s="34" t="s">
        <v>211</v>
      </c>
      <c r="F232" s="34" t="s">
        <v>66</v>
      </c>
      <c r="G232" s="67" t="s">
        <v>1217</v>
      </c>
      <c r="H232" s="9" t="s">
        <v>1218</v>
      </c>
      <c r="I232" s="10" t="s">
        <v>161</v>
      </c>
      <c r="J232" s="43"/>
      <c r="K232" s="63"/>
      <c r="L232" s="43"/>
    </row>
    <row r="233" ht="22.5" customHeight="1">
      <c r="A233" s="9">
        <v>231.0</v>
      </c>
      <c r="B233" s="34" t="s">
        <v>1339</v>
      </c>
      <c r="C233" s="34"/>
      <c r="D233" s="33">
        <v>8.777587326E9</v>
      </c>
      <c r="E233" s="34" t="s">
        <v>211</v>
      </c>
      <c r="F233" s="34" t="s">
        <v>66</v>
      </c>
      <c r="G233" s="67" t="s">
        <v>1217</v>
      </c>
      <c r="H233" s="9" t="s">
        <v>1218</v>
      </c>
      <c r="I233" s="10" t="s">
        <v>176</v>
      </c>
      <c r="J233" s="43"/>
      <c r="K233" s="63"/>
      <c r="L233" s="43"/>
    </row>
    <row r="234" ht="22.5" customHeight="1">
      <c r="A234" s="9">
        <v>232.0</v>
      </c>
      <c r="B234" s="34" t="s">
        <v>1340</v>
      </c>
      <c r="C234" s="34"/>
      <c r="D234" s="33">
        <v>8.276066339E9</v>
      </c>
      <c r="E234" s="34" t="s">
        <v>211</v>
      </c>
      <c r="F234" s="34" t="s">
        <v>66</v>
      </c>
      <c r="G234" s="67" t="s">
        <v>1217</v>
      </c>
      <c r="H234" s="9" t="s">
        <v>1218</v>
      </c>
      <c r="I234" s="10" t="s">
        <v>14</v>
      </c>
      <c r="J234" s="43"/>
      <c r="K234" s="63"/>
      <c r="L234" s="43"/>
    </row>
    <row r="235" ht="22.5" customHeight="1">
      <c r="A235" s="9">
        <v>233.0</v>
      </c>
      <c r="B235" s="34" t="s">
        <v>1341</v>
      </c>
      <c r="C235" s="34"/>
      <c r="D235" s="33">
        <v>7.439335069E9</v>
      </c>
      <c r="E235" s="34" t="s">
        <v>211</v>
      </c>
      <c r="F235" s="34" t="s">
        <v>66</v>
      </c>
      <c r="G235" s="67" t="s">
        <v>1217</v>
      </c>
      <c r="H235" s="9" t="s">
        <v>1218</v>
      </c>
      <c r="I235" s="10" t="s">
        <v>14</v>
      </c>
      <c r="J235" s="43"/>
      <c r="K235" s="63"/>
      <c r="L235" s="43"/>
    </row>
    <row r="236" ht="22.5" customHeight="1">
      <c r="A236" s="9">
        <v>234.0</v>
      </c>
      <c r="B236" s="34" t="s">
        <v>1342</v>
      </c>
      <c r="C236" s="34"/>
      <c r="D236" s="33">
        <v>9.088591761E9</v>
      </c>
      <c r="E236" s="34" t="s">
        <v>211</v>
      </c>
      <c r="F236" s="34" t="s">
        <v>66</v>
      </c>
      <c r="G236" s="67" t="s">
        <v>1217</v>
      </c>
      <c r="H236" s="9" t="s">
        <v>1218</v>
      </c>
      <c r="I236" s="10" t="s">
        <v>14</v>
      </c>
      <c r="J236" s="43"/>
      <c r="K236" s="63"/>
      <c r="L236" s="43"/>
    </row>
    <row r="237" ht="22.5" customHeight="1">
      <c r="A237" s="9">
        <v>235.0</v>
      </c>
      <c r="B237" s="34" t="s">
        <v>1343</v>
      </c>
      <c r="C237" s="34"/>
      <c r="D237" s="33">
        <v>9.123056123E9</v>
      </c>
      <c r="E237" s="34" t="s">
        <v>211</v>
      </c>
      <c r="F237" s="34" t="s">
        <v>66</v>
      </c>
      <c r="G237" s="67" t="s">
        <v>1217</v>
      </c>
      <c r="H237" s="9" t="s">
        <v>1218</v>
      </c>
      <c r="I237" s="10" t="s">
        <v>14</v>
      </c>
      <c r="J237" s="43"/>
      <c r="K237" s="63"/>
      <c r="L237" s="43"/>
    </row>
    <row r="238" ht="22.5" customHeight="1">
      <c r="A238" s="9">
        <v>236.0</v>
      </c>
      <c r="B238" s="34" t="s">
        <v>1344</v>
      </c>
      <c r="C238" s="34"/>
      <c r="D238" s="33">
        <v>8.348803123E9</v>
      </c>
      <c r="E238" s="34" t="s">
        <v>211</v>
      </c>
      <c r="F238" s="34" t="s">
        <v>66</v>
      </c>
      <c r="G238" s="67" t="s">
        <v>1217</v>
      </c>
      <c r="H238" s="9" t="s">
        <v>1218</v>
      </c>
      <c r="I238" s="10" t="s">
        <v>14</v>
      </c>
      <c r="J238" s="43"/>
      <c r="K238" s="63"/>
      <c r="L238" s="43"/>
    </row>
    <row r="239" ht="22.5" customHeight="1">
      <c r="A239" s="9">
        <v>237.0</v>
      </c>
      <c r="B239" s="34" t="s">
        <v>1345</v>
      </c>
      <c r="C239" s="34"/>
      <c r="D239" s="33">
        <v>8.69793266E9</v>
      </c>
      <c r="E239" s="34" t="s">
        <v>211</v>
      </c>
      <c r="F239" s="34" t="s">
        <v>66</v>
      </c>
      <c r="G239" s="67" t="s">
        <v>1217</v>
      </c>
      <c r="H239" s="9" t="s">
        <v>1218</v>
      </c>
      <c r="I239" s="10" t="s">
        <v>14</v>
      </c>
      <c r="J239" s="43"/>
      <c r="K239" s="63"/>
      <c r="L239" s="43"/>
    </row>
    <row r="240" ht="22.5" customHeight="1">
      <c r="A240" s="9">
        <v>238.0</v>
      </c>
      <c r="B240" s="34" t="s">
        <v>1346</v>
      </c>
      <c r="C240" s="34"/>
      <c r="D240" s="33">
        <v>9.433182953E9</v>
      </c>
      <c r="E240" s="34" t="s">
        <v>211</v>
      </c>
      <c r="F240" s="34" t="s">
        <v>66</v>
      </c>
      <c r="G240" s="67" t="s">
        <v>1217</v>
      </c>
      <c r="H240" s="9" t="s">
        <v>1218</v>
      </c>
      <c r="I240" s="10" t="s">
        <v>14</v>
      </c>
      <c r="J240" s="43"/>
      <c r="K240" s="63"/>
      <c r="L240" s="43"/>
    </row>
    <row r="241" ht="22.5" customHeight="1">
      <c r="A241" s="9">
        <v>239.0</v>
      </c>
      <c r="B241" s="34" t="s">
        <v>1347</v>
      </c>
      <c r="C241" s="34"/>
      <c r="D241" s="33">
        <v>9.735827285E9</v>
      </c>
      <c r="E241" s="34" t="s">
        <v>211</v>
      </c>
      <c r="F241" s="34" t="s">
        <v>66</v>
      </c>
      <c r="G241" s="67" t="s">
        <v>1217</v>
      </c>
      <c r="H241" s="9" t="s">
        <v>1218</v>
      </c>
      <c r="I241" s="10" t="s">
        <v>14</v>
      </c>
      <c r="J241" s="43"/>
      <c r="K241" s="63"/>
      <c r="L241" s="43"/>
    </row>
    <row r="242" ht="22.5" customHeight="1">
      <c r="A242" s="9">
        <v>240.0</v>
      </c>
      <c r="B242" s="34" t="s">
        <v>1348</v>
      </c>
      <c r="C242" s="34"/>
      <c r="D242" s="33">
        <v>9.734778966E9</v>
      </c>
      <c r="E242" s="34" t="s">
        <v>211</v>
      </c>
      <c r="F242" s="34" t="s">
        <v>66</v>
      </c>
      <c r="G242" s="67" t="s">
        <v>1217</v>
      </c>
      <c r="H242" s="9" t="s">
        <v>1218</v>
      </c>
      <c r="I242" s="10" t="s">
        <v>14</v>
      </c>
      <c r="J242" s="43"/>
      <c r="K242" s="63"/>
      <c r="L242" s="43"/>
    </row>
    <row r="243" ht="22.5" customHeight="1">
      <c r="A243" s="9">
        <v>241.0</v>
      </c>
      <c r="B243" s="34" t="s">
        <v>1349</v>
      </c>
      <c r="C243" s="34"/>
      <c r="D243" s="33">
        <v>9.831364374E9</v>
      </c>
      <c r="E243" s="34" t="s">
        <v>211</v>
      </c>
      <c r="F243" s="34" t="s">
        <v>66</v>
      </c>
      <c r="G243" s="67" t="s">
        <v>1217</v>
      </c>
      <c r="H243" s="9" t="s">
        <v>1218</v>
      </c>
      <c r="I243" s="10" t="s">
        <v>161</v>
      </c>
      <c r="J243" s="43"/>
      <c r="K243" s="63"/>
      <c r="L243" s="43"/>
    </row>
    <row r="244" ht="22.5" customHeight="1">
      <c r="A244" s="9">
        <v>242.0</v>
      </c>
      <c r="B244" s="34" t="s">
        <v>1350</v>
      </c>
      <c r="C244" s="34"/>
      <c r="D244" s="33">
        <v>7.595805692E9</v>
      </c>
      <c r="E244" s="34" t="s">
        <v>211</v>
      </c>
      <c r="F244" s="34" t="s">
        <v>66</v>
      </c>
      <c r="G244" s="67" t="s">
        <v>1217</v>
      </c>
      <c r="H244" s="9" t="s">
        <v>1218</v>
      </c>
      <c r="I244" s="10" t="s">
        <v>176</v>
      </c>
      <c r="J244" s="43"/>
      <c r="K244" s="63"/>
      <c r="L244" s="43"/>
    </row>
    <row r="245" ht="22.5" customHeight="1">
      <c r="A245" s="9">
        <v>243.0</v>
      </c>
      <c r="B245" s="34" t="s">
        <v>1351</v>
      </c>
      <c r="C245" s="34"/>
      <c r="D245" s="33">
        <v>9.43436711E9</v>
      </c>
      <c r="E245" s="34" t="s">
        <v>211</v>
      </c>
      <c r="F245" s="34" t="s">
        <v>66</v>
      </c>
      <c r="G245" s="67" t="s">
        <v>1217</v>
      </c>
      <c r="H245" s="9" t="s">
        <v>1218</v>
      </c>
      <c r="I245" s="10" t="s">
        <v>161</v>
      </c>
      <c r="J245" s="43"/>
      <c r="K245" s="63"/>
      <c r="L245" s="43"/>
    </row>
    <row r="246" ht="22.5" customHeight="1">
      <c r="A246" s="9">
        <v>244.0</v>
      </c>
      <c r="B246" s="34" t="s">
        <v>1352</v>
      </c>
      <c r="C246" s="34"/>
      <c r="D246" s="33">
        <v>9.051233756E9</v>
      </c>
      <c r="E246" s="34" t="s">
        <v>211</v>
      </c>
      <c r="F246" s="34" t="s">
        <v>66</v>
      </c>
      <c r="G246" s="67" t="s">
        <v>1217</v>
      </c>
      <c r="H246" s="9" t="s">
        <v>1218</v>
      </c>
      <c r="I246" s="10" t="s">
        <v>161</v>
      </c>
      <c r="J246" s="43"/>
      <c r="K246" s="63"/>
      <c r="L246" s="43"/>
    </row>
    <row r="247" ht="22.5" customHeight="1">
      <c r="A247" s="9">
        <v>245.0</v>
      </c>
      <c r="B247" s="34" t="s">
        <v>1353</v>
      </c>
      <c r="C247" s="34"/>
      <c r="D247" s="33">
        <v>9.748235111E9</v>
      </c>
      <c r="E247" s="34" t="s">
        <v>211</v>
      </c>
      <c r="F247" s="34" t="s">
        <v>66</v>
      </c>
      <c r="G247" s="67" t="s">
        <v>1217</v>
      </c>
      <c r="H247" s="9" t="s">
        <v>1218</v>
      </c>
      <c r="I247" s="10" t="s">
        <v>161</v>
      </c>
      <c r="J247" s="43"/>
      <c r="K247" s="63"/>
      <c r="L247" s="43"/>
    </row>
    <row r="248" ht="22.5" customHeight="1">
      <c r="A248" s="9">
        <v>246.0</v>
      </c>
      <c r="B248" s="34" t="s">
        <v>1354</v>
      </c>
      <c r="C248" s="34"/>
      <c r="D248" s="33">
        <v>8.240557845E9</v>
      </c>
      <c r="E248" s="34" t="s">
        <v>211</v>
      </c>
      <c r="F248" s="34" t="s">
        <v>66</v>
      </c>
      <c r="G248" s="67" t="s">
        <v>1217</v>
      </c>
      <c r="H248" s="9" t="s">
        <v>1218</v>
      </c>
      <c r="I248" s="10" t="s">
        <v>14</v>
      </c>
      <c r="J248" s="43"/>
      <c r="K248" s="63"/>
      <c r="L248" s="43"/>
    </row>
    <row r="249" ht="22.5" customHeight="1">
      <c r="A249" s="9">
        <v>247.0</v>
      </c>
      <c r="B249" s="34" t="s">
        <v>1355</v>
      </c>
      <c r="C249" s="34"/>
      <c r="D249" s="33">
        <v>8.910913601E9</v>
      </c>
      <c r="E249" s="34" t="s">
        <v>211</v>
      </c>
      <c r="F249" s="34" t="s">
        <v>66</v>
      </c>
      <c r="G249" s="67" t="s">
        <v>1217</v>
      </c>
      <c r="H249" s="9" t="s">
        <v>1218</v>
      </c>
      <c r="I249" s="10" t="s">
        <v>161</v>
      </c>
      <c r="J249" s="43"/>
      <c r="K249" s="63"/>
      <c r="L249" s="43"/>
    </row>
    <row r="250" ht="22.5" customHeight="1">
      <c r="A250" s="9">
        <v>248.0</v>
      </c>
      <c r="B250" s="34" t="s">
        <v>1356</v>
      </c>
      <c r="C250" s="34"/>
      <c r="D250" s="33">
        <v>9.163428713E9</v>
      </c>
      <c r="E250" s="34" t="s">
        <v>211</v>
      </c>
      <c r="F250" s="34" t="s">
        <v>66</v>
      </c>
      <c r="G250" s="67" t="s">
        <v>1217</v>
      </c>
      <c r="H250" s="9" t="s">
        <v>1218</v>
      </c>
      <c r="I250" s="10" t="s">
        <v>161</v>
      </c>
      <c r="J250" s="43"/>
      <c r="K250" s="63"/>
      <c r="L250" s="43"/>
    </row>
    <row r="251" ht="22.5" customHeight="1">
      <c r="A251" s="9">
        <v>249.0</v>
      </c>
      <c r="B251" s="34" t="s">
        <v>1357</v>
      </c>
      <c r="C251" s="34"/>
      <c r="D251" s="33">
        <v>9.587762573E9</v>
      </c>
      <c r="E251" s="34" t="s">
        <v>211</v>
      </c>
      <c r="F251" s="34" t="s">
        <v>66</v>
      </c>
      <c r="G251" s="67" t="s">
        <v>1217</v>
      </c>
      <c r="H251" s="9" t="s">
        <v>1218</v>
      </c>
      <c r="I251" s="10" t="s">
        <v>161</v>
      </c>
      <c r="J251" s="43"/>
      <c r="K251" s="63"/>
      <c r="L251" s="43"/>
    </row>
    <row r="252" ht="22.5" customHeight="1">
      <c r="A252" s="9">
        <v>250.0</v>
      </c>
      <c r="B252" s="34" t="s">
        <v>1358</v>
      </c>
      <c r="C252" s="34"/>
      <c r="D252" s="33">
        <v>9.883187671E9</v>
      </c>
      <c r="E252" s="34" t="s">
        <v>211</v>
      </c>
      <c r="F252" s="34" t="s">
        <v>66</v>
      </c>
      <c r="G252" s="67" t="s">
        <v>1217</v>
      </c>
      <c r="H252" s="9" t="s">
        <v>1218</v>
      </c>
      <c r="I252" s="10" t="s">
        <v>176</v>
      </c>
      <c r="J252" s="43"/>
      <c r="K252" s="63"/>
      <c r="L252" s="43"/>
    </row>
    <row r="253" ht="22.5" customHeight="1">
      <c r="A253" s="9">
        <v>251.0</v>
      </c>
      <c r="B253" s="34" t="s">
        <v>1359</v>
      </c>
      <c r="C253" s="34"/>
      <c r="D253" s="33">
        <v>8.906213186E9</v>
      </c>
      <c r="E253" s="34" t="s">
        <v>211</v>
      </c>
      <c r="F253" s="34" t="s">
        <v>66</v>
      </c>
      <c r="G253" s="67" t="s">
        <v>1217</v>
      </c>
      <c r="H253" s="9" t="s">
        <v>1218</v>
      </c>
      <c r="I253" s="10" t="s">
        <v>14</v>
      </c>
      <c r="J253" s="43"/>
      <c r="K253" s="63"/>
      <c r="L253" s="43"/>
    </row>
    <row r="254" ht="22.5" customHeight="1">
      <c r="A254" s="9">
        <v>252.0</v>
      </c>
      <c r="B254" s="34" t="s">
        <v>1360</v>
      </c>
      <c r="C254" s="34"/>
      <c r="D254" s="33">
        <v>7.003100165E9</v>
      </c>
      <c r="E254" s="34" t="s">
        <v>211</v>
      </c>
      <c r="F254" s="34" t="s">
        <v>66</v>
      </c>
      <c r="G254" s="67" t="s">
        <v>1217</v>
      </c>
      <c r="H254" s="9" t="s">
        <v>1218</v>
      </c>
      <c r="I254" s="10" t="s">
        <v>14</v>
      </c>
      <c r="J254" s="43"/>
      <c r="K254" s="63"/>
      <c r="L254" s="43"/>
    </row>
    <row r="255" ht="22.5" customHeight="1">
      <c r="A255" s="9">
        <v>253.0</v>
      </c>
      <c r="B255" s="34" t="s">
        <v>1361</v>
      </c>
      <c r="C255" s="34"/>
      <c r="D255" s="33">
        <v>8.617256364E9</v>
      </c>
      <c r="E255" s="34" t="s">
        <v>211</v>
      </c>
      <c r="F255" s="34" t="s">
        <v>66</v>
      </c>
      <c r="G255" s="67" t="s">
        <v>1217</v>
      </c>
      <c r="H255" s="9" t="s">
        <v>1218</v>
      </c>
      <c r="I255" s="10" t="s">
        <v>176</v>
      </c>
      <c r="J255" s="43"/>
      <c r="K255" s="63"/>
      <c r="L255" s="43"/>
    </row>
    <row r="256" ht="22.5" customHeight="1">
      <c r="A256" s="9">
        <v>254.0</v>
      </c>
      <c r="B256" s="34" t="s">
        <v>1362</v>
      </c>
      <c r="C256" s="34"/>
      <c r="D256" s="33">
        <v>9.064573758E9</v>
      </c>
      <c r="E256" s="34" t="s">
        <v>211</v>
      </c>
      <c r="F256" s="34" t="s">
        <v>66</v>
      </c>
      <c r="G256" s="67" t="s">
        <v>1217</v>
      </c>
      <c r="H256" s="9" t="s">
        <v>1218</v>
      </c>
      <c r="I256" s="10" t="s">
        <v>161</v>
      </c>
      <c r="J256" s="43"/>
      <c r="K256" s="63"/>
      <c r="L256" s="43"/>
    </row>
    <row r="257" ht="22.5" customHeight="1">
      <c r="A257" s="9">
        <v>255.0</v>
      </c>
      <c r="B257" s="34" t="s">
        <v>1363</v>
      </c>
      <c r="C257" s="34"/>
      <c r="D257" s="33">
        <v>9.007067863E9</v>
      </c>
      <c r="E257" s="34" t="s">
        <v>211</v>
      </c>
      <c r="F257" s="34" t="s">
        <v>66</v>
      </c>
      <c r="G257" s="67" t="s">
        <v>1217</v>
      </c>
      <c r="H257" s="9" t="s">
        <v>1218</v>
      </c>
      <c r="I257" s="10" t="s">
        <v>161</v>
      </c>
      <c r="J257" s="43"/>
      <c r="K257" s="63"/>
      <c r="L257" s="43"/>
    </row>
    <row r="258" ht="22.5" customHeight="1">
      <c r="A258" s="9">
        <v>256.0</v>
      </c>
      <c r="B258" s="34" t="s">
        <v>1364</v>
      </c>
      <c r="C258" s="34"/>
      <c r="D258" s="33">
        <v>7.439501103E9</v>
      </c>
      <c r="E258" s="34" t="s">
        <v>211</v>
      </c>
      <c r="F258" s="34" t="s">
        <v>66</v>
      </c>
      <c r="G258" s="67" t="s">
        <v>1217</v>
      </c>
      <c r="H258" s="9" t="s">
        <v>1218</v>
      </c>
      <c r="I258" s="10" t="s">
        <v>161</v>
      </c>
      <c r="J258" s="43"/>
      <c r="K258" s="63"/>
      <c r="L258" s="43"/>
    </row>
    <row r="259" ht="22.5" customHeight="1">
      <c r="A259" s="9">
        <v>257.0</v>
      </c>
      <c r="B259" s="34" t="s">
        <v>1365</v>
      </c>
      <c r="C259" s="34"/>
      <c r="D259" s="33">
        <v>9.641574136E9</v>
      </c>
      <c r="E259" s="34" t="s">
        <v>211</v>
      </c>
      <c r="F259" s="34" t="s">
        <v>66</v>
      </c>
      <c r="G259" s="67" t="s">
        <v>1217</v>
      </c>
      <c r="H259" s="9" t="s">
        <v>1218</v>
      </c>
      <c r="I259" s="10" t="s">
        <v>14</v>
      </c>
      <c r="J259" s="43"/>
      <c r="K259" s="63"/>
      <c r="L259" s="43"/>
    </row>
    <row r="260" ht="22.5" customHeight="1">
      <c r="A260" s="9">
        <v>258.0</v>
      </c>
      <c r="B260" s="34" t="s">
        <v>1366</v>
      </c>
      <c r="C260" s="34"/>
      <c r="D260" s="33">
        <v>9.74988776E9</v>
      </c>
      <c r="E260" s="34" t="s">
        <v>211</v>
      </c>
      <c r="F260" s="34" t="s">
        <v>66</v>
      </c>
      <c r="G260" s="67" t="s">
        <v>1217</v>
      </c>
      <c r="H260" s="9" t="s">
        <v>1218</v>
      </c>
      <c r="I260" s="10" t="s">
        <v>14</v>
      </c>
      <c r="J260" s="43"/>
      <c r="K260" s="63"/>
      <c r="L260" s="43"/>
    </row>
    <row r="261" ht="22.5" customHeight="1">
      <c r="A261" s="9">
        <v>259.0</v>
      </c>
      <c r="B261" s="34" t="s">
        <v>1367</v>
      </c>
      <c r="C261" s="34"/>
      <c r="D261" s="33">
        <v>9.564587858E9</v>
      </c>
      <c r="E261" s="34" t="s">
        <v>211</v>
      </c>
      <c r="F261" s="34" t="s">
        <v>66</v>
      </c>
      <c r="G261" s="67" t="s">
        <v>1217</v>
      </c>
      <c r="H261" s="9" t="s">
        <v>1218</v>
      </c>
      <c r="I261" s="10" t="s">
        <v>14</v>
      </c>
      <c r="J261" s="43"/>
      <c r="K261" s="63"/>
      <c r="L261" s="43"/>
    </row>
    <row r="262" ht="22.5" customHeight="1">
      <c r="A262" s="9">
        <v>260.0</v>
      </c>
      <c r="B262" s="34" t="s">
        <v>1368</v>
      </c>
      <c r="C262" s="34"/>
      <c r="D262" s="33">
        <v>8.670726484E9</v>
      </c>
      <c r="E262" s="34" t="s">
        <v>211</v>
      </c>
      <c r="F262" s="34" t="s">
        <v>66</v>
      </c>
      <c r="G262" s="67" t="s">
        <v>1217</v>
      </c>
      <c r="H262" s="9" t="s">
        <v>1218</v>
      </c>
      <c r="I262" s="10" t="s">
        <v>14</v>
      </c>
      <c r="J262" s="43"/>
      <c r="K262" s="63"/>
      <c r="L262" s="43"/>
    </row>
    <row r="263" ht="22.5" customHeight="1">
      <c r="A263" s="9">
        <v>261.0</v>
      </c>
      <c r="B263" s="34" t="s">
        <v>1369</v>
      </c>
      <c r="C263" s="34"/>
      <c r="D263" s="33">
        <v>8.76885862E9</v>
      </c>
      <c r="E263" s="34" t="s">
        <v>211</v>
      </c>
      <c r="F263" s="34" t="s">
        <v>66</v>
      </c>
      <c r="G263" s="67" t="s">
        <v>1217</v>
      </c>
      <c r="H263" s="9" t="s">
        <v>1218</v>
      </c>
      <c r="I263" s="10" t="s">
        <v>176</v>
      </c>
      <c r="J263" s="43"/>
      <c r="K263" s="63"/>
      <c r="L263" s="43"/>
    </row>
    <row r="264" ht="22.5" customHeight="1">
      <c r="A264" s="9">
        <v>262.0</v>
      </c>
      <c r="B264" s="34" t="s">
        <v>1370</v>
      </c>
      <c r="C264" s="34"/>
      <c r="D264" s="33">
        <v>9.380963853E9</v>
      </c>
      <c r="E264" s="34" t="s">
        <v>211</v>
      </c>
      <c r="F264" s="34" t="s">
        <v>66</v>
      </c>
      <c r="G264" s="67" t="s">
        <v>1217</v>
      </c>
      <c r="H264" s="9" t="s">
        <v>1218</v>
      </c>
      <c r="I264" s="10" t="s">
        <v>14</v>
      </c>
      <c r="J264" s="43"/>
      <c r="K264" s="63"/>
      <c r="L264" s="43"/>
    </row>
    <row r="265" ht="22.5" customHeight="1">
      <c r="A265" s="9">
        <v>263.0</v>
      </c>
      <c r="B265" s="34" t="s">
        <v>1371</v>
      </c>
      <c r="C265" s="34"/>
      <c r="D265" s="33">
        <v>9.331844806E9</v>
      </c>
      <c r="E265" s="34" t="s">
        <v>211</v>
      </c>
      <c r="F265" s="34" t="s">
        <v>66</v>
      </c>
      <c r="G265" s="67" t="s">
        <v>1217</v>
      </c>
      <c r="H265" s="9" t="s">
        <v>1218</v>
      </c>
      <c r="I265" s="10" t="s">
        <v>14</v>
      </c>
      <c r="J265" s="43"/>
      <c r="K265" s="63"/>
      <c r="L265" s="43"/>
    </row>
    <row r="266" ht="22.5" customHeight="1">
      <c r="A266" s="9">
        <v>264.0</v>
      </c>
      <c r="B266" s="34" t="s">
        <v>1372</v>
      </c>
      <c r="C266" s="34"/>
      <c r="D266" s="33">
        <v>7.003443696E9</v>
      </c>
      <c r="E266" s="34" t="s">
        <v>211</v>
      </c>
      <c r="F266" s="34" t="s">
        <v>66</v>
      </c>
      <c r="G266" s="67" t="s">
        <v>1217</v>
      </c>
      <c r="H266" s="9" t="s">
        <v>1218</v>
      </c>
      <c r="I266" s="10" t="s">
        <v>14</v>
      </c>
      <c r="J266" s="43"/>
      <c r="K266" s="63"/>
      <c r="L266" s="43"/>
    </row>
    <row r="267" ht="22.5" customHeight="1">
      <c r="A267" s="9">
        <v>265.0</v>
      </c>
      <c r="B267" s="34" t="s">
        <v>1373</v>
      </c>
      <c r="C267" s="34"/>
      <c r="D267" s="33">
        <v>8.697244814E9</v>
      </c>
      <c r="E267" s="34" t="s">
        <v>211</v>
      </c>
      <c r="F267" s="34" t="s">
        <v>66</v>
      </c>
      <c r="G267" s="67" t="s">
        <v>1217</v>
      </c>
      <c r="H267" s="9" t="s">
        <v>1218</v>
      </c>
      <c r="I267" s="10" t="s">
        <v>161</v>
      </c>
      <c r="J267" s="43"/>
      <c r="K267" s="63"/>
      <c r="L267" s="43"/>
    </row>
    <row r="268" ht="22.5" customHeight="1">
      <c r="A268" s="9">
        <v>266.0</v>
      </c>
      <c r="B268" s="34" t="s">
        <v>1374</v>
      </c>
      <c r="C268" s="34"/>
      <c r="D268" s="33">
        <v>9.330831556E9</v>
      </c>
      <c r="E268" s="34" t="s">
        <v>211</v>
      </c>
      <c r="F268" s="34" t="s">
        <v>66</v>
      </c>
      <c r="G268" s="67" t="s">
        <v>1217</v>
      </c>
      <c r="H268" s="9" t="s">
        <v>1218</v>
      </c>
      <c r="I268" s="10" t="s">
        <v>176</v>
      </c>
      <c r="J268" s="43"/>
      <c r="K268" s="63"/>
      <c r="L268" s="43"/>
    </row>
    <row r="269" ht="22.5" customHeight="1">
      <c r="A269" s="9">
        <v>267.0</v>
      </c>
      <c r="B269" s="34" t="s">
        <v>1375</v>
      </c>
      <c r="C269" s="34"/>
      <c r="D269" s="33">
        <v>8.296066869E9</v>
      </c>
      <c r="E269" s="34" t="s">
        <v>211</v>
      </c>
      <c r="F269" s="34" t="s">
        <v>66</v>
      </c>
      <c r="G269" s="67" t="s">
        <v>1217</v>
      </c>
      <c r="H269" s="9" t="s">
        <v>1218</v>
      </c>
      <c r="I269" s="10" t="s">
        <v>14</v>
      </c>
      <c r="J269" s="43"/>
      <c r="K269" s="63"/>
      <c r="L269" s="43"/>
    </row>
    <row r="270" ht="22.5" customHeight="1">
      <c r="A270" s="9">
        <v>268.0</v>
      </c>
      <c r="B270" s="34" t="s">
        <v>1376</v>
      </c>
      <c r="C270" s="34"/>
      <c r="D270" s="33">
        <v>9.674043057E9</v>
      </c>
      <c r="E270" s="34" t="s">
        <v>211</v>
      </c>
      <c r="F270" s="34" t="s">
        <v>66</v>
      </c>
      <c r="G270" s="67" t="s">
        <v>1217</v>
      </c>
      <c r="H270" s="9" t="s">
        <v>1218</v>
      </c>
      <c r="I270" s="10" t="s">
        <v>14</v>
      </c>
      <c r="J270" s="43"/>
      <c r="K270" s="63"/>
      <c r="L270" s="43"/>
    </row>
    <row r="271" ht="22.5" customHeight="1">
      <c r="A271" s="9">
        <v>269.0</v>
      </c>
      <c r="B271" s="34" t="s">
        <v>1377</v>
      </c>
      <c r="C271" s="34"/>
      <c r="D271" s="33">
        <v>8.415094782E9</v>
      </c>
      <c r="E271" s="34" t="s">
        <v>211</v>
      </c>
      <c r="F271" s="34" t="s">
        <v>66</v>
      </c>
      <c r="G271" s="67" t="s">
        <v>1217</v>
      </c>
      <c r="H271" s="9" t="s">
        <v>1218</v>
      </c>
      <c r="I271" s="10" t="s">
        <v>14</v>
      </c>
      <c r="J271" s="43"/>
      <c r="K271" s="63"/>
      <c r="L271" s="43"/>
    </row>
    <row r="272" ht="22.5" customHeight="1">
      <c r="A272" s="9">
        <v>270.0</v>
      </c>
      <c r="B272" s="34" t="s">
        <v>1378</v>
      </c>
      <c r="C272" s="34"/>
      <c r="D272" s="33">
        <v>8.86745106E9</v>
      </c>
      <c r="E272" s="34" t="s">
        <v>211</v>
      </c>
      <c r="F272" s="34" t="s">
        <v>66</v>
      </c>
      <c r="G272" s="67" t="s">
        <v>1217</v>
      </c>
      <c r="H272" s="9" t="s">
        <v>1218</v>
      </c>
      <c r="I272" s="10" t="s">
        <v>14</v>
      </c>
      <c r="J272" s="43"/>
      <c r="K272" s="63"/>
      <c r="L272" s="43"/>
    </row>
    <row r="273" ht="22.5" customHeight="1">
      <c r="A273" s="9">
        <v>271.0</v>
      </c>
      <c r="B273" s="34" t="s">
        <v>1379</v>
      </c>
      <c r="C273" s="34"/>
      <c r="D273" s="33">
        <v>9.66119728E9</v>
      </c>
      <c r="E273" s="34" t="s">
        <v>211</v>
      </c>
      <c r="F273" s="34" t="s">
        <v>66</v>
      </c>
      <c r="G273" s="67" t="s">
        <v>1217</v>
      </c>
      <c r="H273" s="9" t="s">
        <v>1218</v>
      </c>
      <c r="I273" s="10" t="s">
        <v>14</v>
      </c>
      <c r="J273" s="43"/>
      <c r="K273" s="63"/>
      <c r="L273" s="43"/>
    </row>
    <row r="274" ht="22.5" customHeight="1">
      <c r="A274" s="9">
        <v>272.0</v>
      </c>
      <c r="B274" s="34" t="s">
        <v>1380</v>
      </c>
      <c r="C274" s="34"/>
      <c r="D274" s="33">
        <v>8.617724812E9</v>
      </c>
      <c r="E274" s="34" t="s">
        <v>211</v>
      </c>
      <c r="F274" s="34" t="s">
        <v>66</v>
      </c>
      <c r="G274" s="67" t="s">
        <v>1217</v>
      </c>
      <c r="H274" s="9" t="s">
        <v>1218</v>
      </c>
      <c r="I274" s="10" t="s">
        <v>14</v>
      </c>
      <c r="J274" s="43"/>
      <c r="K274" s="63"/>
      <c r="L274" s="43"/>
    </row>
    <row r="275" ht="22.5" customHeight="1">
      <c r="A275" s="9">
        <v>273.0</v>
      </c>
      <c r="B275" s="34" t="s">
        <v>1381</v>
      </c>
      <c r="C275" s="34"/>
      <c r="D275" s="33">
        <v>7.063411562E9</v>
      </c>
      <c r="E275" s="34" t="s">
        <v>211</v>
      </c>
      <c r="F275" s="34" t="s">
        <v>66</v>
      </c>
      <c r="G275" s="67" t="s">
        <v>1217</v>
      </c>
      <c r="H275" s="9" t="s">
        <v>1218</v>
      </c>
      <c r="I275" s="10" t="s">
        <v>14</v>
      </c>
      <c r="J275" s="43"/>
      <c r="K275" s="63"/>
      <c r="L275" s="43"/>
    </row>
    <row r="276" ht="22.5" customHeight="1">
      <c r="A276" s="9">
        <v>274.0</v>
      </c>
      <c r="B276" s="34" t="s">
        <v>1382</v>
      </c>
      <c r="C276" s="34"/>
      <c r="D276" s="33">
        <v>7.477504318E9</v>
      </c>
      <c r="E276" s="34" t="s">
        <v>211</v>
      </c>
      <c r="F276" s="34" t="s">
        <v>66</v>
      </c>
      <c r="G276" s="67" t="s">
        <v>1217</v>
      </c>
      <c r="H276" s="9" t="s">
        <v>1218</v>
      </c>
      <c r="I276" s="10" t="s">
        <v>14</v>
      </c>
      <c r="J276" s="43"/>
      <c r="K276" s="63"/>
      <c r="L276" s="43"/>
    </row>
    <row r="277" ht="22.5" customHeight="1">
      <c r="A277" s="9">
        <v>275.0</v>
      </c>
      <c r="B277" s="34" t="s">
        <v>1383</v>
      </c>
      <c r="C277" s="34"/>
      <c r="D277" s="33">
        <v>9.038810566E9</v>
      </c>
      <c r="E277" s="34" t="s">
        <v>211</v>
      </c>
      <c r="F277" s="34" t="s">
        <v>66</v>
      </c>
      <c r="G277" s="67" t="s">
        <v>1217</v>
      </c>
      <c r="H277" s="9" t="s">
        <v>1218</v>
      </c>
      <c r="I277" s="10" t="s">
        <v>14</v>
      </c>
      <c r="J277" s="43"/>
      <c r="K277" s="63"/>
      <c r="L277" s="43"/>
    </row>
    <row r="278" ht="22.5" customHeight="1">
      <c r="A278" s="9">
        <v>276.0</v>
      </c>
      <c r="B278" s="34" t="s">
        <v>1384</v>
      </c>
      <c r="C278" s="34"/>
      <c r="D278" s="33">
        <v>9.123889043E9</v>
      </c>
      <c r="E278" s="34" t="s">
        <v>211</v>
      </c>
      <c r="F278" s="34" t="s">
        <v>66</v>
      </c>
      <c r="G278" s="67" t="s">
        <v>1217</v>
      </c>
      <c r="H278" s="9" t="s">
        <v>1218</v>
      </c>
      <c r="I278" s="10" t="s">
        <v>14</v>
      </c>
      <c r="J278" s="43"/>
      <c r="K278" s="63"/>
      <c r="L278" s="43"/>
    </row>
    <row r="279" ht="22.5" customHeight="1">
      <c r="A279" s="9">
        <v>277.0</v>
      </c>
      <c r="B279" s="34" t="s">
        <v>1385</v>
      </c>
      <c r="C279" s="34"/>
      <c r="D279" s="33">
        <v>7.384910063E9</v>
      </c>
      <c r="E279" s="34" t="s">
        <v>211</v>
      </c>
      <c r="F279" s="34" t="s">
        <v>66</v>
      </c>
      <c r="G279" s="67" t="s">
        <v>1217</v>
      </c>
      <c r="H279" s="9" t="s">
        <v>1218</v>
      </c>
      <c r="I279" s="10" t="s">
        <v>14</v>
      </c>
      <c r="J279" s="43"/>
      <c r="K279" s="63"/>
      <c r="L279" s="43"/>
    </row>
    <row r="280" ht="22.5" customHeight="1">
      <c r="A280" s="9">
        <v>278.0</v>
      </c>
      <c r="B280" s="34" t="s">
        <v>1386</v>
      </c>
      <c r="C280" s="34"/>
      <c r="D280" s="33">
        <v>8.276965599E9</v>
      </c>
      <c r="E280" s="34" t="s">
        <v>211</v>
      </c>
      <c r="F280" s="34" t="s">
        <v>66</v>
      </c>
      <c r="G280" s="67" t="s">
        <v>1217</v>
      </c>
      <c r="H280" s="9" t="s">
        <v>1218</v>
      </c>
      <c r="I280" s="10" t="s">
        <v>161</v>
      </c>
      <c r="J280" s="43"/>
      <c r="K280" s="63"/>
      <c r="L280" s="43"/>
    </row>
    <row r="281" ht="22.5" customHeight="1">
      <c r="A281" s="9">
        <v>279.0</v>
      </c>
      <c r="B281" s="34" t="s">
        <v>1387</v>
      </c>
      <c r="C281" s="34"/>
      <c r="D281" s="33">
        <v>7.029033053E9</v>
      </c>
      <c r="E281" s="34" t="s">
        <v>211</v>
      </c>
      <c r="F281" s="34" t="s">
        <v>66</v>
      </c>
      <c r="G281" s="67" t="s">
        <v>1217</v>
      </c>
      <c r="H281" s="9" t="s">
        <v>1218</v>
      </c>
      <c r="I281" s="10" t="s">
        <v>161</v>
      </c>
      <c r="J281" s="43"/>
      <c r="K281" s="63"/>
      <c r="L281" s="43"/>
    </row>
    <row r="282" ht="22.5" customHeight="1">
      <c r="A282" s="9">
        <v>280.0</v>
      </c>
      <c r="B282" s="34" t="s">
        <v>1388</v>
      </c>
      <c r="C282" s="34"/>
      <c r="D282" s="33">
        <v>9.33923741E9</v>
      </c>
      <c r="E282" s="34" t="s">
        <v>211</v>
      </c>
      <c r="F282" s="34" t="s">
        <v>66</v>
      </c>
      <c r="G282" s="67" t="s">
        <v>1217</v>
      </c>
      <c r="H282" s="9" t="s">
        <v>1218</v>
      </c>
      <c r="I282" s="10" t="s">
        <v>161</v>
      </c>
      <c r="J282" s="43"/>
      <c r="K282" s="63"/>
      <c r="L282" s="43"/>
    </row>
    <row r="283" ht="22.5" customHeight="1">
      <c r="A283" s="9">
        <v>281.0</v>
      </c>
      <c r="B283" s="34" t="s">
        <v>1389</v>
      </c>
      <c r="C283" s="34"/>
      <c r="D283" s="33">
        <v>9.87538372E9</v>
      </c>
      <c r="E283" s="34" t="s">
        <v>211</v>
      </c>
      <c r="F283" s="34" t="s">
        <v>66</v>
      </c>
      <c r="G283" s="67" t="s">
        <v>1217</v>
      </c>
      <c r="H283" s="9" t="s">
        <v>1218</v>
      </c>
      <c r="I283" s="10" t="s">
        <v>176</v>
      </c>
      <c r="J283" s="43"/>
      <c r="K283" s="63"/>
      <c r="L283" s="43"/>
    </row>
    <row r="284" ht="22.5" customHeight="1">
      <c r="A284" s="9">
        <v>282.0</v>
      </c>
      <c r="B284" s="34" t="s">
        <v>1390</v>
      </c>
      <c r="C284" s="34"/>
      <c r="D284" s="33">
        <v>8.69727994E9</v>
      </c>
      <c r="E284" s="34" t="s">
        <v>211</v>
      </c>
      <c r="F284" s="34" t="s">
        <v>66</v>
      </c>
      <c r="G284" s="67" t="s">
        <v>1217</v>
      </c>
      <c r="H284" s="9" t="s">
        <v>1218</v>
      </c>
      <c r="I284" s="10" t="s">
        <v>161</v>
      </c>
      <c r="J284" s="43"/>
      <c r="K284" s="63"/>
      <c r="L284" s="43"/>
    </row>
    <row r="285" ht="22.5" customHeight="1">
      <c r="A285" s="9">
        <v>283.0</v>
      </c>
      <c r="B285" s="34" t="s">
        <v>1391</v>
      </c>
      <c r="C285" s="34"/>
      <c r="D285" s="33">
        <v>7.001565764E9</v>
      </c>
      <c r="E285" s="34" t="s">
        <v>211</v>
      </c>
      <c r="F285" s="34" t="s">
        <v>66</v>
      </c>
      <c r="G285" s="67" t="s">
        <v>1217</v>
      </c>
      <c r="H285" s="9" t="s">
        <v>1218</v>
      </c>
      <c r="I285" s="10" t="s">
        <v>14</v>
      </c>
      <c r="J285" s="43"/>
      <c r="K285" s="63"/>
      <c r="L285" s="43"/>
    </row>
    <row r="286" ht="22.5" customHeight="1">
      <c r="A286" s="9">
        <v>284.0</v>
      </c>
      <c r="B286" s="34" t="s">
        <v>1392</v>
      </c>
      <c r="C286" s="34"/>
      <c r="D286" s="33">
        <v>9.434205842E9</v>
      </c>
      <c r="E286" s="34" t="s">
        <v>211</v>
      </c>
      <c r="F286" s="34" t="s">
        <v>66</v>
      </c>
      <c r="G286" s="67" t="s">
        <v>1217</v>
      </c>
      <c r="H286" s="9" t="s">
        <v>1218</v>
      </c>
      <c r="I286" s="10" t="s">
        <v>14</v>
      </c>
      <c r="J286" s="43"/>
      <c r="K286" s="63"/>
      <c r="L286" s="43"/>
    </row>
    <row r="287" ht="22.5" customHeight="1">
      <c r="A287" s="9">
        <v>285.0</v>
      </c>
      <c r="B287" s="34" t="s">
        <v>1393</v>
      </c>
      <c r="C287" s="34"/>
      <c r="D287" s="33">
        <v>9.732817571E9</v>
      </c>
      <c r="E287" s="34" t="s">
        <v>211</v>
      </c>
      <c r="F287" s="34" t="s">
        <v>66</v>
      </c>
      <c r="G287" s="67" t="s">
        <v>1217</v>
      </c>
      <c r="H287" s="9" t="s">
        <v>1218</v>
      </c>
      <c r="I287" s="10" t="s">
        <v>14</v>
      </c>
      <c r="J287" s="43"/>
      <c r="K287" s="63"/>
      <c r="L287" s="43"/>
    </row>
    <row r="288" ht="22.5" customHeight="1">
      <c r="A288" s="9">
        <v>286.0</v>
      </c>
      <c r="B288" s="34" t="s">
        <v>1394</v>
      </c>
      <c r="C288" s="34"/>
      <c r="D288" s="33">
        <v>8.617880578E9</v>
      </c>
      <c r="E288" s="34" t="s">
        <v>211</v>
      </c>
      <c r="F288" s="34" t="s">
        <v>66</v>
      </c>
      <c r="G288" s="67" t="s">
        <v>1217</v>
      </c>
      <c r="H288" s="9" t="s">
        <v>1218</v>
      </c>
      <c r="I288" s="10" t="s">
        <v>14</v>
      </c>
      <c r="J288" s="43"/>
      <c r="K288" s="63"/>
      <c r="L288" s="43"/>
    </row>
    <row r="289" ht="22.5" customHeight="1">
      <c r="A289" s="9">
        <v>287.0</v>
      </c>
      <c r="B289" s="34" t="s">
        <v>1395</v>
      </c>
      <c r="C289" s="34"/>
      <c r="D289" s="33">
        <v>9.907556329E9</v>
      </c>
      <c r="E289" s="34" t="s">
        <v>211</v>
      </c>
      <c r="F289" s="34" t="s">
        <v>66</v>
      </c>
      <c r="G289" s="67" t="s">
        <v>1217</v>
      </c>
      <c r="H289" s="9" t="s">
        <v>1218</v>
      </c>
      <c r="I289" s="10" t="s">
        <v>14</v>
      </c>
      <c r="J289" s="43"/>
      <c r="K289" s="63"/>
      <c r="L289" s="43"/>
    </row>
    <row r="290" ht="22.5" customHeight="1">
      <c r="A290" s="9">
        <v>288.0</v>
      </c>
      <c r="B290" s="34" t="s">
        <v>1396</v>
      </c>
      <c r="C290" s="34"/>
      <c r="D290" s="33">
        <v>9.832397659E9</v>
      </c>
      <c r="E290" s="34" t="s">
        <v>211</v>
      </c>
      <c r="F290" s="34" t="s">
        <v>66</v>
      </c>
      <c r="G290" s="67" t="s">
        <v>1217</v>
      </c>
      <c r="H290" s="9" t="s">
        <v>1218</v>
      </c>
      <c r="I290" s="10" t="s">
        <v>14</v>
      </c>
      <c r="J290" s="43"/>
      <c r="K290" s="63"/>
      <c r="L290" s="43"/>
    </row>
    <row r="291" ht="22.5" customHeight="1">
      <c r="A291" s="9">
        <v>289.0</v>
      </c>
      <c r="B291" s="34" t="s">
        <v>1397</v>
      </c>
      <c r="C291" s="34"/>
      <c r="D291" s="33">
        <v>9.933104915E9</v>
      </c>
      <c r="E291" s="34" t="s">
        <v>211</v>
      </c>
      <c r="F291" s="34" t="s">
        <v>66</v>
      </c>
      <c r="G291" s="67" t="s">
        <v>1217</v>
      </c>
      <c r="H291" s="9" t="s">
        <v>1218</v>
      </c>
      <c r="I291" s="10" t="s">
        <v>176</v>
      </c>
      <c r="J291" s="43"/>
      <c r="K291" s="63"/>
      <c r="L291" s="43"/>
    </row>
    <row r="292" ht="22.5" customHeight="1">
      <c r="A292" s="9">
        <v>290.0</v>
      </c>
      <c r="B292" s="34" t="s">
        <v>1398</v>
      </c>
      <c r="C292" s="34"/>
      <c r="D292" s="33">
        <v>9.43337282E9</v>
      </c>
      <c r="E292" s="34" t="s">
        <v>211</v>
      </c>
      <c r="F292" s="34" t="s">
        <v>66</v>
      </c>
      <c r="G292" s="67" t="s">
        <v>1217</v>
      </c>
      <c r="H292" s="9" t="s">
        <v>1218</v>
      </c>
      <c r="I292" s="10" t="s">
        <v>14</v>
      </c>
      <c r="J292" s="43"/>
      <c r="K292" s="63"/>
      <c r="L292" s="43"/>
    </row>
    <row r="293" ht="22.5" customHeight="1">
      <c r="A293" s="9">
        <v>291.0</v>
      </c>
      <c r="B293" s="34" t="s">
        <v>1399</v>
      </c>
      <c r="C293" s="34"/>
      <c r="D293" s="33">
        <v>8.53044462E9</v>
      </c>
      <c r="E293" s="34" t="s">
        <v>211</v>
      </c>
      <c r="F293" s="34" t="s">
        <v>66</v>
      </c>
      <c r="G293" s="67" t="s">
        <v>1217</v>
      </c>
      <c r="H293" s="9" t="s">
        <v>1218</v>
      </c>
      <c r="I293" s="10" t="s">
        <v>14</v>
      </c>
      <c r="J293" s="43"/>
      <c r="K293" s="63"/>
      <c r="L293" s="43"/>
    </row>
    <row r="294" ht="22.5" customHeight="1">
      <c r="A294" s="9">
        <v>292.0</v>
      </c>
      <c r="B294" s="34" t="s">
        <v>1400</v>
      </c>
      <c r="C294" s="34"/>
      <c r="D294" s="33">
        <v>7.478377272E9</v>
      </c>
      <c r="E294" s="34" t="s">
        <v>211</v>
      </c>
      <c r="F294" s="34" t="s">
        <v>66</v>
      </c>
      <c r="G294" s="67" t="s">
        <v>1217</v>
      </c>
      <c r="H294" s="9" t="s">
        <v>1218</v>
      </c>
      <c r="I294" s="10" t="s">
        <v>161</v>
      </c>
      <c r="J294" s="43"/>
      <c r="K294" s="63"/>
      <c r="L294" s="43"/>
    </row>
    <row r="295" ht="22.5" customHeight="1">
      <c r="A295" s="9">
        <v>293.0</v>
      </c>
      <c r="B295" s="34" t="s">
        <v>1401</v>
      </c>
      <c r="C295" s="34"/>
      <c r="D295" s="33">
        <v>8.24097987E9</v>
      </c>
      <c r="E295" s="34" t="s">
        <v>211</v>
      </c>
      <c r="F295" s="34" t="s">
        <v>66</v>
      </c>
      <c r="G295" s="67" t="s">
        <v>1217</v>
      </c>
      <c r="H295" s="9" t="s">
        <v>1218</v>
      </c>
      <c r="I295" s="10" t="s">
        <v>161</v>
      </c>
      <c r="J295" s="43"/>
      <c r="K295" s="63"/>
      <c r="L295" s="43"/>
    </row>
    <row r="296" ht="22.5" customHeight="1">
      <c r="A296" s="9">
        <v>294.0</v>
      </c>
      <c r="B296" s="34" t="s">
        <v>1402</v>
      </c>
      <c r="C296" s="34"/>
      <c r="D296" s="33">
        <v>7.076013951E9</v>
      </c>
      <c r="E296" s="34" t="s">
        <v>211</v>
      </c>
      <c r="F296" s="34" t="s">
        <v>66</v>
      </c>
      <c r="G296" s="67" t="s">
        <v>1217</v>
      </c>
      <c r="H296" s="9" t="s">
        <v>1218</v>
      </c>
      <c r="I296" s="10" t="s">
        <v>14</v>
      </c>
      <c r="J296" s="43"/>
      <c r="K296" s="63"/>
      <c r="L296" s="43"/>
    </row>
    <row r="297" ht="22.5" customHeight="1">
      <c r="A297" s="9">
        <v>295.0</v>
      </c>
      <c r="B297" s="34" t="s">
        <v>1403</v>
      </c>
      <c r="C297" s="34"/>
      <c r="D297" s="33">
        <v>9.163012326E9</v>
      </c>
      <c r="E297" s="34" t="s">
        <v>211</v>
      </c>
      <c r="F297" s="34" t="s">
        <v>66</v>
      </c>
      <c r="G297" s="67" t="s">
        <v>1217</v>
      </c>
      <c r="H297" s="9" t="s">
        <v>1218</v>
      </c>
      <c r="I297" s="10" t="s">
        <v>14</v>
      </c>
      <c r="J297" s="43"/>
      <c r="K297" s="63"/>
      <c r="L297" s="43"/>
    </row>
    <row r="298" ht="22.5" customHeight="1">
      <c r="A298" s="9">
        <v>296.0</v>
      </c>
      <c r="B298" s="34" t="s">
        <v>1404</v>
      </c>
      <c r="C298" s="34"/>
      <c r="D298" s="33">
        <v>7.908819476E9</v>
      </c>
      <c r="E298" s="34" t="s">
        <v>211</v>
      </c>
      <c r="F298" s="34" t="s">
        <v>66</v>
      </c>
      <c r="G298" s="67" t="s">
        <v>1217</v>
      </c>
      <c r="H298" s="9" t="s">
        <v>1218</v>
      </c>
      <c r="I298" s="10" t="s">
        <v>14</v>
      </c>
      <c r="J298" s="43"/>
      <c r="K298" s="63"/>
      <c r="L298" s="43"/>
    </row>
    <row r="299" ht="22.5" customHeight="1">
      <c r="A299" s="9">
        <v>297.0</v>
      </c>
      <c r="B299" s="34" t="s">
        <v>1405</v>
      </c>
      <c r="C299" s="34"/>
      <c r="D299" s="33">
        <v>9.883433857E9</v>
      </c>
      <c r="E299" s="34" t="s">
        <v>211</v>
      </c>
      <c r="F299" s="34" t="s">
        <v>66</v>
      </c>
      <c r="G299" s="67" t="s">
        <v>1217</v>
      </c>
      <c r="H299" s="9" t="s">
        <v>1218</v>
      </c>
      <c r="I299" s="10" t="s">
        <v>14</v>
      </c>
      <c r="J299" s="43"/>
      <c r="K299" s="63"/>
      <c r="L299" s="43"/>
    </row>
    <row r="300" ht="22.5" customHeight="1">
      <c r="A300" s="9">
        <v>298.0</v>
      </c>
      <c r="B300" s="34" t="s">
        <v>1406</v>
      </c>
      <c r="C300" s="34"/>
      <c r="D300" s="33">
        <v>7.602114749E9</v>
      </c>
      <c r="E300" s="34" t="s">
        <v>211</v>
      </c>
      <c r="F300" s="34" t="s">
        <v>66</v>
      </c>
      <c r="G300" s="67" t="s">
        <v>1217</v>
      </c>
      <c r="H300" s="9" t="s">
        <v>1218</v>
      </c>
      <c r="I300" s="10" t="s">
        <v>14</v>
      </c>
      <c r="J300" s="43"/>
      <c r="K300" s="63"/>
      <c r="L300" s="43"/>
    </row>
    <row r="301" ht="22.5" customHeight="1">
      <c r="A301" s="9">
        <v>299.0</v>
      </c>
      <c r="B301" s="34" t="s">
        <v>1407</v>
      </c>
      <c r="C301" s="34"/>
      <c r="D301" s="33">
        <v>9.830046969E9</v>
      </c>
      <c r="E301" s="34" t="s">
        <v>211</v>
      </c>
      <c r="F301" s="34" t="s">
        <v>66</v>
      </c>
      <c r="G301" s="67" t="s">
        <v>1217</v>
      </c>
      <c r="H301" s="9" t="s">
        <v>1218</v>
      </c>
      <c r="I301" s="10" t="s">
        <v>14</v>
      </c>
      <c r="J301" s="43"/>
      <c r="K301" s="63"/>
      <c r="L301" s="43"/>
    </row>
    <row r="302" ht="22.5" customHeight="1">
      <c r="A302" s="9">
        <v>300.0</v>
      </c>
      <c r="B302" s="34" t="s">
        <v>1408</v>
      </c>
      <c r="C302" s="34"/>
      <c r="D302" s="33">
        <v>8.902825061E9</v>
      </c>
      <c r="E302" s="34" t="s">
        <v>211</v>
      </c>
      <c r="F302" s="34" t="s">
        <v>66</v>
      </c>
      <c r="G302" s="67" t="s">
        <v>1217</v>
      </c>
      <c r="H302" s="9" t="s">
        <v>1218</v>
      </c>
      <c r="I302" s="10" t="s">
        <v>14</v>
      </c>
      <c r="J302" s="43"/>
      <c r="K302" s="63"/>
      <c r="L302" s="43"/>
    </row>
    <row r="303" ht="22.5" customHeight="1">
      <c r="A303" s="9">
        <v>301.0</v>
      </c>
      <c r="B303" s="34" t="s">
        <v>1409</v>
      </c>
      <c r="C303" s="34"/>
      <c r="D303" s="33">
        <v>9.832146563E9</v>
      </c>
      <c r="E303" s="34" t="s">
        <v>211</v>
      </c>
      <c r="F303" s="34" t="s">
        <v>66</v>
      </c>
      <c r="G303" s="67" t="s">
        <v>1217</v>
      </c>
      <c r="H303" s="9" t="s">
        <v>1218</v>
      </c>
      <c r="I303" s="10" t="s">
        <v>14</v>
      </c>
      <c r="J303" s="43"/>
      <c r="K303" s="63"/>
      <c r="L303" s="43"/>
    </row>
    <row r="304" ht="22.5" customHeight="1">
      <c r="A304" s="9">
        <v>302.0</v>
      </c>
      <c r="B304" s="34" t="s">
        <v>1410</v>
      </c>
      <c r="C304" s="34"/>
      <c r="D304" s="33">
        <v>9.748364148E9</v>
      </c>
      <c r="E304" s="34" t="s">
        <v>211</v>
      </c>
      <c r="F304" s="34" t="s">
        <v>66</v>
      </c>
      <c r="G304" s="67" t="s">
        <v>1217</v>
      </c>
      <c r="H304" s="9" t="s">
        <v>1218</v>
      </c>
      <c r="I304" s="10" t="s">
        <v>176</v>
      </c>
      <c r="J304" s="43"/>
      <c r="K304" s="63"/>
      <c r="L304" s="43"/>
    </row>
    <row r="305" ht="22.5" customHeight="1">
      <c r="A305" s="9">
        <v>303.0</v>
      </c>
      <c r="B305" s="34" t="s">
        <v>1411</v>
      </c>
      <c r="C305" s="34"/>
      <c r="D305" s="33">
        <v>9.733255661E9</v>
      </c>
      <c r="E305" s="34" t="s">
        <v>211</v>
      </c>
      <c r="F305" s="34" t="s">
        <v>66</v>
      </c>
      <c r="G305" s="67" t="s">
        <v>1217</v>
      </c>
      <c r="H305" s="9" t="s">
        <v>1218</v>
      </c>
      <c r="I305" s="10" t="s">
        <v>161</v>
      </c>
      <c r="J305" s="43"/>
      <c r="K305" s="63"/>
      <c r="L305" s="43"/>
    </row>
    <row r="306" ht="22.5" customHeight="1">
      <c r="A306" s="9">
        <v>304.0</v>
      </c>
      <c r="B306" s="34" t="s">
        <v>1412</v>
      </c>
      <c r="C306" s="34"/>
      <c r="D306" s="33">
        <v>6.289741674E9</v>
      </c>
      <c r="E306" s="34" t="s">
        <v>211</v>
      </c>
      <c r="F306" s="34" t="s">
        <v>66</v>
      </c>
      <c r="G306" s="67" t="s">
        <v>1217</v>
      </c>
      <c r="H306" s="9" t="s">
        <v>1218</v>
      </c>
      <c r="I306" s="10" t="s">
        <v>14</v>
      </c>
      <c r="J306" s="43"/>
      <c r="K306" s="63"/>
      <c r="L306" s="43"/>
    </row>
    <row r="307" ht="22.5" customHeight="1">
      <c r="A307" s="9">
        <v>305.0</v>
      </c>
      <c r="B307" s="34" t="s">
        <v>1413</v>
      </c>
      <c r="C307" s="34"/>
      <c r="D307" s="33">
        <v>9.123899741E9</v>
      </c>
      <c r="E307" s="34" t="s">
        <v>211</v>
      </c>
      <c r="F307" s="34" t="s">
        <v>66</v>
      </c>
      <c r="G307" s="67" t="s">
        <v>1217</v>
      </c>
      <c r="H307" s="9" t="s">
        <v>1218</v>
      </c>
      <c r="I307" s="10" t="s">
        <v>14</v>
      </c>
      <c r="J307" s="43"/>
      <c r="K307" s="63"/>
      <c r="L307" s="43"/>
    </row>
    <row r="308" ht="22.5" customHeight="1">
      <c r="A308" s="9">
        <v>306.0</v>
      </c>
      <c r="B308" s="34" t="s">
        <v>1414</v>
      </c>
      <c r="C308" s="34"/>
      <c r="D308" s="33">
        <v>9.83116282E9</v>
      </c>
      <c r="E308" s="34" t="s">
        <v>211</v>
      </c>
      <c r="F308" s="34" t="s">
        <v>66</v>
      </c>
      <c r="G308" s="67" t="s">
        <v>1217</v>
      </c>
      <c r="H308" s="9" t="s">
        <v>1218</v>
      </c>
      <c r="I308" s="10" t="s">
        <v>14</v>
      </c>
      <c r="J308" s="43"/>
      <c r="K308" s="63"/>
      <c r="L308" s="43"/>
    </row>
    <row r="309" ht="22.5" customHeight="1">
      <c r="A309" s="9">
        <v>307.0</v>
      </c>
      <c r="B309" s="34" t="s">
        <v>1415</v>
      </c>
      <c r="C309" s="34"/>
      <c r="D309" s="33">
        <v>9.00726743E9</v>
      </c>
      <c r="E309" s="34" t="s">
        <v>211</v>
      </c>
      <c r="F309" s="34" t="s">
        <v>66</v>
      </c>
      <c r="G309" s="67" t="s">
        <v>1217</v>
      </c>
      <c r="H309" s="9" t="s">
        <v>1218</v>
      </c>
      <c r="I309" s="10" t="s">
        <v>176</v>
      </c>
      <c r="J309" s="43"/>
      <c r="K309" s="63"/>
      <c r="L309" s="43"/>
    </row>
    <row r="310" ht="22.5" customHeight="1">
      <c r="A310" s="9">
        <v>308.0</v>
      </c>
      <c r="B310" s="34" t="s">
        <v>1416</v>
      </c>
      <c r="C310" s="34"/>
      <c r="D310" s="33">
        <v>8.159902887E9</v>
      </c>
      <c r="E310" s="34" t="s">
        <v>211</v>
      </c>
      <c r="F310" s="34" t="s">
        <v>66</v>
      </c>
      <c r="G310" s="67" t="s">
        <v>1217</v>
      </c>
      <c r="H310" s="9" t="s">
        <v>1218</v>
      </c>
      <c r="I310" s="10" t="s">
        <v>14</v>
      </c>
      <c r="J310" s="43"/>
      <c r="K310" s="63"/>
      <c r="L310" s="43"/>
    </row>
    <row r="311" ht="22.5" customHeight="1">
      <c r="A311" s="9">
        <v>309.0</v>
      </c>
      <c r="B311" s="34" t="s">
        <v>1417</v>
      </c>
      <c r="C311" s="34"/>
      <c r="D311" s="33">
        <v>9.8001472E9</v>
      </c>
      <c r="E311" s="34" t="s">
        <v>211</v>
      </c>
      <c r="F311" s="34" t="s">
        <v>66</v>
      </c>
      <c r="G311" s="67" t="s">
        <v>1217</v>
      </c>
      <c r="H311" s="9" t="s">
        <v>1218</v>
      </c>
      <c r="I311" s="10" t="s">
        <v>161</v>
      </c>
      <c r="J311" s="43"/>
      <c r="K311" s="63"/>
      <c r="L311" s="43"/>
    </row>
    <row r="312" ht="22.5" customHeight="1">
      <c r="A312" s="9">
        <v>310.0</v>
      </c>
      <c r="B312" s="34" t="s">
        <v>1418</v>
      </c>
      <c r="C312" s="34"/>
      <c r="D312" s="33">
        <v>9.064508753E9</v>
      </c>
      <c r="E312" s="34" t="s">
        <v>211</v>
      </c>
      <c r="F312" s="34" t="s">
        <v>66</v>
      </c>
      <c r="G312" s="67" t="s">
        <v>1217</v>
      </c>
      <c r="H312" s="9" t="s">
        <v>1218</v>
      </c>
      <c r="I312" s="10" t="s">
        <v>161</v>
      </c>
      <c r="J312" s="43"/>
      <c r="K312" s="63"/>
      <c r="L312" s="43"/>
    </row>
    <row r="313" ht="22.5" customHeight="1">
      <c r="A313" s="9">
        <v>311.0</v>
      </c>
      <c r="B313" s="34" t="s">
        <v>1419</v>
      </c>
      <c r="C313" s="34"/>
      <c r="D313" s="33">
        <v>9.875464036E9</v>
      </c>
      <c r="E313" s="34" t="s">
        <v>211</v>
      </c>
      <c r="F313" s="34" t="s">
        <v>66</v>
      </c>
      <c r="G313" s="67" t="s">
        <v>1217</v>
      </c>
      <c r="H313" s="9" t="s">
        <v>1218</v>
      </c>
      <c r="I313" s="10" t="s">
        <v>161</v>
      </c>
      <c r="J313" s="43"/>
      <c r="K313" s="63"/>
      <c r="L313" s="43"/>
    </row>
    <row r="314" ht="22.5" customHeight="1">
      <c r="A314" s="9">
        <v>312.0</v>
      </c>
      <c r="B314" s="34" t="s">
        <v>1420</v>
      </c>
      <c r="C314" s="34"/>
      <c r="D314" s="33">
        <v>9.330934724E9</v>
      </c>
      <c r="E314" s="34" t="s">
        <v>211</v>
      </c>
      <c r="F314" s="34" t="s">
        <v>66</v>
      </c>
      <c r="G314" s="67" t="s">
        <v>1217</v>
      </c>
      <c r="H314" s="9" t="s">
        <v>1218</v>
      </c>
      <c r="I314" s="10" t="s">
        <v>161</v>
      </c>
      <c r="J314" s="43"/>
      <c r="K314" s="63"/>
      <c r="L314" s="43"/>
    </row>
    <row r="315" ht="22.5" customHeight="1">
      <c r="A315" s="9">
        <v>313.0</v>
      </c>
      <c r="B315" s="34" t="s">
        <v>1421</v>
      </c>
      <c r="C315" s="34"/>
      <c r="D315" s="33">
        <v>7.679961824E9</v>
      </c>
      <c r="E315" s="34" t="s">
        <v>211</v>
      </c>
      <c r="F315" s="34" t="s">
        <v>66</v>
      </c>
      <c r="G315" s="67" t="s">
        <v>1217</v>
      </c>
      <c r="H315" s="9" t="s">
        <v>1218</v>
      </c>
      <c r="I315" s="10" t="s">
        <v>161</v>
      </c>
      <c r="J315" s="43"/>
      <c r="K315" s="63"/>
      <c r="L315" s="43"/>
    </row>
    <row r="316" ht="22.5" customHeight="1">
      <c r="A316" s="9">
        <v>314.0</v>
      </c>
      <c r="B316" s="34" t="s">
        <v>1422</v>
      </c>
      <c r="C316" s="34"/>
      <c r="D316" s="33">
        <v>7.209412085E9</v>
      </c>
      <c r="E316" s="34" t="s">
        <v>211</v>
      </c>
      <c r="F316" s="34" t="s">
        <v>66</v>
      </c>
      <c r="G316" s="67" t="s">
        <v>1217</v>
      </c>
      <c r="H316" s="9" t="s">
        <v>1218</v>
      </c>
      <c r="I316" s="10" t="s">
        <v>161</v>
      </c>
      <c r="J316" s="43"/>
      <c r="K316" s="63"/>
      <c r="L316" s="43"/>
    </row>
    <row r="317" ht="22.5" customHeight="1">
      <c r="A317" s="9">
        <v>315.0</v>
      </c>
      <c r="B317" s="34" t="s">
        <v>1423</v>
      </c>
      <c r="C317" s="34"/>
      <c r="D317" s="33">
        <v>6.201437077E9</v>
      </c>
      <c r="E317" s="34" t="s">
        <v>211</v>
      </c>
      <c r="F317" s="34" t="s">
        <v>66</v>
      </c>
      <c r="G317" s="67" t="s">
        <v>1217</v>
      </c>
      <c r="H317" s="9" t="s">
        <v>1218</v>
      </c>
      <c r="I317" s="10" t="s">
        <v>161</v>
      </c>
      <c r="J317" s="43"/>
      <c r="K317" s="63"/>
      <c r="L317" s="43"/>
    </row>
    <row r="318" ht="22.5" customHeight="1">
      <c r="A318" s="9">
        <v>316.0</v>
      </c>
      <c r="B318" s="34" t="s">
        <v>1424</v>
      </c>
      <c r="C318" s="34"/>
      <c r="D318" s="33">
        <v>8.91087265E9</v>
      </c>
      <c r="E318" s="34" t="s">
        <v>211</v>
      </c>
      <c r="F318" s="34" t="s">
        <v>66</v>
      </c>
      <c r="G318" s="67" t="s">
        <v>1217</v>
      </c>
      <c r="H318" s="9" t="s">
        <v>1218</v>
      </c>
      <c r="I318" s="10" t="s">
        <v>161</v>
      </c>
      <c r="J318" s="43"/>
      <c r="K318" s="63"/>
      <c r="L318" s="43"/>
    </row>
    <row r="319" ht="22.5" customHeight="1">
      <c r="A319" s="9">
        <v>317.0</v>
      </c>
      <c r="B319" s="34" t="s">
        <v>1425</v>
      </c>
      <c r="C319" s="34"/>
      <c r="D319" s="33">
        <v>7.478059407E9</v>
      </c>
      <c r="E319" s="34" t="s">
        <v>211</v>
      </c>
      <c r="F319" s="34" t="s">
        <v>66</v>
      </c>
      <c r="G319" s="67" t="s">
        <v>1217</v>
      </c>
      <c r="H319" s="9" t="s">
        <v>1218</v>
      </c>
      <c r="I319" s="10" t="s">
        <v>161</v>
      </c>
      <c r="J319" s="43"/>
      <c r="K319" s="63"/>
      <c r="L319" s="43"/>
    </row>
    <row r="320" ht="22.5" customHeight="1">
      <c r="A320" s="9">
        <v>318.0</v>
      </c>
      <c r="B320" s="34" t="s">
        <v>1426</v>
      </c>
      <c r="C320" s="34"/>
      <c r="D320" s="33">
        <v>9.315107253E9</v>
      </c>
      <c r="E320" s="34" t="s">
        <v>211</v>
      </c>
      <c r="F320" s="34" t="s">
        <v>66</v>
      </c>
      <c r="G320" s="67" t="s">
        <v>1217</v>
      </c>
      <c r="H320" s="9" t="s">
        <v>1218</v>
      </c>
      <c r="I320" s="10" t="s">
        <v>161</v>
      </c>
      <c r="J320" s="43"/>
      <c r="K320" s="63"/>
      <c r="L320" s="43"/>
    </row>
    <row r="321" ht="22.5" customHeight="1">
      <c r="A321" s="9">
        <v>319.0</v>
      </c>
      <c r="B321" s="34" t="s">
        <v>1427</v>
      </c>
      <c r="C321" s="34"/>
      <c r="D321" s="33">
        <v>8.24079245E9</v>
      </c>
      <c r="E321" s="34" t="s">
        <v>211</v>
      </c>
      <c r="F321" s="34" t="s">
        <v>66</v>
      </c>
      <c r="G321" s="67" t="s">
        <v>1217</v>
      </c>
      <c r="H321" s="9" t="s">
        <v>1218</v>
      </c>
      <c r="I321" s="10" t="s">
        <v>161</v>
      </c>
      <c r="J321" s="43"/>
      <c r="K321" s="63"/>
      <c r="L321" s="43"/>
    </row>
    <row r="322" ht="22.5" customHeight="1">
      <c r="A322" s="9">
        <v>320.0</v>
      </c>
      <c r="B322" s="34" t="s">
        <v>1428</v>
      </c>
      <c r="C322" s="34"/>
      <c r="D322" s="33">
        <v>9.123934955E9</v>
      </c>
      <c r="E322" s="34" t="s">
        <v>211</v>
      </c>
      <c r="F322" s="34" t="s">
        <v>66</v>
      </c>
      <c r="G322" s="67" t="s">
        <v>1217</v>
      </c>
      <c r="H322" s="9" t="s">
        <v>1218</v>
      </c>
      <c r="I322" s="10" t="s">
        <v>161</v>
      </c>
      <c r="J322" s="43"/>
      <c r="K322" s="63"/>
      <c r="L322" s="43"/>
    </row>
    <row r="323" ht="22.5" customHeight="1">
      <c r="A323" s="9">
        <v>321.0</v>
      </c>
      <c r="B323" s="34" t="s">
        <v>1429</v>
      </c>
      <c r="C323" s="34"/>
      <c r="D323" s="33">
        <v>9.330065225E9</v>
      </c>
      <c r="E323" s="34" t="s">
        <v>211</v>
      </c>
      <c r="F323" s="34" t="s">
        <v>66</v>
      </c>
      <c r="G323" s="67" t="s">
        <v>1217</v>
      </c>
      <c r="H323" s="9" t="s">
        <v>1218</v>
      </c>
      <c r="I323" s="10" t="s">
        <v>14</v>
      </c>
      <c r="J323" s="43"/>
      <c r="K323" s="63"/>
      <c r="L323" s="43"/>
    </row>
    <row r="324" ht="22.5" customHeight="1">
      <c r="A324" s="9">
        <v>322.0</v>
      </c>
      <c r="B324" s="34" t="s">
        <v>1430</v>
      </c>
      <c r="C324" s="34"/>
      <c r="D324" s="33">
        <v>9.031424024E9</v>
      </c>
      <c r="E324" s="34" t="s">
        <v>211</v>
      </c>
      <c r="F324" s="34" t="s">
        <v>66</v>
      </c>
      <c r="G324" s="67" t="s">
        <v>1217</v>
      </c>
      <c r="H324" s="9" t="s">
        <v>1218</v>
      </c>
      <c r="I324" s="10" t="s">
        <v>161</v>
      </c>
      <c r="J324" s="43"/>
      <c r="K324" s="63"/>
      <c r="L324" s="43"/>
    </row>
    <row r="325" ht="22.5" customHeight="1">
      <c r="A325" s="9">
        <v>323.0</v>
      </c>
      <c r="B325" s="34" t="s">
        <v>1431</v>
      </c>
      <c r="C325" s="34"/>
      <c r="D325" s="33">
        <v>8.348866008E9</v>
      </c>
      <c r="E325" s="34" t="s">
        <v>211</v>
      </c>
      <c r="F325" s="34" t="s">
        <v>66</v>
      </c>
      <c r="G325" s="67" t="s">
        <v>1217</v>
      </c>
      <c r="H325" s="9" t="s">
        <v>1218</v>
      </c>
      <c r="I325" s="10" t="s">
        <v>14</v>
      </c>
      <c r="J325" s="43"/>
      <c r="K325" s="63"/>
      <c r="L325" s="43"/>
    </row>
    <row r="326" ht="22.5" customHeight="1">
      <c r="A326" s="9">
        <v>324.0</v>
      </c>
      <c r="B326" s="34" t="s">
        <v>1432</v>
      </c>
      <c r="C326" s="34"/>
      <c r="D326" s="33">
        <v>7.033999524E9</v>
      </c>
      <c r="E326" s="34" t="s">
        <v>211</v>
      </c>
      <c r="F326" s="34" t="s">
        <v>66</v>
      </c>
      <c r="G326" s="67" t="s">
        <v>1217</v>
      </c>
      <c r="H326" s="9" t="s">
        <v>1218</v>
      </c>
      <c r="I326" s="10" t="s">
        <v>161</v>
      </c>
      <c r="J326" s="43"/>
      <c r="K326" s="63"/>
      <c r="L326" s="43"/>
    </row>
    <row r="327" ht="22.5" customHeight="1">
      <c r="A327" s="9">
        <v>325.0</v>
      </c>
      <c r="B327" s="34" t="s">
        <v>1433</v>
      </c>
      <c r="C327" s="34"/>
      <c r="D327" s="33">
        <v>9.883132218E9</v>
      </c>
      <c r="E327" s="34" t="s">
        <v>211</v>
      </c>
      <c r="F327" s="34" t="s">
        <v>66</v>
      </c>
      <c r="G327" s="67" t="s">
        <v>1217</v>
      </c>
      <c r="H327" s="9" t="s">
        <v>1218</v>
      </c>
      <c r="I327" s="10" t="s">
        <v>161</v>
      </c>
      <c r="J327" s="43"/>
      <c r="K327" s="63"/>
      <c r="L327" s="43"/>
    </row>
    <row r="328" ht="22.5" customHeight="1">
      <c r="A328" s="9">
        <v>326.0</v>
      </c>
      <c r="B328" s="34" t="s">
        <v>1434</v>
      </c>
      <c r="C328" s="34"/>
      <c r="D328" s="33">
        <v>9.304770798E9</v>
      </c>
      <c r="E328" s="34" t="s">
        <v>211</v>
      </c>
      <c r="F328" s="34" t="s">
        <v>66</v>
      </c>
      <c r="G328" s="67" t="s">
        <v>1217</v>
      </c>
      <c r="H328" s="9" t="s">
        <v>1218</v>
      </c>
      <c r="I328" s="10" t="s">
        <v>161</v>
      </c>
      <c r="J328" s="43"/>
      <c r="K328" s="63"/>
      <c r="L328" s="43"/>
    </row>
    <row r="329" ht="22.5" customHeight="1">
      <c r="A329" s="9">
        <v>327.0</v>
      </c>
      <c r="B329" s="34" t="s">
        <v>1435</v>
      </c>
      <c r="C329" s="34"/>
      <c r="D329" s="33">
        <v>9.60973226E9</v>
      </c>
      <c r="E329" s="34" t="s">
        <v>211</v>
      </c>
      <c r="F329" s="34" t="s">
        <v>66</v>
      </c>
      <c r="G329" s="67" t="s">
        <v>1217</v>
      </c>
      <c r="H329" s="9" t="s">
        <v>1218</v>
      </c>
      <c r="I329" s="10" t="s">
        <v>161</v>
      </c>
      <c r="J329" s="43"/>
      <c r="K329" s="63"/>
      <c r="L329" s="43"/>
    </row>
    <row r="330" ht="22.5" customHeight="1">
      <c r="A330" s="9">
        <v>328.0</v>
      </c>
      <c r="B330" s="34" t="s">
        <v>1436</v>
      </c>
      <c r="C330" s="34"/>
      <c r="D330" s="33">
        <v>9.239329155E9</v>
      </c>
      <c r="E330" s="34" t="s">
        <v>211</v>
      </c>
      <c r="F330" s="34" t="s">
        <v>66</v>
      </c>
      <c r="G330" s="67" t="s">
        <v>1217</v>
      </c>
      <c r="H330" s="9" t="s">
        <v>1218</v>
      </c>
      <c r="I330" s="10" t="s">
        <v>161</v>
      </c>
      <c r="J330" s="43"/>
      <c r="K330" s="63"/>
      <c r="L330" s="43"/>
    </row>
    <row r="331" ht="22.5" customHeight="1">
      <c r="A331" s="9">
        <v>329.0</v>
      </c>
      <c r="B331" s="34" t="s">
        <v>1437</v>
      </c>
      <c r="C331" s="34"/>
      <c r="D331" s="33">
        <v>8.013317254E9</v>
      </c>
      <c r="E331" s="34" t="s">
        <v>211</v>
      </c>
      <c r="F331" s="34" t="s">
        <v>66</v>
      </c>
      <c r="G331" s="67" t="s">
        <v>1217</v>
      </c>
      <c r="H331" s="9" t="s">
        <v>1218</v>
      </c>
      <c r="I331" s="10" t="s">
        <v>176</v>
      </c>
      <c r="J331" s="43"/>
      <c r="K331" s="63"/>
      <c r="L331" s="43"/>
    </row>
    <row r="332" ht="22.5" customHeight="1">
      <c r="A332" s="9">
        <v>330.0</v>
      </c>
      <c r="B332" s="34" t="s">
        <v>1438</v>
      </c>
      <c r="C332" s="34"/>
      <c r="D332" s="33">
        <v>9.204546343E9</v>
      </c>
      <c r="E332" s="34" t="s">
        <v>211</v>
      </c>
      <c r="F332" s="34" t="s">
        <v>66</v>
      </c>
      <c r="G332" s="67" t="s">
        <v>1217</v>
      </c>
      <c r="H332" s="9" t="s">
        <v>1218</v>
      </c>
      <c r="I332" s="10" t="s">
        <v>14</v>
      </c>
      <c r="J332" s="43"/>
      <c r="K332" s="63"/>
      <c r="L332" s="43"/>
    </row>
    <row r="333" ht="22.5" customHeight="1">
      <c r="A333" s="9">
        <v>331.0</v>
      </c>
      <c r="B333" s="34" t="s">
        <v>1439</v>
      </c>
      <c r="C333" s="34"/>
      <c r="D333" s="33">
        <v>9.733606648E9</v>
      </c>
      <c r="E333" s="34" t="s">
        <v>211</v>
      </c>
      <c r="F333" s="34" t="s">
        <v>66</v>
      </c>
      <c r="G333" s="67" t="s">
        <v>1217</v>
      </c>
      <c r="H333" s="9" t="s">
        <v>1218</v>
      </c>
      <c r="I333" s="10" t="s">
        <v>161</v>
      </c>
      <c r="J333" s="43"/>
      <c r="K333" s="63"/>
      <c r="L333" s="43"/>
    </row>
    <row r="334" ht="22.5" customHeight="1">
      <c r="A334" s="9">
        <v>332.0</v>
      </c>
      <c r="B334" s="34" t="s">
        <v>1440</v>
      </c>
      <c r="C334" s="34"/>
      <c r="D334" s="33">
        <v>6.290654097E9</v>
      </c>
      <c r="E334" s="34" t="s">
        <v>211</v>
      </c>
      <c r="F334" s="34" t="s">
        <v>66</v>
      </c>
      <c r="G334" s="67" t="s">
        <v>1217</v>
      </c>
      <c r="H334" s="9" t="s">
        <v>1218</v>
      </c>
      <c r="I334" s="10" t="s">
        <v>161</v>
      </c>
      <c r="J334" s="43"/>
      <c r="K334" s="63"/>
      <c r="L334" s="43"/>
    </row>
    <row r="335" ht="22.5" customHeight="1">
      <c r="A335" s="9">
        <v>333.0</v>
      </c>
      <c r="B335" s="34" t="s">
        <v>1441</v>
      </c>
      <c r="C335" s="34"/>
      <c r="D335" s="33">
        <v>7.86684486E9</v>
      </c>
      <c r="E335" s="34" t="s">
        <v>211</v>
      </c>
      <c r="F335" s="34" t="s">
        <v>66</v>
      </c>
      <c r="G335" s="67" t="s">
        <v>1217</v>
      </c>
      <c r="H335" s="9" t="s">
        <v>1218</v>
      </c>
      <c r="I335" s="10" t="s">
        <v>161</v>
      </c>
      <c r="J335" s="43"/>
      <c r="K335" s="63"/>
      <c r="L335" s="43"/>
    </row>
    <row r="336" ht="22.5" customHeight="1">
      <c r="A336" s="9">
        <v>334.0</v>
      </c>
      <c r="B336" s="34" t="s">
        <v>1442</v>
      </c>
      <c r="C336" s="34"/>
      <c r="D336" s="33">
        <v>7.908918227E9</v>
      </c>
      <c r="E336" s="34" t="s">
        <v>211</v>
      </c>
      <c r="F336" s="34" t="s">
        <v>66</v>
      </c>
      <c r="G336" s="67" t="s">
        <v>1217</v>
      </c>
      <c r="H336" s="9" t="s">
        <v>1218</v>
      </c>
      <c r="I336" s="10" t="s">
        <v>161</v>
      </c>
      <c r="J336" s="43"/>
      <c r="K336" s="63"/>
      <c r="L336" s="43"/>
    </row>
    <row r="337" ht="22.5" customHeight="1">
      <c r="A337" s="9">
        <v>335.0</v>
      </c>
      <c r="B337" s="34" t="s">
        <v>1443</v>
      </c>
      <c r="C337" s="34"/>
      <c r="D337" s="33">
        <v>7.063143885E9</v>
      </c>
      <c r="E337" s="34" t="s">
        <v>211</v>
      </c>
      <c r="F337" s="34" t="s">
        <v>66</v>
      </c>
      <c r="G337" s="67" t="s">
        <v>1217</v>
      </c>
      <c r="H337" s="9" t="s">
        <v>1218</v>
      </c>
      <c r="I337" s="10" t="s">
        <v>161</v>
      </c>
      <c r="J337" s="43"/>
      <c r="K337" s="63"/>
      <c r="L337" s="43"/>
    </row>
    <row r="338" ht="22.5" customHeight="1">
      <c r="A338" s="9">
        <v>336.0</v>
      </c>
      <c r="B338" s="34" t="s">
        <v>1444</v>
      </c>
      <c r="C338" s="34"/>
      <c r="D338" s="33">
        <v>8.420008522E9</v>
      </c>
      <c r="E338" s="34" t="s">
        <v>211</v>
      </c>
      <c r="F338" s="34" t="s">
        <v>66</v>
      </c>
      <c r="G338" s="67" t="s">
        <v>1217</v>
      </c>
      <c r="H338" s="9" t="s">
        <v>1218</v>
      </c>
      <c r="I338" s="10" t="s">
        <v>161</v>
      </c>
      <c r="J338" s="43"/>
      <c r="K338" s="63"/>
      <c r="L338" s="43"/>
    </row>
    <row r="339" ht="22.5" customHeight="1">
      <c r="A339" s="9">
        <v>337.0</v>
      </c>
      <c r="B339" s="34" t="s">
        <v>1445</v>
      </c>
      <c r="C339" s="34"/>
      <c r="D339" s="33">
        <v>8.918755386E9</v>
      </c>
      <c r="E339" s="34" t="s">
        <v>211</v>
      </c>
      <c r="F339" s="34" t="s">
        <v>66</v>
      </c>
      <c r="G339" s="67" t="s">
        <v>1217</v>
      </c>
      <c r="H339" s="9" t="s">
        <v>1218</v>
      </c>
      <c r="I339" s="10" t="s">
        <v>161</v>
      </c>
      <c r="J339" s="43"/>
      <c r="K339" s="63"/>
      <c r="L339" s="43"/>
    </row>
    <row r="340" ht="22.5" customHeight="1">
      <c r="A340" s="9">
        <v>338.0</v>
      </c>
      <c r="B340" s="34" t="s">
        <v>1446</v>
      </c>
      <c r="C340" s="34"/>
      <c r="D340" s="33">
        <v>7.001521992E9</v>
      </c>
      <c r="E340" s="34" t="s">
        <v>211</v>
      </c>
      <c r="F340" s="34" t="s">
        <v>66</v>
      </c>
      <c r="G340" s="67" t="s">
        <v>1217</v>
      </c>
      <c r="H340" s="9" t="s">
        <v>1218</v>
      </c>
      <c r="I340" s="10" t="s">
        <v>14</v>
      </c>
      <c r="J340" s="43"/>
      <c r="K340" s="63"/>
      <c r="L340" s="43"/>
    </row>
    <row r="341" ht="22.5" customHeight="1">
      <c r="A341" s="9">
        <v>339.0</v>
      </c>
      <c r="B341" s="34" t="s">
        <v>1447</v>
      </c>
      <c r="C341" s="34"/>
      <c r="D341" s="33">
        <v>9.038418118E9</v>
      </c>
      <c r="E341" s="34" t="s">
        <v>211</v>
      </c>
      <c r="F341" s="34" t="s">
        <v>66</v>
      </c>
      <c r="G341" s="67" t="s">
        <v>1217</v>
      </c>
      <c r="H341" s="9" t="s">
        <v>1218</v>
      </c>
      <c r="I341" s="10" t="s">
        <v>161</v>
      </c>
      <c r="J341" s="43"/>
      <c r="K341" s="63"/>
      <c r="L341" s="43"/>
    </row>
    <row r="342" ht="22.5" customHeight="1">
      <c r="A342" s="9">
        <v>340.0</v>
      </c>
      <c r="B342" s="34" t="s">
        <v>1448</v>
      </c>
      <c r="C342" s="34"/>
      <c r="D342" s="33">
        <v>8.777756954E9</v>
      </c>
      <c r="E342" s="34" t="s">
        <v>211</v>
      </c>
      <c r="F342" s="34" t="s">
        <v>66</v>
      </c>
      <c r="G342" s="67" t="s">
        <v>1217</v>
      </c>
      <c r="H342" s="9" t="s">
        <v>1218</v>
      </c>
      <c r="I342" s="10" t="s">
        <v>161</v>
      </c>
      <c r="J342" s="43"/>
      <c r="K342" s="63"/>
      <c r="L342" s="43"/>
    </row>
    <row r="343" ht="22.5" customHeight="1">
      <c r="A343" s="9">
        <v>341.0</v>
      </c>
      <c r="B343" s="34" t="s">
        <v>1449</v>
      </c>
      <c r="C343" s="34"/>
      <c r="D343" s="33">
        <v>9.903955387E9</v>
      </c>
      <c r="E343" s="34" t="s">
        <v>211</v>
      </c>
      <c r="F343" s="34" t="s">
        <v>66</v>
      </c>
      <c r="G343" s="67" t="s">
        <v>1217</v>
      </c>
      <c r="H343" s="9" t="s">
        <v>1218</v>
      </c>
      <c r="I343" s="10" t="s">
        <v>14</v>
      </c>
      <c r="J343" s="43"/>
      <c r="K343" s="63"/>
      <c r="L343" s="43"/>
    </row>
    <row r="344" ht="22.5" customHeight="1">
      <c r="A344" s="9">
        <v>342.0</v>
      </c>
      <c r="B344" s="34" t="s">
        <v>1450</v>
      </c>
      <c r="C344" s="34"/>
      <c r="D344" s="33">
        <v>9.330158714E9</v>
      </c>
      <c r="E344" s="34" t="s">
        <v>211</v>
      </c>
      <c r="F344" s="34" t="s">
        <v>66</v>
      </c>
      <c r="G344" s="67" t="s">
        <v>1217</v>
      </c>
      <c r="H344" s="9" t="s">
        <v>1218</v>
      </c>
      <c r="I344" s="10" t="s">
        <v>14</v>
      </c>
      <c r="J344" s="43"/>
      <c r="K344" s="63"/>
      <c r="L344" s="43"/>
    </row>
    <row r="345" ht="22.5" customHeight="1">
      <c r="A345" s="9">
        <v>343.0</v>
      </c>
      <c r="B345" s="34" t="s">
        <v>1451</v>
      </c>
      <c r="C345" s="34"/>
      <c r="D345" s="33">
        <v>9.143063241E9</v>
      </c>
      <c r="E345" s="34" t="s">
        <v>211</v>
      </c>
      <c r="F345" s="34" t="s">
        <v>66</v>
      </c>
      <c r="G345" s="67" t="s">
        <v>1217</v>
      </c>
      <c r="H345" s="9" t="s">
        <v>1218</v>
      </c>
      <c r="I345" s="10" t="s">
        <v>161</v>
      </c>
      <c r="J345" s="43"/>
      <c r="K345" s="63"/>
      <c r="L345" s="43"/>
    </row>
    <row r="346" ht="22.5" customHeight="1">
      <c r="A346" s="9">
        <v>344.0</v>
      </c>
      <c r="B346" s="34" t="s">
        <v>1452</v>
      </c>
      <c r="C346" s="34"/>
      <c r="D346" s="33">
        <v>9.433302229E9</v>
      </c>
      <c r="E346" s="34" t="s">
        <v>211</v>
      </c>
      <c r="F346" s="34" t="s">
        <v>66</v>
      </c>
      <c r="G346" s="67" t="s">
        <v>1217</v>
      </c>
      <c r="H346" s="9" t="s">
        <v>1218</v>
      </c>
      <c r="I346" s="10" t="s">
        <v>14</v>
      </c>
      <c r="J346" s="43"/>
      <c r="K346" s="63"/>
      <c r="L346" s="43"/>
    </row>
    <row r="347" ht="22.5" customHeight="1">
      <c r="A347" s="9">
        <v>345.0</v>
      </c>
      <c r="B347" s="34" t="s">
        <v>1453</v>
      </c>
      <c r="C347" s="34"/>
      <c r="D347" s="33">
        <v>8.278726879E9</v>
      </c>
      <c r="E347" s="34" t="s">
        <v>211</v>
      </c>
      <c r="F347" s="34" t="s">
        <v>66</v>
      </c>
      <c r="G347" s="67" t="s">
        <v>1217</v>
      </c>
      <c r="H347" s="9" t="s">
        <v>1218</v>
      </c>
      <c r="I347" s="10" t="s">
        <v>14</v>
      </c>
      <c r="J347" s="43"/>
      <c r="K347" s="63"/>
      <c r="L347" s="43"/>
    </row>
    <row r="348" ht="22.5" customHeight="1">
      <c r="A348" s="9">
        <v>346.0</v>
      </c>
      <c r="B348" s="34" t="s">
        <v>1454</v>
      </c>
      <c r="C348" s="34"/>
      <c r="D348" s="33">
        <v>9.083710802E9</v>
      </c>
      <c r="E348" s="34" t="s">
        <v>211</v>
      </c>
      <c r="F348" s="34" t="s">
        <v>66</v>
      </c>
      <c r="G348" s="67" t="s">
        <v>1217</v>
      </c>
      <c r="H348" s="9" t="s">
        <v>1218</v>
      </c>
      <c r="I348" s="10" t="s">
        <v>14</v>
      </c>
      <c r="J348" s="43"/>
      <c r="K348" s="63"/>
      <c r="L348" s="43"/>
    </row>
    <row r="349" ht="22.5" customHeight="1">
      <c r="A349" s="9">
        <v>347.0</v>
      </c>
      <c r="B349" s="34" t="s">
        <v>1455</v>
      </c>
      <c r="C349" s="34"/>
      <c r="D349" s="33">
        <v>9.339217226E9</v>
      </c>
      <c r="E349" s="34" t="s">
        <v>211</v>
      </c>
      <c r="F349" s="34" t="s">
        <v>66</v>
      </c>
      <c r="G349" s="67" t="s">
        <v>1217</v>
      </c>
      <c r="H349" s="9" t="s">
        <v>1218</v>
      </c>
      <c r="I349" s="10" t="s">
        <v>176</v>
      </c>
      <c r="J349" s="43"/>
      <c r="K349" s="63"/>
      <c r="L349" s="43"/>
    </row>
    <row r="350" ht="22.5" customHeight="1">
      <c r="A350" s="9">
        <v>348.0</v>
      </c>
      <c r="B350" s="34" t="s">
        <v>1456</v>
      </c>
      <c r="C350" s="34"/>
      <c r="D350" s="33">
        <v>7.602371455E9</v>
      </c>
      <c r="E350" s="34" t="s">
        <v>211</v>
      </c>
      <c r="F350" s="34" t="s">
        <v>66</v>
      </c>
      <c r="G350" s="67" t="s">
        <v>1217</v>
      </c>
      <c r="H350" s="9" t="s">
        <v>1218</v>
      </c>
      <c r="I350" s="10" t="s">
        <v>14</v>
      </c>
      <c r="J350" s="43"/>
      <c r="K350" s="63"/>
      <c r="L350" s="43"/>
    </row>
    <row r="351" ht="22.5" customHeight="1">
      <c r="A351" s="9">
        <v>349.0</v>
      </c>
      <c r="B351" s="34" t="s">
        <v>1457</v>
      </c>
      <c r="C351" s="34"/>
      <c r="D351" s="33">
        <v>7.25014436E9</v>
      </c>
      <c r="E351" s="34" t="s">
        <v>211</v>
      </c>
      <c r="F351" s="34" t="s">
        <v>66</v>
      </c>
      <c r="G351" s="67" t="s">
        <v>1217</v>
      </c>
      <c r="H351" s="9" t="s">
        <v>1218</v>
      </c>
      <c r="I351" s="10" t="s">
        <v>14</v>
      </c>
      <c r="J351" s="43"/>
      <c r="K351" s="63"/>
      <c r="L351" s="43"/>
    </row>
    <row r="352" ht="22.5" customHeight="1">
      <c r="A352" s="9">
        <v>350.0</v>
      </c>
      <c r="B352" s="34" t="s">
        <v>1458</v>
      </c>
      <c r="C352" s="34"/>
      <c r="D352" s="33">
        <v>6.29168143E9</v>
      </c>
      <c r="E352" s="34" t="s">
        <v>211</v>
      </c>
      <c r="F352" s="34" t="s">
        <v>66</v>
      </c>
      <c r="G352" s="67" t="s">
        <v>1217</v>
      </c>
      <c r="H352" s="9" t="s">
        <v>1218</v>
      </c>
      <c r="I352" s="10" t="s">
        <v>14</v>
      </c>
      <c r="J352" s="43"/>
      <c r="K352" s="63"/>
      <c r="L352" s="43"/>
    </row>
    <row r="353" ht="22.5" customHeight="1">
      <c r="A353" s="9">
        <v>351.0</v>
      </c>
      <c r="B353" s="34" t="s">
        <v>1459</v>
      </c>
      <c r="C353" s="34"/>
      <c r="D353" s="33">
        <v>7.001882906E9</v>
      </c>
      <c r="E353" s="34" t="s">
        <v>211</v>
      </c>
      <c r="F353" s="34" t="s">
        <v>66</v>
      </c>
      <c r="G353" s="67" t="s">
        <v>1217</v>
      </c>
      <c r="H353" s="9" t="s">
        <v>1218</v>
      </c>
      <c r="I353" s="10" t="s">
        <v>14</v>
      </c>
      <c r="J353" s="43"/>
      <c r="K353" s="63"/>
      <c r="L353" s="43"/>
    </row>
    <row r="354" ht="22.5" customHeight="1">
      <c r="A354" s="9">
        <v>352.0</v>
      </c>
      <c r="B354" s="34" t="s">
        <v>1460</v>
      </c>
      <c r="C354" s="34"/>
      <c r="D354" s="33">
        <v>8.240123651E9</v>
      </c>
      <c r="E354" s="34" t="s">
        <v>211</v>
      </c>
      <c r="F354" s="34" t="s">
        <v>66</v>
      </c>
      <c r="G354" s="67" t="s">
        <v>1217</v>
      </c>
      <c r="H354" s="9" t="s">
        <v>1218</v>
      </c>
      <c r="I354" s="10" t="s">
        <v>14</v>
      </c>
      <c r="J354" s="43"/>
      <c r="K354" s="63"/>
      <c r="L354" s="43"/>
    </row>
    <row r="355" ht="22.5" customHeight="1">
      <c r="A355" s="9">
        <v>353.0</v>
      </c>
      <c r="B355" s="34" t="s">
        <v>1461</v>
      </c>
      <c r="C355" s="34"/>
      <c r="D355" s="33">
        <v>9.064665062E9</v>
      </c>
      <c r="E355" s="34" t="s">
        <v>211</v>
      </c>
      <c r="F355" s="34" t="s">
        <v>66</v>
      </c>
      <c r="G355" s="67" t="s">
        <v>1217</v>
      </c>
      <c r="H355" s="9" t="s">
        <v>1218</v>
      </c>
      <c r="I355" s="10" t="s">
        <v>14</v>
      </c>
      <c r="J355" s="43"/>
      <c r="K355" s="63"/>
      <c r="L355" s="43"/>
    </row>
    <row r="356" ht="22.5" customHeight="1">
      <c r="A356" s="9">
        <v>354.0</v>
      </c>
      <c r="B356" s="34" t="s">
        <v>1462</v>
      </c>
      <c r="C356" s="34"/>
      <c r="D356" s="33">
        <v>9.732758515E9</v>
      </c>
      <c r="E356" s="34" t="s">
        <v>211</v>
      </c>
      <c r="F356" s="34" t="s">
        <v>66</v>
      </c>
      <c r="G356" s="67" t="s">
        <v>1217</v>
      </c>
      <c r="H356" s="9" t="s">
        <v>1218</v>
      </c>
      <c r="I356" s="10" t="s">
        <v>14</v>
      </c>
      <c r="J356" s="43"/>
      <c r="K356" s="63"/>
      <c r="L356" s="43"/>
    </row>
    <row r="357" ht="22.5" customHeight="1">
      <c r="A357" s="9">
        <v>355.0</v>
      </c>
      <c r="B357" s="34" t="s">
        <v>1463</v>
      </c>
      <c r="C357" s="34"/>
      <c r="D357" s="33">
        <v>8.777037574E9</v>
      </c>
      <c r="E357" s="34" t="s">
        <v>211</v>
      </c>
      <c r="F357" s="34" t="s">
        <v>66</v>
      </c>
      <c r="G357" s="67" t="s">
        <v>1217</v>
      </c>
      <c r="H357" s="9" t="s">
        <v>1218</v>
      </c>
      <c r="I357" s="10" t="s">
        <v>14</v>
      </c>
      <c r="J357" s="43"/>
      <c r="K357" s="63"/>
      <c r="L357" s="43"/>
    </row>
    <row r="358" ht="22.5" customHeight="1">
      <c r="A358" s="9">
        <v>356.0</v>
      </c>
      <c r="B358" s="34" t="s">
        <v>1464</v>
      </c>
      <c r="C358" s="34"/>
      <c r="D358" s="33">
        <v>8.837366949E9</v>
      </c>
      <c r="E358" s="34" t="s">
        <v>211</v>
      </c>
      <c r="F358" s="34" t="s">
        <v>66</v>
      </c>
      <c r="G358" s="67" t="s">
        <v>1217</v>
      </c>
      <c r="H358" s="9" t="s">
        <v>1218</v>
      </c>
      <c r="I358" s="10" t="s">
        <v>161</v>
      </c>
      <c r="J358" s="43"/>
      <c r="K358" s="63"/>
      <c r="L358" s="43"/>
    </row>
    <row r="359" ht="22.5" customHeight="1">
      <c r="A359" s="9">
        <v>357.0</v>
      </c>
      <c r="B359" s="34" t="s">
        <v>1465</v>
      </c>
      <c r="C359" s="34"/>
      <c r="D359" s="33">
        <v>9.749045737E9</v>
      </c>
      <c r="E359" s="34" t="s">
        <v>211</v>
      </c>
      <c r="F359" s="34" t="s">
        <v>66</v>
      </c>
      <c r="G359" s="67" t="s">
        <v>1217</v>
      </c>
      <c r="H359" s="9" t="s">
        <v>1218</v>
      </c>
      <c r="I359" s="10" t="s">
        <v>176</v>
      </c>
      <c r="J359" s="43"/>
      <c r="K359" s="63"/>
      <c r="L359" s="43"/>
    </row>
    <row r="360" ht="22.5" customHeight="1">
      <c r="A360" s="9">
        <v>358.0</v>
      </c>
      <c r="B360" s="34" t="s">
        <v>1466</v>
      </c>
      <c r="C360" s="34"/>
      <c r="D360" s="33">
        <v>7.449449337E9</v>
      </c>
      <c r="E360" s="34" t="s">
        <v>211</v>
      </c>
      <c r="F360" s="34" t="s">
        <v>66</v>
      </c>
      <c r="G360" s="67" t="s">
        <v>1217</v>
      </c>
      <c r="H360" s="9" t="s">
        <v>1218</v>
      </c>
      <c r="I360" s="10" t="s">
        <v>14</v>
      </c>
      <c r="J360" s="43"/>
      <c r="K360" s="63"/>
      <c r="L360" s="43"/>
    </row>
    <row r="361" ht="22.5" customHeight="1">
      <c r="A361" s="9">
        <v>359.0</v>
      </c>
      <c r="B361" s="34" t="s">
        <v>1467</v>
      </c>
      <c r="C361" s="34"/>
      <c r="D361" s="33">
        <v>9.874329885E9</v>
      </c>
      <c r="E361" s="34" t="s">
        <v>211</v>
      </c>
      <c r="F361" s="34" t="s">
        <v>66</v>
      </c>
      <c r="G361" s="67" t="s">
        <v>1217</v>
      </c>
      <c r="H361" s="9" t="s">
        <v>1218</v>
      </c>
      <c r="I361" s="10" t="s">
        <v>161</v>
      </c>
      <c r="J361" s="43"/>
      <c r="K361" s="63"/>
      <c r="L361" s="43"/>
    </row>
    <row r="362" ht="22.5" customHeight="1">
      <c r="A362" s="9">
        <v>360.0</v>
      </c>
      <c r="B362" s="34" t="s">
        <v>1468</v>
      </c>
      <c r="C362" s="34"/>
      <c r="D362" s="33">
        <v>9.674042125E9</v>
      </c>
      <c r="E362" s="34" t="s">
        <v>211</v>
      </c>
      <c r="F362" s="34" t="s">
        <v>66</v>
      </c>
      <c r="G362" s="67" t="s">
        <v>1217</v>
      </c>
      <c r="H362" s="9" t="s">
        <v>1218</v>
      </c>
      <c r="I362" s="10" t="s">
        <v>161</v>
      </c>
      <c r="J362" s="43"/>
      <c r="K362" s="63"/>
      <c r="L362" s="43"/>
    </row>
    <row r="363" ht="22.5" customHeight="1">
      <c r="A363" s="9">
        <v>361.0</v>
      </c>
      <c r="B363" s="34" t="s">
        <v>1469</v>
      </c>
      <c r="C363" s="34"/>
      <c r="D363" s="33">
        <v>9.875304726E9</v>
      </c>
      <c r="E363" s="34" t="s">
        <v>211</v>
      </c>
      <c r="F363" s="34" t="s">
        <v>66</v>
      </c>
      <c r="G363" s="67" t="s">
        <v>1217</v>
      </c>
      <c r="H363" s="9" t="s">
        <v>1218</v>
      </c>
      <c r="I363" s="10" t="s">
        <v>161</v>
      </c>
      <c r="J363" s="43"/>
      <c r="K363" s="63"/>
      <c r="L363" s="43"/>
    </row>
    <row r="364" ht="22.5" customHeight="1">
      <c r="A364" s="9">
        <v>362.0</v>
      </c>
      <c r="B364" s="34" t="s">
        <v>1470</v>
      </c>
      <c r="C364" s="34"/>
      <c r="D364" s="33">
        <v>9.874894147E9</v>
      </c>
      <c r="E364" s="34" t="s">
        <v>211</v>
      </c>
      <c r="F364" s="34" t="s">
        <v>66</v>
      </c>
      <c r="G364" s="67" t="s">
        <v>1217</v>
      </c>
      <c r="H364" s="9" t="s">
        <v>1218</v>
      </c>
      <c r="I364" s="10" t="s">
        <v>161</v>
      </c>
      <c r="J364" s="43"/>
      <c r="K364" s="63"/>
      <c r="L364" s="43"/>
    </row>
    <row r="365" ht="22.5" customHeight="1">
      <c r="A365" s="9">
        <v>363.0</v>
      </c>
      <c r="B365" s="34" t="s">
        <v>1471</v>
      </c>
      <c r="C365" s="34"/>
      <c r="D365" s="33">
        <v>9.830885544E9</v>
      </c>
      <c r="E365" s="34" t="s">
        <v>211</v>
      </c>
      <c r="F365" s="34" t="s">
        <v>66</v>
      </c>
      <c r="G365" s="67" t="s">
        <v>1217</v>
      </c>
      <c r="H365" s="9" t="s">
        <v>1218</v>
      </c>
      <c r="I365" s="10" t="s">
        <v>161</v>
      </c>
      <c r="J365" s="43"/>
      <c r="K365" s="63"/>
      <c r="L365" s="43"/>
    </row>
    <row r="366" ht="22.5" customHeight="1">
      <c r="A366" s="9">
        <v>364.0</v>
      </c>
      <c r="B366" s="34" t="s">
        <v>1472</v>
      </c>
      <c r="C366" s="34"/>
      <c r="D366" s="33">
        <v>6.290530105E9</v>
      </c>
      <c r="E366" s="34" t="s">
        <v>211</v>
      </c>
      <c r="F366" s="34" t="s">
        <v>66</v>
      </c>
      <c r="G366" s="67" t="s">
        <v>1217</v>
      </c>
      <c r="H366" s="9" t="s">
        <v>1218</v>
      </c>
      <c r="I366" s="10" t="s">
        <v>161</v>
      </c>
      <c r="J366" s="43"/>
      <c r="K366" s="63"/>
      <c r="L366" s="43"/>
    </row>
    <row r="367" ht="22.5" customHeight="1">
      <c r="A367" s="9">
        <v>365.0</v>
      </c>
      <c r="B367" s="34" t="s">
        <v>1473</v>
      </c>
      <c r="C367" s="34"/>
      <c r="D367" s="33">
        <v>9.874549226E9</v>
      </c>
      <c r="E367" s="34" t="s">
        <v>211</v>
      </c>
      <c r="F367" s="34" t="s">
        <v>66</v>
      </c>
      <c r="G367" s="67" t="s">
        <v>1217</v>
      </c>
      <c r="H367" s="9" t="s">
        <v>1218</v>
      </c>
      <c r="I367" s="10" t="s">
        <v>14</v>
      </c>
      <c r="J367" s="43"/>
      <c r="K367" s="63"/>
      <c r="L367" s="43"/>
    </row>
    <row r="368" ht="22.5" customHeight="1">
      <c r="A368" s="9">
        <v>366.0</v>
      </c>
      <c r="B368" s="34" t="s">
        <v>1474</v>
      </c>
      <c r="C368" s="34"/>
      <c r="D368" s="33">
        <v>9.153509801E9</v>
      </c>
      <c r="E368" s="34" t="s">
        <v>211</v>
      </c>
      <c r="F368" s="34" t="s">
        <v>66</v>
      </c>
      <c r="G368" s="67" t="s">
        <v>1217</v>
      </c>
      <c r="H368" s="9" t="s">
        <v>1218</v>
      </c>
      <c r="I368" s="10" t="s">
        <v>14</v>
      </c>
      <c r="J368" s="43"/>
      <c r="K368" s="63"/>
      <c r="L368" s="43"/>
    </row>
    <row r="369" ht="22.5" customHeight="1">
      <c r="A369" s="9">
        <v>367.0</v>
      </c>
      <c r="B369" s="34" t="s">
        <v>1475</v>
      </c>
      <c r="C369" s="34"/>
      <c r="D369" s="33">
        <v>9.831542845E9</v>
      </c>
      <c r="E369" s="34" t="s">
        <v>211</v>
      </c>
      <c r="F369" s="34" t="s">
        <v>66</v>
      </c>
      <c r="G369" s="67" t="s">
        <v>1217</v>
      </c>
      <c r="H369" s="9" t="s">
        <v>1218</v>
      </c>
      <c r="I369" s="10" t="s">
        <v>161</v>
      </c>
      <c r="J369" s="43"/>
      <c r="K369" s="63"/>
      <c r="L369" s="43"/>
    </row>
    <row r="370" ht="22.5" customHeight="1">
      <c r="A370" s="9">
        <v>368.0</v>
      </c>
      <c r="B370" s="34" t="s">
        <v>1476</v>
      </c>
      <c r="C370" s="34"/>
      <c r="D370" s="33">
        <v>7.00331691E9</v>
      </c>
      <c r="E370" s="34" t="s">
        <v>211</v>
      </c>
      <c r="F370" s="34" t="s">
        <v>66</v>
      </c>
      <c r="G370" s="67" t="s">
        <v>1217</v>
      </c>
      <c r="H370" s="9" t="s">
        <v>1218</v>
      </c>
      <c r="I370" s="10" t="s">
        <v>161</v>
      </c>
      <c r="J370" s="43"/>
      <c r="K370" s="63"/>
      <c r="L370" s="43"/>
    </row>
    <row r="371" ht="22.5" customHeight="1">
      <c r="A371" s="9">
        <v>369.0</v>
      </c>
      <c r="B371" s="34" t="s">
        <v>1477</v>
      </c>
      <c r="C371" s="34"/>
      <c r="D371" s="33">
        <v>9.051625211E9</v>
      </c>
      <c r="E371" s="34" t="s">
        <v>211</v>
      </c>
      <c r="F371" s="34" t="s">
        <v>66</v>
      </c>
      <c r="G371" s="67" t="s">
        <v>1217</v>
      </c>
      <c r="H371" s="9" t="s">
        <v>1218</v>
      </c>
      <c r="I371" s="10" t="s">
        <v>161</v>
      </c>
      <c r="J371" s="43"/>
      <c r="K371" s="63"/>
      <c r="L371" s="43"/>
    </row>
    <row r="372" ht="22.5" customHeight="1">
      <c r="A372" s="9">
        <v>370.0</v>
      </c>
      <c r="B372" s="34" t="s">
        <v>1478</v>
      </c>
      <c r="C372" s="34"/>
      <c r="D372" s="33">
        <v>9.330982403E9</v>
      </c>
      <c r="E372" s="34" t="s">
        <v>211</v>
      </c>
      <c r="F372" s="34" t="s">
        <v>66</v>
      </c>
      <c r="G372" s="67" t="s">
        <v>1217</v>
      </c>
      <c r="H372" s="9" t="s">
        <v>1218</v>
      </c>
      <c r="I372" s="10" t="s">
        <v>161</v>
      </c>
      <c r="J372" s="43"/>
      <c r="K372" s="63"/>
      <c r="L372" s="43"/>
    </row>
    <row r="373" ht="22.5" customHeight="1">
      <c r="A373" s="9">
        <v>371.0</v>
      </c>
      <c r="B373" s="34" t="s">
        <v>1479</v>
      </c>
      <c r="C373" s="34"/>
      <c r="D373" s="33">
        <v>9.007450774E9</v>
      </c>
      <c r="E373" s="34" t="s">
        <v>211</v>
      </c>
      <c r="F373" s="34" t="s">
        <v>66</v>
      </c>
      <c r="G373" s="67" t="s">
        <v>1217</v>
      </c>
      <c r="H373" s="9" t="s">
        <v>1218</v>
      </c>
      <c r="I373" s="10" t="s">
        <v>176</v>
      </c>
      <c r="J373" s="43"/>
      <c r="K373" s="63"/>
      <c r="L373" s="43"/>
    </row>
    <row r="374" ht="22.5" customHeight="1">
      <c r="A374" s="9">
        <v>372.0</v>
      </c>
      <c r="B374" s="34" t="s">
        <v>1480</v>
      </c>
      <c r="C374" s="34"/>
      <c r="D374" s="33">
        <v>8.920239565E9</v>
      </c>
      <c r="E374" s="34" t="s">
        <v>211</v>
      </c>
      <c r="F374" s="34" t="s">
        <v>66</v>
      </c>
      <c r="G374" s="67" t="s">
        <v>1217</v>
      </c>
      <c r="H374" s="9" t="s">
        <v>1218</v>
      </c>
      <c r="I374" s="10" t="s">
        <v>176</v>
      </c>
      <c r="J374" s="43"/>
      <c r="K374" s="63"/>
      <c r="L374" s="43"/>
    </row>
    <row r="375" ht="22.5" customHeight="1">
      <c r="A375" s="9">
        <v>373.0</v>
      </c>
      <c r="B375" s="34" t="s">
        <v>1481</v>
      </c>
      <c r="C375" s="34"/>
      <c r="D375" s="33">
        <v>9.433929053E9</v>
      </c>
      <c r="E375" s="34" t="s">
        <v>211</v>
      </c>
      <c r="F375" s="34" t="s">
        <v>66</v>
      </c>
      <c r="G375" s="67" t="s">
        <v>1217</v>
      </c>
      <c r="H375" s="9" t="s">
        <v>1218</v>
      </c>
      <c r="I375" s="10" t="s">
        <v>14</v>
      </c>
      <c r="J375" s="43"/>
      <c r="K375" s="63"/>
      <c r="L375" s="43"/>
    </row>
    <row r="376" ht="22.5" customHeight="1">
      <c r="A376" s="9">
        <v>374.0</v>
      </c>
      <c r="B376" s="34" t="s">
        <v>1482</v>
      </c>
      <c r="C376" s="34"/>
      <c r="D376" s="33">
        <v>6.239666271E9</v>
      </c>
      <c r="E376" s="34" t="s">
        <v>211</v>
      </c>
      <c r="F376" s="34" t="s">
        <v>66</v>
      </c>
      <c r="G376" s="67" t="s">
        <v>1217</v>
      </c>
      <c r="H376" s="9" t="s">
        <v>1218</v>
      </c>
      <c r="I376" s="10" t="s">
        <v>161</v>
      </c>
      <c r="J376" s="43"/>
      <c r="K376" s="63"/>
      <c r="L376" s="43"/>
    </row>
    <row r="377" ht="22.5" customHeight="1">
      <c r="A377" s="9">
        <v>375.0</v>
      </c>
      <c r="B377" s="34" t="s">
        <v>1483</v>
      </c>
      <c r="C377" s="34"/>
      <c r="D377" s="33">
        <v>8.420133943E9</v>
      </c>
      <c r="E377" s="34" t="s">
        <v>211</v>
      </c>
      <c r="F377" s="34" t="s">
        <v>66</v>
      </c>
      <c r="G377" s="67" t="s">
        <v>1217</v>
      </c>
      <c r="H377" s="9" t="s">
        <v>1218</v>
      </c>
      <c r="I377" s="10" t="s">
        <v>161</v>
      </c>
      <c r="J377" s="43"/>
      <c r="K377" s="63"/>
      <c r="L377" s="43"/>
    </row>
    <row r="378" ht="22.5" customHeight="1">
      <c r="A378" s="9">
        <v>376.0</v>
      </c>
      <c r="B378" s="34" t="s">
        <v>1484</v>
      </c>
      <c r="C378" s="34"/>
      <c r="D378" s="33">
        <v>8.777703567E9</v>
      </c>
      <c r="E378" s="34" t="s">
        <v>211</v>
      </c>
      <c r="F378" s="34" t="s">
        <v>66</v>
      </c>
      <c r="G378" s="67" t="s">
        <v>1217</v>
      </c>
      <c r="H378" s="9" t="s">
        <v>1218</v>
      </c>
      <c r="I378" s="10" t="s">
        <v>161</v>
      </c>
      <c r="J378" s="43"/>
      <c r="K378" s="63"/>
      <c r="L378" s="43"/>
    </row>
    <row r="379" ht="22.5" customHeight="1">
      <c r="A379" s="9">
        <v>377.0</v>
      </c>
      <c r="B379" s="34" t="s">
        <v>1485</v>
      </c>
      <c r="C379" s="34"/>
      <c r="D379" s="33">
        <v>7.439392545E9</v>
      </c>
      <c r="E379" s="34" t="s">
        <v>211</v>
      </c>
      <c r="F379" s="34" t="s">
        <v>66</v>
      </c>
      <c r="G379" s="67" t="s">
        <v>1217</v>
      </c>
      <c r="H379" s="9" t="s">
        <v>1218</v>
      </c>
      <c r="I379" s="10" t="s">
        <v>161</v>
      </c>
      <c r="J379" s="43"/>
      <c r="K379" s="63"/>
      <c r="L379" s="43"/>
    </row>
    <row r="380" ht="22.5" customHeight="1">
      <c r="A380" s="9">
        <v>378.0</v>
      </c>
      <c r="B380" s="34" t="s">
        <v>1486</v>
      </c>
      <c r="C380" s="34"/>
      <c r="D380" s="33">
        <v>8.583802882E9</v>
      </c>
      <c r="E380" s="34" t="s">
        <v>211</v>
      </c>
      <c r="F380" s="34" t="s">
        <v>66</v>
      </c>
      <c r="G380" s="67" t="s">
        <v>1217</v>
      </c>
      <c r="H380" s="9" t="s">
        <v>1218</v>
      </c>
      <c r="I380" s="10" t="s">
        <v>161</v>
      </c>
      <c r="J380" s="43"/>
      <c r="K380" s="63"/>
      <c r="L380" s="43"/>
    </row>
    <row r="381" ht="22.5" customHeight="1">
      <c r="A381" s="9">
        <v>379.0</v>
      </c>
      <c r="B381" s="34" t="s">
        <v>1487</v>
      </c>
      <c r="C381" s="34"/>
      <c r="D381" s="33">
        <v>9.433378392E9</v>
      </c>
      <c r="E381" s="34" t="s">
        <v>211</v>
      </c>
      <c r="F381" s="34" t="s">
        <v>66</v>
      </c>
      <c r="G381" s="67" t="s">
        <v>1217</v>
      </c>
      <c r="H381" s="9" t="s">
        <v>1218</v>
      </c>
      <c r="I381" s="10" t="s">
        <v>161</v>
      </c>
      <c r="J381" s="43"/>
      <c r="K381" s="63"/>
      <c r="L381" s="43"/>
    </row>
    <row r="382" ht="22.5" customHeight="1">
      <c r="A382" s="9">
        <v>380.0</v>
      </c>
      <c r="B382" s="34" t="s">
        <v>1488</v>
      </c>
      <c r="C382" s="34"/>
      <c r="D382" s="33">
        <v>9.836722283E9</v>
      </c>
      <c r="E382" s="34" t="s">
        <v>211</v>
      </c>
      <c r="F382" s="34" t="s">
        <v>66</v>
      </c>
      <c r="G382" s="67" t="s">
        <v>1217</v>
      </c>
      <c r="H382" s="9" t="s">
        <v>1218</v>
      </c>
      <c r="I382" s="10" t="s">
        <v>14</v>
      </c>
      <c r="J382" s="43"/>
      <c r="K382" s="63"/>
      <c r="L382" s="43"/>
    </row>
    <row r="383" ht="22.5" customHeight="1">
      <c r="A383" s="9">
        <v>381.0</v>
      </c>
      <c r="B383" s="34" t="s">
        <v>1489</v>
      </c>
      <c r="C383" s="34"/>
      <c r="D383" s="33">
        <v>9.339118486E9</v>
      </c>
      <c r="E383" s="34" t="s">
        <v>211</v>
      </c>
      <c r="F383" s="34" t="s">
        <v>66</v>
      </c>
      <c r="G383" s="67" t="s">
        <v>1217</v>
      </c>
      <c r="H383" s="9" t="s">
        <v>1218</v>
      </c>
      <c r="I383" s="10" t="s">
        <v>14</v>
      </c>
      <c r="J383" s="43"/>
      <c r="K383" s="63"/>
      <c r="L383" s="43"/>
    </row>
    <row r="384" ht="22.5" customHeight="1">
      <c r="A384" s="9">
        <v>382.0</v>
      </c>
      <c r="B384" s="34" t="s">
        <v>1490</v>
      </c>
      <c r="C384" s="34"/>
      <c r="D384" s="33">
        <v>9.142586871E9</v>
      </c>
      <c r="E384" s="34" t="s">
        <v>211</v>
      </c>
      <c r="F384" s="34" t="s">
        <v>66</v>
      </c>
      <c r="G384" s="67" t="s">
        <v>1217</v>
      </c>
      <c r="H384" s="9" t="s">
        <v>1218</v>
      </c>
      <c r="I384" s="10" t="s">
        <v>14</v>
      </c>
      <c r="J384" s="43"/>
      <c r="K384" s="63"/>
      <c r="L384" s="43"/>
    </row>
    <row r="385" ht="22.5" customHeight="1">
      <c r="A385" s="9">
        <v>383.0</v>
      </c>
      <c r="B385" s="34" t="s">
        <v>1491</v>
      </c>
      <c r="C385" s="34"/>
      <c r="D385" s="33">
        <v>9.147380124E9</v>
      </c>
      <c r="E385" s="34" t="s">
        <v>211</v>
      </c>
      <c r="F385" s="34" t="s">
        <v>66</v>
      </c>
      <c r="G385" s="67" t="s">
        <v>1217</v>
      </c>
      <c r="H385" s="9" t="s">
        <v>1218</v>
      </c>
      <c r="I385" s="10" t="s">
        <v>14</v>
      </c>
      <c r="J385" s="43"/>
      <c r="K385" s="63"/>
      <c r="L385" s="43"/>
    </row>
    <row r="386" ht="22.5" customHeight="1">
      <c r="A386" s="9">
        <v>384.0</v>
      </c>
      <c r="B386" s="34" t="s">
        <v>1492</v>
      </c>
      <c r="C386" s="34"/>
      <c r="D386" s="33">
        <v>9.832243285E9</v>
      </c>
      <c r="E386" s="34" t="s">
        <v>211</v>
      </c>
      <c r="F386" s="34" t="s">
        <v>66</v>
      </c>
      <c r="G386" s="67" t="s">
        <v>1217</v>
      </c>
      <c r="H386" s="9" t="s">
        <v>1218</v>
      </c>
      <c r="I386" s="10" t="s">
        <v>161</v>
      </c>
      <c r="J386" s="43"/>
      <c r="K386" s="63"/>
      <c r="L386" s="43"/>
    </row>
    <row r="387" ht="22.5" customHeight="1">
      <c r="A387" s="9">
        <v>385.0</v>
      </c>
      <c r="B387" s="34" t="s">
        <v>1493</v>
      </c>
      <c r="C387" s="34"/>
      <c r="D387" s="33">
        <v>9.874310446E9</v>
      </c>
      <c r="E387" s="34" t="s">
        <v>211</v>
      </c>
      <c r="F387" s="34" t="s">
        <v>66</v>
      </c>
      <c r="G387" s="67" t="s">
        <v>1217</v>
      </c>
      <c r="H387" s="9" t="s">
        <v>1218</v>
      </c>
      <c r="I387" s="10" t="s">
        <v>161</v>
      </c>
      <c r="J387" s="43"/>
      <c r="K387" s="63"/>
      <c r="L387" s="43"/>
    </row>
    <row r="388" ht="22.5" customHeight="1">
      <c r="A388" s="9">
        <v>386.0</v>
      </c>
      <c r="B388" s="34" t="s">
        <v>1494</v>
      </c>
      <c r="C388" s="34"/>
      <c r="D388" s="33">
        <v>7.908051101E9</v>
      </c>
      <c r="E388" s="34" t="s">
        <v>211</v>
      </c>
      <c r="F388" s="34" t="s">
        <v>66</v>
      </c>
      <c r="G388" s="67" t="s">
        <v>1217</v>
      </c>
      <c r="H388" s="9" t="s">
        <v>1218</v>
      </c>
      <c r="I388" s="10" t="s">
        <v>161</v>
      </c>
      <c r="J388" s="43"/>
      <c r="K388" s="63"/>
      <c r="L388" s="43"/>
    </row>
    <row r="389" ht="22.5" customHeight="1">
      <c r="A389" s="9">
        <v>387.0</v>
      </c>
      <c r="B389" s="34" t="s">
        <v>1495</v>
      </c>
      <c r="C389" s="34"/>
      <c r="D389" s="33">
        <v>6.296077849E9</v>
      </c>
      <c r="E389" s="34" t="s">
        <v>211</v>
      </c>
      <c r="F389" s="34" t="s">
        <v>66</v>
      </c>
      <c r="G389" s="67" t="s">
        <v>1217</v>
      </c>
      <c r="H389" s="9" t="s">
        <v>1218</v>
      </c>
      <c r="I389" s="10" t="s">
        <v>161</v>
      </c>
      <c r="J389" s="43"/>
      <c r="K389" s="63"/>
      <c r="L389" s="43"/>
    </row>
    <row r="390" ht="22.5" customHeight="1">
      <c r="A390" s="9">
        <v>388.0</v>
      </c>
      <c r="B390" s="34" t="s">
        <v>1496</v>
      </c>
      <c r="C390" s="34"/>
      <c r="D390" s="33">
        <v>7.003799722E9</v>
      </c>
      <c r="E390" s="34" t="s">
        <v>211</v>
      </c>
      <c r="F390" s="34" t="s">
        <v>66</v>
      </c>
      <c r="G390" s="67" t="s">
        <v>1217</v>
      </c>
      <c r="H390" s="9" t="s">
        <v>1218</v>
      </c>
      <c r="I390" s="10" t="s">
        <v>161</v>
      </c>
      <c r="J390" s="43"/>
      <c r="K390" s="63"/>
      <c r="L390" s="43"/>
    </row>
    <row r="391" ht="22.5" customHeight="1">
      <c r="A391" s="9">
        <v>389.0</v>
      </c>
      <c r="B391" s="34" t="s">
        <v>1497</v>
      </c>
      <c r="C391" s="34"/>
      <c r="D391" s="33">
        <v>7.439890045E9</v>
      </c>
      <c r="E391" s="34" t="s">
        <v>211</v>
      </c>
      <c r="F391" s="34" t="s">
        <v>66</v>
      </c>
      <c r="G391" s="67" t="s">
        <v>1217</v>
      </c>
      <c r="H391" s="9" t="s">
        <v>1218</v>
      </c>
      <c r="I391" s="10" t="s">
        <v>161</v>
      </c>
      <c r="J391" s="43"/>
      <c r="K391" s="63"/>
      <c r="L391" s="43"/>
    </row>
    <row r="392" ht="22.5" customHeight="1">
      <c r="A392" s="9">
        <v>390.0</v>
      </c>
      <c r="B392" s="34" t="s">
        <v>1498</v>
      </c>
      <c r="C392" s="34"/>
      <c r="D392" s="33">
        <v>8.348587501E9</v>
      </c>
      <c r="E392" s="34" t="s">
        <v>211</v>
      </c>
      <c r="F392" s="34" t="s">
        <v>66</v>
      </c>
      <c r="G392" s="67" t="s">
        <v>1217</v>
      </c>
      <c r="H392" s="9" t="s">
        <v>1218</v>
      </c>
      <c r="I392" s="10" t="s">
        <v>161</v>
      </c>
      <c r="J392" s="43"/>
      <c r="K392" s="63"/>
      <c r="L392" s="43"/>
    </row>
    <row r="393" ht="22.5" customHeight="1">
      <c r="A393" s="9">
        <v>391.0</v>
      </c>
      <c r="B393" s="34" t="s">
        <v>1499</v>
      </c>
      <c r="C393" s="34"/>
      <c r="D393" s="33">
        <v>8.918423197E9</v>
      </c>
      <c r="E393" s="34" t="s">
        <v>211</v>
      </c>
      <c r="F393" s="34" t="s">
        <v>66</v>
      </c>
      <c r="G393" s="67" t="s">
        <v>1217</v>
      </c>
      <c r="H393" s="9" t="s">
        <v>1218</v>
      </c>
      <c r="I393" s="10" t="s">
        <v>161</v>
      </c>
      <c r="J393" s="43"/>
      <c r="K393" s="63"/>
      <c r="L393" s="43"/>
    </row>
    <row r="394" ht="22.5" customHeight="1">
      <c r="A394" s="9">
        <v>392.0</v>
      </c>
      <c r="B394" s="34" t="s">
        <v>1500</v>
      </c>
      <c r="C394" s="34"/>
      <c r="D394" s="33">
        <v>7.980736565E9</v>
      </c>
      <c r="E394" s="34" t="s">
        <v>211</v>
      </c>
      <c r="F394" s="34" t="s">
        <v>66</v>
      </c>
      <c r="G394" s="67" t="s">
        <v>1217</v>
      </c>
      <c r="H394" s="9" t="s">
        <v>1218</v>
      </c>
      <c r="I394" s="10" t="s">
        <v>161</v>
      </c>
      <c r="J394" s="43"/>
      <c r="K394" s="63"/>
      <c r="L394" s="43"/>
    </row>
    <row r="395" ht="22.5" customHeight="1">
      <c r="A395" s="9">
        <v>393.0</v>
      </c>
      <c r="B395" s="34" t="s">
        <v>1501</v>
      </c>
      <c r="C395" s="34"/>
      <c r="D395" s="33">
        <v>8.101796784E9</v>
      </c>
      <c r="E395" s="34" t="s">
        <v>211</v>
      </c>
      <c r="F395" s="34" t="s">
        <v>66</v>
      </c>
      <c r="G395" s="67" t="s">
        <v>1217</v>
      </c>
      <c r="H395" s="9" t="s">
        <v>1218</v>
      </c>
      <c r="I395" s="10" t="s">
        <v>161</v>
      </c>
      <c r="J395" s="43"/>
      <c r="K395" s="63"/>
      <c r="L395" s="43"/>
    </row>
    <row r="396" ht="22.5" customHeight="1">
      <c r="A396" s="9">
        <v>394.0</v>
      </c>
      <c r="B396" s="34" t="s">
        <v>1502</v>
      </c>
      <c r="C396" s="34"/>
      <c r="D396" s="33">
        <v>6.387368681E9</v>
      </c>
      <c r="E396" s="34" t="s">
        <v>211</v>
      </c>
      <c r="F396" s="34" t="s">
        <v>66</v>
      </c>
      <c r="G396" s="67" t="s">
        <v>1217</v>
      </c>
      <c r="H396" s="9" t="s">
        <v>1218</v>
      </c>
      <c r="I396" s="10" t="s">
        <v>161</v>
      </c>
      <c r="J396" s="43"/>
      <c r="K396" s="63"/>
      <c r="L396" s="43"/>
    </row>
    <row r="397" ht="22.5" customHeight="1">
      <c r="A397" s="9">
        <v>395.0</v>
      </c>
      <c r="B397" s="34" t="s">
        <v>1503</v>
      </c>
      <c r="C397" s="34"/>
      <c r="D397" s="33">
        <v>9.434435649E9</v>
      </c>
      <c r="E397" s="34" t="s">
        <v>211</v>
      </c>
      <c r="F397" s="34" t="s">
        <v>66</v>
      </c>
      <c r="G397" s="67" t="s">
        <v>1217</v>
      </c>
      <c r="H397" s="9" t="s">
        <v>1218</v>
      </c>
      <c r="I397" s="10" t="s">
        <v>161</v>
      </c>
      <c r="J397" s="43"/>
      <c r="K397" s="63"/>
      <c r="L397" s="43"/>
    </row>
    <row r="398" ht="22.5" customHeight="1">
      <c r="A398" s="9">
        <v>396.0</v>
      </c>
      <c r="B398" s="34" t="s">
        <v>1504</v>
      </c>
      <c r="C398" s="34"/>
      <c r="D398" s="33">
        <v>7.439091623E9</v>
      </c>
      <c r="E398" s="34" t="s">
        <v>211</v>
      </c>
      <c r="F398" s="34" t="s">
        <v>66</v>
      </c>
      <c r="G398" s="67" t="s">
        <v>1217</v>
      </c>
      <c r="H398" s="9" t="s">
        <v>1218</v>
      </c>
      <c r="I398" s="10" t="s">
        <v>161</v>
      </c>
      <c r="J398" s="43"/>
      <c r="K398" s="63"/>
      <c r="L398" s="43"/>
    </row>
    <row r="399" ht="22.5" customHeight="1">
      <c r="A399" s="9">
        <v>397.0</v>
      </c>
      <c r="B399" s="34" t="s">
        <v>1505</v>
      </c>
      <c r="C399" s="34"/>
      <c r="D399" s="33">
        <v>9.002222274E9</v>
      </c>
      <c r="E399" s="34" t="s">
        <v>211</v>
      </c>
      <c r="F399" s="34" t="s">
        <v>66</v>
      </c>
      <c r="G399" s="67" t="s">
        <v>1217</v>
      </c>
      <c r="H399" s="9" t="s">
        <v>1218</v>
      </c>
      <c r="I399" s="10" t="s">
        <v>161</v>
      </c>
      <c r="J399" s="43"/>
      <c r="K399" s="63"/>
      <c r="L399" s="43"/>
    </row>
    <row r="400" ht="22.5" customHeight="1">
      <c r="A400" s="9">
        <v>398.0</v>
      </c>
      <c r="B400" s="34" t="s">
        <v>1506</v>
      </c>
      <c r="C400" s="34"/>
      <c r="D400" s="33">
        <v>6.29196343E9</v>
      </c>
      <c r="E400" s="34" t="s">
        <v>211</v>
      </c>
      <c r="F400" s="34" t="s">
        <v>66</v>
      </c>
      <c r="G400" s="67" t="s">
        <v>1217</v>
      </c>
      <c r="H400" s="9" t="s">
        <v>1218</v>
      </c>
      <c r="I400" s="10" t="s">
        <v>161</v>
      </c>
      <c r="J400" s="43"/>
      <c r="K400" s="63"/>
      <c r="L400" s="43"/>
    </row>
    <row r="401" ht="22.5" customHeight="1">
      <c r="A401" s="9">
        <v>399.0</v>
      </c>
      <c r="B401" s="34" t="s">
        <v>1507</v>
      </c>
      <c r="C401" s="34"/>
      <c r="D401" s="33">
        <v>8.116270166E9</v>
      </c>
      <c r="E401" s="34" t="s">
        <v>211</v>
      </c>
      <c r="F401" s="34" t="s">
        <v>66</v>
      </c>
      <c r="G401" s="67" t="s">
        <v>1217</v>
      </c>
      <c r="H401" s="9" t="s">
        <v>1218</v>
      </c>
      <c r="I401" s="10" t="s">
        <v>161</v>
      </c>
      <c r="J401" s="43"/>
      <c r="K401" s="63"/>
      <c r="L401" s="43"/>
    </row>
    <row r="402" ht="22.5" customHeight="1">
      <c r="A402" s="9">
        <v>400.0</v>
      </c>
      <c r="B402" s="34" t="s">
        <v>1508</v>
      </c>
      <c r="C402" s="34"/>
      <c r="D402" s="33">
        <v>7.872611289E9</v>
      </c>
      <c r="E402" s="34" t="s">
        <v>211</v>
      </c>
      <c r="F402" s="34" t="s">
        <v>66</v>
      </c>
      <c r="G402" s="67" t="s">
        <v>1217</v>
      </c>
      <c r="H402" s="9" t="s">
        <v>1218</v>
      </c>
      <c r="I402" s="10" t="s">
        <v>161</v>
      </c>
      <c r="J402" s="43"/>
      <c r="K402" s="63"/>
      <c r="L402" s="43"/>
    </row>
    <row r="403" ht="22.5" customHeight="1">
      <c r="A403" s="9">
        <v>401.0</v>
      </c>
      <c r="B403" s="34" t="s">
        <v>1509</v>
      </c>
      <c r="C403" s="34"/>
      <c r="D403" s="33">
        <v>9.007766317E9</v>
      </c>
      <c r="E403" s="34" t="s">
        <v>211</v>
      </c>
      <c r="F403" s="34" t="s">
        <v>66</v>
      </c>
      <c r="G403" s="67" t="s">
        <v>1217</v>
      </c>
      <c r="H403" s="9" t="s">
        <v>1218</v>
      </c>
      <c r="I403" s="10" t="s">
        <v>161</v>
      </c>
      <c r="J403" s="43"/>
      <c r="K403" s="63"/>
      <c r="L403" s="43"/>
    </row>
    <row r="404" ht="22.5" customHeight="1">
      <c r="A404" s="9">
        <v>402.0</v>
      </c>
      <c r="B404" s="34" t="s">
        <v>1510</v>
      </c>
      <c r="C404" s="34"/>
      <c r="D404" s="33">
        <v>9.43429085E9</v>
      </c>
      <c r="E404" s="34" t="s">
        <v>211</v>
      </c>
      <c r="F404" s="34" t="s">
        <v>66</v>
      </c>
      <c r="G404" s="67" t="s">
        <v>1217</v>
      </c>
      <c r="H404" s="9" t="s">
        <v>1218</v>
      </c>
      <c r="I404" s="10" t="s">
        <v>14</v>
      </c>
      <c r="J404" s="43"/>
      <c r="K404" s="63"/>
      <c r="L404" s="43"/>
    </row>
    <row r="405" ht="22.5" customHeight="1">
      <c r="A405" s="9">
        <v>403.0</v>
      </c>
      <c r="B405" s="34" t="s">
        <v>1511</v>
      </c>
      <c r="C405" s="34"/>
      <c r="D405" s="33">
        <v>9.332621989E9</v>
      </c>
      <c r="E405" s="34" t="s">
        <v>211</v>
      </c>
      <c r="F405" s="34" t="s">
        <v>66</v>
      </c>
      <c r="G405" s="67" t="s">
        <v>1217</v>
      </c>
      <c r="H405" s="9" t="s">
        <v>1218</v>
      </c>
      <c r="I405" s="10" t="s">
        <v>176</v>
      </c>
      <c r="J405" s="43"/>
      <c r="K405" s="63"/>
      <c r="L405" s="43"/>
    </row>
    <row r="406" ht="22.5" customHeight="1">
      <c r="A406" s="9">
        <v>1474.0</v>
      </c>
      <c r="B406" s="27" t="s">
        <v>1512</v>
      </c>
      <c r="D406" s="28">
        <v>9.44157288E9</v>
      </c>
      <c r="E406" s="68"/>
      <c r="F406" s="34"/>
      <c r="G406" s="67"/>
      <c r="H406" s="9" t="s">
        <v>1513</v>
      </c>
      <c r="I406" s="10" t="s">
        <v>161</v>
      </c>
      <c r="J406" s="43"/>
      <c r="K406" s="63"/>
      <c r="L406" s="43"/>
    </row>
    <row r="407" ht="22.5" customHeight="1">
      <c r="A407" s="9">
        <v>1475.0</v>
      </c>
      <c r="B407" s="27" t="s">
        <v>1514</v>
      </c>
      <c r="D407" s="28">
        <v>9.573892315E9</v>
      </c>
      <c r="E407" s="68"/>
      <c r="F407" s="34"/>
      <c r="G407" s="67"/>
      <c r="H407" s="9" t="s">
        <v>1513</v>
      </c>
      <c r="I407" s="10" t="s">
        <v>161</v>
      </c>
      <c r="J407" s="43"/>
      <c r="K407" s="63"/>
      <c r="L407" s="43"/>
    </row>
    <row r="408" ht="22.5" customHeight="1">
      <c r="A408" s="9">
        <v>1476.0</v>
      </c>
      <c r="B408" s="27" t="s">
        <v>1515</v>
      </c>
      <c r="D408" s="28">
        <v>8.790211359E9</v>
      </c>
      <c r="E408" s="68"/>
      <c r="F408" s="34"/>
      <c r="G408" s="67"/>
      <c r="H408" s="9" t="s">
        <v>1513</v>
      </c>
      <c r="I408" s="10" t="s">
        <v>176</v>
      </c>
      <c r="J408" s="43"/>
      <c r="K408" s="63"/>
      <c r="L408" s="43"/>
    </row>
    <row r="409" ht="22.5" customHeight="1">
      <c r="A409" s="9">
        <v>1477.0</v>
      </c>
      <c r="B409" s="27" t="s">
        <v>1516</v>
      </c>
      <c r="D409" s="28">
        <v>7.569148006E9</v>
      </c>
      <c r="E409" s="68"/>
      <c r="F409" s="34"/>
      <c r="G409" s="67"/>
      <c r="H409" s="9" t="s">
        <v>1513</v>
      </c>
      <c r="I409" s="10" t="s">
        <v>14</v>
      </c>
      <c r="J409" s="43"/>
      <c r="K409" s="63"/>
      <c r="L409" s="43"/>
    </row>
    <row r="410" ht="22.5" customHeight="1">
      <c r="A410" s="9">
        <v>1478.0</v>
      </c>
      <c r="B410" s="27" t="s">
        <v>1517</v>
      </c>
      <c r="D410" s="28">
        <v>8.985136263E9</v>
      </c>
      <c r="E410" s="68"/>
      <c r="F410" s="34"/>
      <c r="G410" s="67"/>
      <c r="H410" s="9" t="s">
        <v>1513</v>
      </c>
      <c r="I410" s="10" t="s">
        <v>161</v>
      </c>
      <c r="J410" s="43"/>
      <c r="K410" s="63"/>
      <c r="L410" s="43"/>
    </row>
    <row r="411" ht="22.5" customHeight="1">
      <c r="A411" s="9">
        <v>1479.0</v>
      </c>
      <c r="B411" s="27" t="s">
        <v>1518</v>
      </c>
      <c r="D411" s="28">
        <v>8.639683285E9</v>
      </c>
      <c r="E411" s="68"/>
      <c r="F411" s="34"/>
      <c r="G411" s="67"/>
      <c r="H411" s="9" t="s">
        <v>1513</v>
      </c>
      <c r="I411" s="10" t="s">
        <v>14</v>
      </c>
      <c r="J411" s="43"/>
      <c r="K411" s="63"/>
      <c r="L411" s="43"/>
    </row>
    <row r="412" ht="22.5" customHeight="1">
      <c r="A412" s="9">
        <v>1480.0</v>
      </c>
      <c r="B412" s="27" t="s">
        <v>1519</v>
      </c>
      <c r="D412" s="28">
        <v>9.652312018E9</v>
      </c>
      <c r="E412" s="68"/>
      <c r="F412" s="34"/>
      <c r="G412" s="67"/>
      <c r="H412" s="9" t="s">
        <v>1513</v>
      </c>
      <c r="I412" s="10" t="s">
        <v>14</v>
      </c>
      <c r="J412" s="43"/>
      <c r="K412" s="63"/>
      <c r="L412" s="43"/>
    </row>
    <row r="413" ht="22.5" customHeight="1">
      <c r="A413" s="9">
        <v>1481.0</v>
      </c>
      <c r="B413" s="27" t="s">
        <v>1520</v>
      </c>
      <c r="D413" s="28">
        <v>9.381762862E9</v>
      </c>
      <c r="E413" s="68"/>
      <c r="F413" s="34"/>
      <c r="G413" s="67"/>
      <c r="H413" s="9" t="s">
        <v>1513</v>
      </c>
      <c r="I413" s="10" t="s">
        <v>161</v>
      </c>
      <c r="J413" s="43"/>
      <c r="K413" s="63"/>
      <c r="L413" s="43"/>
    </row>
    <row r="414" ht="22.5" customHeight="1">
      <c r="A414" s="9">
        <v>1482.0</v>
      </c>
      <c r="B414" s="27" t="s">
        <v>1521</v>
      </c>
      <c r="D414" s="28">
        <v>9.581631088E9</v>
      </c>
      <c r="E414" s="68"/>
      <c r="F414" s="34"/>
      <c r="G414" s="67"/>
      <c r="H414" s="9" t="s">
        <v>1513</v>
      </c>
      <c r="I414" s="10" t="s">
        <v>161</v>
      </c>
      <c r="J414" s="43"/>
      <c r="K414" s="63"/>
      <c r="L414" s="43"/>
    </row>
    <row r="415" ht="22.5" customHeight="1">
      <c r="A415" s="9">
        <v>1483.0</v>
      </c>
      <c r="B415" s="27" t="s">
        <v>1522</v>
      </c>
      <c r="D415" s="28">
        <v>9.440941543E9</v>
      </c>
      <c r="E415" s="68"/>
      <c r="F415" s="34"/>
      <c r="G415" s="67"/>
      <c r="H415" s="9" t="s">
        <v>1513</v>
      </c>
      <c r="I415" s="10" t="s">
        <v>161</v>
      </c>
      <c r="J415" s="43"/>
      <c r="K415" s="63"/>
      <c r="L415" s="43"/>
    </row>
    <row r="416" ht="22.5" customHeight="1">
      <c r="A416" s="9">
        <v>1484.0</v>
      </c>
      <c r="B416" s="27" t="s">
        <v>1523</v>
      </c>
      <c r="D416" s="28">
        <v>8.897477677E9</v>
      </c>
      <c r="E416" s="68"/>
      <c r="F416" s="34"/>
      <c r="G416" s="67"/>
      <c r="H416" s="9" t="s">
        <v>1513</v>
      </c>
      <c r="I416" s="10" t="s">
        <v>161</v>
      </c>
      <c r="J416" s="43"/>
      <c r="K416" s="63"/>
      <c r="L416" s="43"/>
    </row>
    <row r="417" ht="22.5" customHeight="1">
      <c r="A417" s="9">
        <v>1485.0</v>
      </c>
      <c r="B417" s="27" t="s">
        <v>1524</v>
      </c>
      <c r="D417" s="28">
        <v>9.989294145E9</v>
      </c>
      <c r="E417" s="68"/>
      <c r="F417" s="34"/>
      <c r="G417" s="67"/>
      <c r="H417" s="9" t="s">
        <v>1513</v>
      </c>
      <c r="I417" s="10" t="s">
        <v>161</v>
      </c>
      <c r="J417" s="43"/>
      <c r="K417" s="63"/>
      <c r="L417" s="43"/>
    </row>
    <row r="418" ht="22.5" customHeight="1">
      <c r="A418" s="9">
        <v>1486.0</v>
      </c>
      <c r="B418" s="27" t="s">
        <v>1525</v>
      </c>
      <c r="D418" s="28">
        <v>6.300818647E9</v>
      </c>
      <c r="E418" s="68"/>
      <c r="F418" s="34"/>
      <c r="G418" s="67"/>
      <c r="H418" s="9" t="s">
        <v>1513</v>
      </c>
      <c r="I418" s="10" t="s">
        <v>14</v>
      </c>
      <c r="J418" s="43"/>
      <c r="K418" s="63"/>
      <c r="L418" s="43"/>
    </row>
    <row r="419" ht="22.5" customHeight="1">
      <c r="A419" s="9">
        <v>1487.0</v>
      </c>
      <c r="B419" s="27" t="s">
        <v>1526</v>
      </c>
      <c r="D419" s="28">
        <v>9.398620132E9</v>
      </c>
      <c r="E419" s="68"/>
      <c r="F419" s="34"/>
      <c r="G419" s="67"/>
      <c r="H419" s="9" t="s">
        <v>1513</v>
      </c>
      <c r="I419" s="10" t="s">
        <v>161</v>
      </c>
      <c r="J419" s="43"/>
      <c r="K419" s="63"/>
      <c r="L419" s="43"/>
    </row>
    <row r="420" ht="22.5" customHeight="1">
      <c r="A420" s="9">
        <v>1488.0</v>
      </c>
      <c r="B420" s="27" t="s">
        <v>1527</v>
      </c>
      <c r="D420" s="28">
        <v>9.000331181E9</v>
      </c>
      <c r="E420" s="68"/>
      <c r="F420" s="34"/>
      <c r="G420" s="67"/>
      <c r="H420" s="9" t="s">
        <v>1513</v>
      </c>
      <c r="I420" s="10" t="s">
        <v>161</v>
      </c>
      <c r="J420" s="43"/>
      <c r="K420" s="63"/>
      <c r="L420" s="43"/>
    </row>
    <row r="421" ht="22.5" customHeight="1">
      <c r="A421" s="9">
        <v>1489.0</v>
      </c>
      <c r="B421" s="27" t="s">
        <v>1528</v>
      </c>
      <c r="D421" s="28">
        <v>9.989376831E9</v>
      </c>
      <c r="E421" s="68"/>
      <c r="F421" s="34"/>
      <c r="G421" s="67"/>
      <c r="H421" s="9" t="s">
        <v>1513</v>
      </c>
      <c r="I421" s="10" t="s">
        <v>161</v>
      </c>
      <c r="J421" s="43"/>
      <c r="K421" s="63"/>
      <c r="L421" s="43"/>
    </row>
    <row r="422" ht="22.5" customHeight="1">
      <c r="A422" s="9">
        <v>1490.0</v>
      </c>
      <c r="B422" s="27" t="s">
        <v>1528</v>
      </c>
      <c r="D422" s="28">
        <v>8.978366702E9</v>
      </c>
      <c r="E422" s="68"/>
      <c r="F422" s="34"/>
      <c r="G422" s="67"/>
      <c r="H422" s="9" t="s">
        <v>1513</v>
      </c>
      <c r="I422" s="10" t="s">
        <v>161</v>
      </c>
      <c r="J422" s="43"/>
      <c r="K422" s="63"/>
      <c r="L422" s="43"/>
    </row>
    <row r="423" ht="22.5" customHeight="1">
      <c r="A423" s="9">
        <v>1491.0</v>
      </c>
      <c r="B423" s="27" t="s">
        <v>1529</v>
      </c>
      <c r="D423" s="28">
        <v>9.080300535E9</v>
      </c>
      <c r="E423" s="68"/>
      <c r="F423" s="34"/>
      <c r="G423" s="67"/>
      <c r="H423" s="9" t="s">
        <v>1513</v>
      </c>
      <c r="I423" s="10" t="s">
        <v>161</v>
      </c>
      <c r="J423" s="43"/>
      <c r="K423" s="63"/>
      <c r="L423" s="43"/>
    </row>
    <row r="424" ht="22.5" customHeight="1">
      <c r="A424" s="9">
        <v>1492.0</v>
      </c>
      <c r="B424" s="27" t="s">
        <v>1530</v>
      </c>
      <c r="D424" s="28">
        <v>8.897819775E9</v>
      </c>
      <c r="E424" s="68"/>
      <c r="F424" s="34"/>
      <c r="G424" s="67"/>
      <c r="H424" s="9" t="s">
        <v>1513</v>
      </c>
      <c r="I424" s="10" t="s">
        <v>161</v>
      </c>
      <c r="J424" s="43"/>
      <c r="K424" s="63"/>
      <c r="L424" s="43"/>
    </row>
    <row r="425" ht="22.5" customHeight="1">
      <c r="A425" s="9">
        <v>1493.0</v>
      </c>
      <c r="B425" s="27" t="s">
        <v>1531</v>
      </c>
      <c r="D425" s="28">
        <v>9.494500852E9</v>
      </c>
      <c r="E425" s="68"/>
      <c r="F425" s="34"/>
      <c r="G425" s="67"/>
      <c r="H425" s="9" t="s">
        <v>1513</v>
      </c>
      <c r="I425" s="10" t="s">
        <v>161</v>
      </c>
      <c r="J425" s="43"/>
      <c r="K425" s="63"/>
      <c r="L425" s="43"/>
    </row>
    <row r="426" ht="22.5" customHeight="1">
      <c r="A426" s="9">
        <v>1494.0</v>
      </c>
      <c r="B426" s="27" t="s">
        <v>1532</v>
      </c>
      <c r="D426" s="28">
        <v>9.581587546E9</v>
      </c>
      <c r="E426" s="68"/>
      <c r="F426" s="34"/>
      <c r="G426" s="67"/>
      <c r="H426" s="9" t="s">
        <v>1513</v>
      </c>
      <c r="I426" s="10"/>
      <c r="J426" s="43"/>
      <c r="K426" s="63"/>
      <c r="L426" s="43"/>
    </row>
    <row r="427" ht="22.5" customHeight="1">
      <c r="A427" s="9">
        <v>1495.0</v>
      </c>
      <c r="B427" s="27" t="s">
        <v>1533</v>
      </c>
      <c r="D427" s="28">
        <v>9.949262192E9</v>
      </c>
      <c r="E427" s="68"/>
      <c r="F427" s="34"/>
      <c r="G427" s="67"/>
      <c r="H427" s="9" t="s">
        <v>1513</v>
      </c>
      <c r="I427" s="10"/>
      <c r="J427" s="43"/>
      <c r="K427" s="63"/>
      <c r="L427" s="43"/>
    </row>
    <row r="428" ht="22.5" customHeight="1">
      <c r="A428" s="9">
        <v>1496.0</v>
      </c>
      <c r="B428" s="27" t="s">
        <v>1534</v>
      </c>
      <c r="D428" s="28">
        <v>9.133252555E9</v>
      </c>
      <c r="E428" s="68"/>
      <c r="F428" s="34"/>
      <c r="G428" s="67"/>
      <c r="H428" s="9" t="s">
        <v>1513</v>
      </c>
      <c r="I428" s="10"/>
      <c r="J428" s="43"/>
      <c r="K428" s="63"/>
      <c r="L428" s="43"/>
    </row>
    <row r="429" ht="22.5" customHeight="1">
      <c r="A429" s="9">
        <v>1497.0</v>
      </c>
      <c r="B429" s="27" t="s">
        <v>1535</v>
      </c>
      <c r="D429" s="28">
        <v>9.441600938E9</v>
      </c>
      <c r="E429" s="68"/>
      <c r="F429" s="34"/>
      <c r="G429" s="67"/>
      <c r="H429" s="9" t="s">
        <v>1513</v>
      </c>
      <c r="I429" s="10"/>
      <c r="J429" s="43"/>
      <c r="K429" s="63"/>
      <c r="L429" s="43"/>
    </row>
    <row r="430" ht="22.5" customHeight="1">
      <c r="A430" s="9">
        <v>1498.0</v>
      </c>
      <c r="B430" s="27" t="s">
        <v>1536</v>
      </c>
      <c r="D430" s="28">
        <v>8.37474424E9</v>
      </c>
      <c r="E430" s="68"/>
      <c r="F430" s="34"/>
      <c r="G430" s="67"/>
      <c r="H430" s="9" t="s">
        <v>1513</v>
      </c>
      <c r="I430" s="10"/>
      <c r="J430" s="43"/>
      <c r="K430" s="63"/>
      <c r="L430" s="43"/>
    </row>
    <row r="431" ht="22.5" customHeight="1">
      <c r="A431" s="9">
        <v>1499.0</v>
      </c>
      <c r="B431" s="27" t="s">
        <v>1537</v>
      </c>
      <c r="D431" s="28">
        <v>9.116081302E9</v>
      </c>
      <c r="E431" s="68"/>
      <c r="F431" s="34"/>
      <c r="G431" s="67"/>
      <c r="H431" s="9" t="s">
        <v>1513</v>
      </c>
      <c r="I431" s="10"/>
      <c r="J431" s="43"/>
      <c r="K431" s="63"/>
      <c r="L431" s="43"/>
    </row>
    <row r="432" ht="22.5" customHeight="1">
      <c r="A432" s="9">
        <v>1500.0</v>
      </c>
      <c r="B432" s="27" t="s">
        <v>1538</v>
      </c>
      <c r="D432" s="28">
        <v>7.013370501E9</v>
      </c>
      <c r="E432" s="68"/>
      <c r="F432" s="34"/>
      <c r="G432" s="67"/>
      <c r="H432" s="9" t="s">
        <v>1513</v>
      </c>
      <c r="I432" s="10"/>
      <c r="J432" s="43"/>
      <c r="K432" s="63"/>
      <c r="L432" s="43"/>
    </row>
    <row r="433" ht="22.5" customHeight="1">
      <c r="A433" s="9">
        <v>1501.0</v>
      </c>
      <c r="B433" s="27" t="s">
        <v>1539</v>
      </c>
      <c r="D433" s="28">
        <v>7.382879193E9</v>
      </c>
      <c r="E433" s="68"/>
      <c r="F433" s="34"/>
      <c r="G433" s="67"/>
      <c r="H433" s="9" t="s">
        <v>1513</v>
      </c>
      <c r="I433" s="10"/>
      <c r="J433" s="43"/>
      <c r="K433" s="63"/>
      <c r="L433" s="43"/>
    </row>
    <row r="434" ht="22.5" customHeight="1">
      <c r="A434" s="9">
        <v>1502.0</v>
      </c>
      <c r="B434" s="27" t="s">
        <v>1540</v>
      </c>
      <c r="D434" s="28">
        <v>9.866846682E9</v>
      </c>
      <c r="E434" s="68"/>
      <c r="F434" s="34"/>
      <c r="G434" s="67"/>
      <c r="H434" s="9" t="s">
        <v>1513</v>
      </c>
      <c r="I434" s="10"/>
      <c r="J434" s="43"/>
      <c r="K434" s="63"/>
      <c r="L434" s="43"/>
    </row>
    <row r="435" ht="22.5" customHeight="1">
      <c r="A435" s="9">
        <v>1503.0</v>
      </c>
      <c r="B435" s="27" t="s">
        <v>1541</v>
      </c>
      <c r="D435" s="28">
        <v>8.074717175E9</v>
      </c>
      <c r="E435" s="68"/>
      <c r="F435" s="34"/>
      <c r="G435" s="67"/>
      <c r="H435" s="9" t="s">
        <v>1513</v>
      </c>
      <c r="I435" s="10"/>
      <c r="J435" s="43"/>
      <c r="K435" s="63"/>
      <c r="L435" s="43"/>
    </row>
    <row r="436" ht="22.5" customHeight="1">
      <c r="A436" s="9">
        <v>1504.0</v>
      </c>
      <c r="B436" s="27" t="s">
        <v>1542</v>
      </c>
      <c r="D436" s="28">
        <v>9.01438293E9</v>
      </c>
      <c r="E436" s="68"/>
      <c r="F436" s="34"/>
      <c r="G436" s="67"/>
      <c r="H436" s="9" t="s">
        <v>1513</v>
      </c>
      <c r="I436" s="10"/>
      <c r="J436" s="43"/>
      <c r="K436" s="63"/>
      <c r="L436" s="43"/>
    </row>
    <row r="437" ht="22.5" customHeight="1">
      <c r="A437" s="9">
        <v>1505.0</v>
      </c>
      <c r="B437" s="27" t="s">
        <v>1543</v>
      </c>
      <c r="D437" s="28">
        <v>9.963900069E9</v>
      </c>
      <c r="E437" s="68"/>
      <c r="F437" s="34"/>
      <c r="G437" s="67"/>
      <c r="H437" s="9" t="s">
        <v>1513</v>
      </c>
      <c r="I437" s="10"/>
      <c r="J437" s="43"/>
      <c r="K437" s="63"/>
      <c r="L437" s="43"/>
    </row>
    <row r="438" ht="22.5" customHeight="1">
      <c r="A438" s="9">
        <v>1506.0</v>
      </c>
      <c r="B438" s="27" t="s">
        <v>1544</v>
      </c>
      <c r="D438" s="28">
        <v>9.505409222E9</v>
      </c>
      <c r="E438" s="68"/>
      <c r="F438" s="34"/>
      <c r="G438" s="67"/>
      <c r="H438" s="9" t="s">
        <v>1513</v>
      </c>
      <c r="I438" s="10"/>
      <c r="J438" s="43"/>
      <c r="K438" s="63"/>
      <c r="L438" s="43"/>
    </row>
    <row r="439" ht="22.5" customHeight="1">
      <c r="A439" s="9">
        <v>1507.0</v>
      </c>
      <c r="B439" s="27" t="s">
        <v>1545</v>
      </c>
      <c r="D439" s="28">
        <v>7.569424207E9</v>
      </c>
      <c r="E439" s="68"/>
      <c r="F439" s="34"/>
      <c r="G439" s="67"/>
      <c r="H439" s="9" t="s">
        <v>1513</v>
      </c>
      <c r="I439" s="10"/>
      <c r="J439" s="43"/>
      <c r="K439" s="63"/>
      <c r="L439" s="43"/>
    </row>
    <row r="440" ht="22.5" customHeight="1">
      <c r="A440" s="9">
        <v>1508.0</v>
      </c>
      <c r="B440" s="27" t="s">
        <v>1546</v>
      </c>
      <c r="D440" s="28">
        <v>9.000008089E9</v>
      </c>
      <c r="E440" s="68"/>
      <c r="F440" s="34"/>
      <c r="G440" s="67"/>
      <c r="H440" s="9" t="s">
        <v>1513</v>
      </c>
      <c r="I440" s="10"/>
      <c r="J440" s="43"/>
      <c r="K440" s="63"/>
      <c r="L440" s="43"/>
    </row>
    <row r="441" ht="22.5" customHeight="1">
      <c r="A441" s="9">
        <v>1509.0</v>
      </c>
      <c r="B441" s="27" t="s">
        <v>1547</v>
      </c>
      <c r="D441" s="28">
        <v>9.703044622E9</v>
      </c>
      <c r="E441" s="68"/>
      <c r="F441" s="34"/>
      <c r="G441" s="67"/>
      <c r="H441" s="9" t="s">
        <v>1513</v>
      </c>
      <c r="I441" s="10"/>
      <c r="J441" s="43"/>
      <c r="K441" s="63"/>
      <c r="L441" s="43"/>
    </row>
    <row r="442" ht="22.5" customHeight="1">
      <c r="A442" s="9">
        <v>1510.0</v>
      </c>
      <c r="B442" s="27" t="s">
        <v>1548</v>
      </c>
      <c r="D442" s="28">
        <v>9.491288807E9</v>
      </c>
      <c r="E442" s="68"/>
      <c r="F442" s="34"/>
      <c r="G442" s="67"/>
      <c r="H442" s="9" t="s">
        <v>1513</v>
      </c>
      <c r="I442" s="10"/>
      <c r="J442" s="43"/>
      <c r="K442" s="63"/>
      <c r="L442" s="43"/>
    </row>
    <row r="443" ht="22.5" customHeight="1">
      <c r="A443" s="9">
        <v>1511.0</v>
      </c>
      <c r="B443" s="27" t="s">
        <v>1549</v>
      </c>
      <c r="D443" s="28">
        <v>9.440125617E9</v>
      </c>
      <c r="E443" s="68"/>
      <c r="F443" s="34"/>
      <c r="G443" s="67"/>
      <c r="H443" s="9" t="s">
        <v>1513</v>
      </c>
      <c r="I443" s="10"/>
      <c r="J443" s="43"/>
      <c r="K443" s="63"/>
      <c r="L443" s="43"/>
    </row>
    <row r="444" ht="22.5" customHeight="1">
      <c r="A444" s="9">
        <v>1512.0</v>
      </c>
      <c r="B444" s="27" t="s">
        <v>1550</v>
      </c>
      <c r="D444" s="28">
        <v>9.000404816E9</v>
      </c>
      <c r="E444" s="68"/>
      <c r="F444" s="34"/>
      <c r="G444" s="67"/>
      <c r="H444" s="9" t="s">
        <v>1513</v>
      </c>
      <c r="I444" s="10"/>
      <c r="J444" s="43"/>
      <c r="K444" s="63"/>
      <c r="L444" s="43"/>
    </row>
    <row r="445" ht="22.5" customHeight="1">
      <c r="A445" s="9">
        <v>1513.0</v>
      </c>
      <c r="B445" s="27" t="s">
        <v>1551</v>
      </c>
      <c r="D445" s="28">
        <v>9.494739911E9</v>
      </c>
      <c r="E445" s="68"/>
      <c r="F445" s="34"/>
      <c r="G445" s="67"/>
      <c r="H445" s="9" t="s">
        <v>1513</v>
      </c>
      <c r="I445" s="10"/>
      <c r="J445" s="43"/>
      <c r="K445" s="63"/>
      <c r="L445" s="43"/>
    </row>
    <row r="446" ht="22.5" customHeight="1">
      <c r="A446" s="9">
        <v>1514.0</v>
      </c>
      <c r="B446" s="27" t="s">
        <v>1552</v>
      </c>
      <c r="D446" s="28">
        <v>8.790433927E9</v>
      </c>
      <c r="E446" s="68"/>
      <c r="F446" s="34"/>
      <c r="G446" s="67"/>
      <c r="H446" s="9" t="s">
        <v>1513</v>
      </c>
      <c r="I446" s="10"/>
      <c r="J446" s="43"/>
      <c r="K446" s="63"/>
      <c r="L446" s="43"/>
    </row>
    <row r="447" ht="22.5" customHeight="1">
      <c r="A447" s="9">
        <v>1515.0</v>
      </c>
      <c r="B447" s="27" t="s">
        <v>1553</v>
      </c>
      <c r="D447" s="28">
        <v>6.30297776E9</v>
      </c>
      <c r="E447" s="68"/>
      <c r="F447" s="34"/>
      <c r="G447" s="67"/>
      <c r="H447" s="9" t="s">
        <v>1513</v>
      </c>
      <c r="I447" s="10"/>
      <c r="J447" s="43"/>
      <c r="K447" s="63"/>
      <c r="L447" s="43"/>
    </row>
    <row r="448" ht="22.5" customHeight="1">
      <c r="A448" s="9">
        <v>1516.0</v>
      </c>
      <c r="B448" s="27" t="s">
        <v>1554</v>
      </c>
      <c r="D448" s="28">
        <v>8.897186968E9</v>
      </c>
      <c r="E448" s="68"/>
      <c r="F448" s="34"/>
      <c r="G448" s="67"/>
      <c r="H448" s="9" t="s">
        <v>1513</v>
      </c>
      <c r="I448" s="10"/>
      <c r="J448" s="43"/>
      <c r="K448" s="63"/>
      <c r="L448" s="43"/>
    </row>
    <row r="449" ht="22.5" customHeight="1">
      <c r="A449" s="9">
        <v>1517.0</v>
      </c>
      <c r="B449" s="27" t="s">
        <v>1555</v>
      </c>
      <c r="D449" s="28">
        <v>7.997537698E9</v>
      </c>
      <c r="E449" s="68"/>
      <c r="F449" s="34"/>
      <c r="G449" s="67"/>
      <c r="H449" s="9" t="s">
        <v>1513</v>
      </c>
      <c r="I449" s="10"/>
      <c r="J449" s="43"/>
      <c r="K449" s="63"/>
      <c r="L449" s="43"/>
    </row>
    <row r="450" ht="22.5" customHeight="1">
      <c r="A450" s="9">
        <v>1518.0</v>
      </c>
      <c r="B450" s="27" t="s">
        <v>1556</v>
      </c>
      <c r="D450" s="28">
        <v>7.095200055E9</v>
      </c>
      <c r="E450" s="68"/>
      <c r="F450" s="34"/>
      <c r="G450" s="67"/>
      <c r="H450" s="9" t="s">
        <v>1513</v>
      </c>
      <c r="I450" s="10"/>
      <c r="J450" s="43"/>
      <c r="K450" s="63"/>
      <c r="L450" s="43"/>
    </row>
    <row r="451" ht="22.5" customHeight="1">
      <c r="A451" s="9">
        <v>1519.0</v>
      </c>
      <c r="B451" s="27" t="s">
        <v>1557</v>
      </c>
      <c r="D451" s="28">
        <v>9.290942778E9</v>
      </c>
      <c r="E451" s="68"/>
      <c r="F451" s="34"/>
      <c r="G451" s="67"/>
      <c r="H451" s="9" t="s">
        <v>1513</v>
      </c>
      <c r="I451" s="10"/>
      <c r="J451" s="43"/>
      <c r="K451" s="63"/>
      <c r="L451" s="43"/>
    </row>
    <row r="452" ht="22.5" customHeight="1">
      <c r="A452" s="9">
        <v>1520.0</v>
      </c>
      <c r="B452" s="27" t="s">
        <v>1558</v>
      </c>
      <c r="D452" s="28">
        <v>8.790811122E9</v>
      </c>
      <c r="E452" s="68"/>
      <c r="F452" s="34"/>
      <c r="G452" s="67"/>
      <c r="H452" s="9" t="s">
        <v>1513</v>
      </c>
      <c r="I452" s="10"/>
      <c r="J452" s="43"/>
      <c r="K452" s="63"/>
      <c r="L452" s="43"/>
    </row>
    <row r="453" ht="22.5" customHeight="1">
      <c r="A453" s="9">
        <v>1521.0</v>
      </c>
      <c r="B453" s="27" t="s">
        <v>1559</v>
      </c>
      <c r="D453" s="28">
        <v>9.44008563E9</v>
      </c>
      <c r="E453" s="68"/>
      <c r="F453" s="34"/>
      <c r="G453" s="67"/>
      <c r="H453" s="9" t="s">
        <v>1513</v>
      </c>
      <c r="I453" s="10"/>
      <c r="J453" s="43"/>
      <c r="K453" s="63"/>
      <c r="L453" s="43"/>
    </row>
    <row r="454" ht="22.5" customHeight="1">
      <c r="A454" s="9">
        <v>1522.0</v>
      </c>
      <c r="B454" s="27" t="s">
        <v>1560</v>
      </c>
      <c r="D454" s="28">
        <v>7.674841464E9</v>
      </c>
      <c r="E454" s="68"/>
      <c r="F454" s="34"/>
      <c r="G454" s="67"/>
      <c r="H454" s="9" t="s">
        <v>1513</v>
      </c>
      <c r="I454" s="10"/>
      <c r="J454" s="43"/>
      <c r="K454" s="63"/>
      <c r="L454" s="43"/>
    </row>
    <row r="455" ht="22.5" customHeight="1">
      <c r="A455" s="9">
        <v>1523.0</v>
      </c>
      <c r="B455" s="27" t="s">
        <v>1561</v>
      </c>
      <c r="D455" s="28">
        <v>9.490673922E9</v>
      </c>
      <c r="E455" s="68"/>
      <c r="F455" s="34"/>
      <c r="G455" s="67"/>
      <c r="H455" s="9" t="s">
        <v>1513</v>
      </c>
      <c r="I455" s="10"/>
      <c r="J455" s="43"/>
      <c r="K455" s="63"/>
      <c r="L455" s="43"/>
    </row>
    <row r="456" ht="22.5" customHeight="1">
      <c r="A456" s="9">
        <v>1524.0</v>
      </c>
      <c r="B456" s="27" t="s">
        <v>1562</v>
      </c>
      <c r="D456" s="28">
        <v>9.030031198E9</v>
      </c>
      <c r="E456" s="68"/>
      <c r="F456" s="34"/>
      <c r="G456" s="67"/>
      <c r="H456" s="9" t="s">
        <v>1513</v>
      </c>
      <c r="I456" s="10"/>
      <c r="J456" s="43"/>
      <c r="K456" s="63"/>
      <c r="L456" s="43"/>
    </row>
    <row r="457" ht="22.5" customHeight="1">
      <c r="A457" s="9">
        <v>1525.0</v>
      </c>
      <c r="B457" s="27" t="s">
        <v>1563</v>
      </c>
      <c r="D457" s="28">
        <v>9.989622649E9</v>
      </c>
      <c r="E457" s="68"/>
      <c r="F457" s="34"/>
      <c r="G457" s="67"/>
      <c r="H457" s="9" t="s">
        <v>1513</v>
      </c>
      <c r="I457" s="10"/>
      <c r="J457" s="43"/>
      <c r="K457" s="63"/>
      <c r="L457" s="43"/>
    </row>
    <row r="458" ht="22.5" customHeight="1">
      <c r="A458" s="9">
        <v>1526.0</v>
      </c>
      <c r="B458" s="27" t="s">
        <v>1564</v>
      </c>
      <c r="D458" s="28">
        <v>9.951000919E9</v>
      </c>
      <c r="E458" s="68"/>
      <c r="F458" s="34"/>
      <c r="G458" s="67"/>
      <c r="H458" s="9" t="s">
        <v>1513</v>
      </c>
      <c r="I458" s="10"/>
      <c r="J458" s="43"/>
      <c r="K458" s="63"/>
      <c r="L458" s="43"/>
    </row>
    <row r="459" ht="22.5" customHeight="1">
      <c r="A459" s="9">
        <v>1527.0</v>
      </c>
      <c r="B459" s="27" t="s">
        <v>1565</v>
      </c>
      <c r="D459" s="28">
        <v>8.309547694E9</v>
      </c>
      <c r="E459" s="68"/>
      <c r="F459" s="34"/>
      <c r="G459" s="67"/>
      <c r="H459" s="9" t="s">
        <v>1513</v>
      </c>
      <c r="I459" s="10"/>
      <c r="J459" s="43"/>
      <c r="K459" s="63"/>
      <c r="L459" s="43"/>
    </row>
    <row r="460" ht="22.5" customHeight="1">
      <c r="A460" s="9">
        <v>1528.0</v>
      </c>
      <c r="B460" s="27" t="s">
        <v>1566</v>
      </c>
      <c r="D460" s="28">
        <v>9.392494965E9</v>
      </c>
      <c r="E460" s="68"/>
      <c r="F460" s="34"/>
      <c r="G460" s="67"/>
      <c r="H460" s="9" t="s">
        <v>1513</v>
      </c>
      <c r="I460" s="10"/>
      <c r="J460" s="43"/>
      <c r="K460" s="63"/>
      <c r="L460" s="43"/>
    </row>
    <row r="461" ht="22.5" customHeight="1">
      <c r="A461" s="9">
        <v>1529.0</v>
      </c>
      <c r="B461" s="27" t="s">
        <v>1567</v>
      </c>
      <c r="D461" s="28">
        <v>7.702568718E9</v>
      </c>
      <c r="E461" s="68"/>
      <c r="F461" s="34"/>
      <c r="G461" s="67"/>
      <c r="H461" s="9" t="s">
        <v>1513</v>
      </c>
      <c r="I461" s="10"/>
      <c r="J461" s="43"/>
      <c r="K461" s="63"/>
      <c r="L461" s="43"/>
    </row>
    <row r="462" ht="22.5" customHeight="1">
      <c r="A462" s="9">
        <v>1530.0</v>
      </c>
      <c r="B462" s="27" t="s">
        <v>1568</v>
      </c>
      <c r="D462" s="28">
        <v>7.729824403E9</v>
      </c>
      <c r="E462" s="68"/>
      <c r="F462" s="34"/>
      <c r="G462" s="67"/>
      <c r="H462" s="9" t="s">
        <v>1513</v>
      </c>
      <c r="I462" s="10"/>
      <c r="J462" s="43"/>
      <c r="K462" s="63"/>
      <c r="L462" s="43"/>
    </row>
    <row r="463" ht="22.5" customHeight="1">
      <c r="A463" s="9">
        <v>1531.0</v>
      </c>
      <c r="B463" s="27" t="s">
        <v>1569</v>
      </c>
      <c r="D463" s="28">
        <v>7.67599705E9</v>
      </c>
      <c r="E463" s="68"/>
      <c r="F463" s="34"/>
      <c r="G463" s="67"/>
      <c r="H463" s="9" t="s">
        <v>1513</v>
      </c>
      <c r="I463" s="10"/>
      <c r="J463" s="43"/>
      <c r="K463" s="63"/>
      <c r="L463" s="43"/>
    </row>
    <row r="464" ht="22.5" customHeight="1">
      <c r="A464" s="9">
        <v>1532.0</v>
      </c>
      <c r="B464" s="27" t="s">
        <v>1570</v>
      </c>
      <c r="D464" s="28">
        <v>8.978605225E9</v>
      </c>
      <c r="E464" s="68"/>
      <c r="F464" s="34"/>
      <c r="G464" s="67"/>
      <c r="H464" s="9" t="s">
        <v>1513</v>
      </c>
      <c r="I464" s="10"/>
      <c r="J464" s="43"/>
      <c r="K464" s="63"/>
      <c r="L464" s="43"/>
    </row>
    <row r="465" ht="22.5" customHeight="1">
      <c r="A465" s="9">
        <v>1533.0</v>
      </c>
      <c r="B465" s="27" t="s">
        <v>1571</v>
      </c>
      <c r="D465" s="28">
        <v>9.010750777E9</v>
      </c>
      <c r="E465" s="68"/>
      <c r="F465" s="34"/>
      <c r="G465" s="67"/>
      <c r="H465" s="9" t="s">
        <v>1513</v>
      </c>
      <c r="I465" s="10"/>
      <c r="J465" s="43"/>
      <c r="K465" s="63"/>
      <c r="L465" s="43"/>
    </row>
    <row r="466" ht="22.5" customHeight="1">
      <c r="A466" s="9">
        <v>1534.0</v>
      </c>
      <c r="B466" s="27" t="s">
        <v>1572</v>
      </c>
      <c r="D466" s="28">
        <v>7.013730644E9</v>
      </c>
      <c r="E466" s="68"/>
      <c r="F466" s="34"/>
      <c r="G466" s="67"/>
      <c r="H466" s="9" t="s">
        <v>1513</v>
      </c>
      <c r="I466" s="10"/>
      <c r="J466" s="43"/>
      <c r="K466" s="63"/>
      <c r="L466" s="43"/>
    </row>
    <row r="467" ht="22.5" customHeight="1">
      <c r="A467" s="9">
        <v>1535.0</v>
      </c>
      <c r="B467" s="27" t="s">
        <v>1573</v>
      </c>
      <c r="D467" s="28">
        <v>7.569956726E9</v>
      </c>
      <c r="E467" s="68"/>
      <c r="F467" s="34"/>
      <c r="G467" s="67"/>
      <c r="H467" s="9" t="s">
        <v>1513</v>
      </c>
      <c r="I467" s="10"/>
      <c r="J467" s="43"/>
      <c r="K467" s="63"/>
      <c r="L467" s="43"/>
    </row>
    <row r="468" ht="22.5" customHeight="1">
      <c r="A468" s="9">
        <v>1536.0</v>
      </c>
      <c r="B468" s="27" t="s">
        <v>1574</v>
      </c>
      <c r="D468" s="28">
        <v>9.392654911E9</v>
      </c>
      <c r="E468" s="68"/>
      <c r="F468" s="34"/>
      <c r="G468" s="67"/>
      <c r="H468" s="9" t="s">
        <v>1513</v>
      </c>
      <c r="I468" s="10"/>
      <c r="J468" s="43"/>
      <c r="K468" s="63"/>
      <c r="L468" s="43"/>
    </row>
    <row r="469" ht="22.5" customHeight="1">
      <c r="A469" s="9">
        <v>1537.0</v>
      </c>
      <c r="B469" s="27" t="s">
        <v>1575</v>
      </c>
      <c r="D469" s="28">
        <v>8.886943869E9</v>
      </c>
      <c r="E469" s="68"/>
      <c r="F469" s="34"/>
      <c r="G469" s="67"/>
      <c r="H469" s="9" t="s">
        <v>1513</v>
      </c>
      <c r="I469" s="10"/>
      <c r="J469" s="43"/>
      <c r="K469" s="63"/>
      <c r="L469" s="43"/>
    </row>
    <row r="470" ht="22.5" customHeight="1">
      <c r="A470" s="9">
        <v>1538.0</v>
      </c>
      <c r="B470" s="27" t="s">
        <v>1576</v>
      </c>
      <c r="D470" s="28">
        <v>9.398319591E9</v>
      </c>
      <c r="E470" s="68"/>
      <c r="F470" s="34"/>
      <c r="G470" s="67"/>
      <c r="H470" s="9" t="s">
        <v>1513</v>
      </c>
      <c r="I470" s="10"/>
      <c r="J470" s="43"/>
      <c r="K470" s="63"/>
      <c r="L470" s="43"/>
    </row>
    <row r="471" ht="22.5" customHeight="1">
      <c r="A471" s="9">
        <v>1539.0</v>
      </c>
      <c r="B471" s="27" t="s">
        <v>1577</v>
      </c>
      <c r="D471" s="28">
        <v>6.309420135E9</v>
      </c>
      <c r="E471" s="68"/>
      <c r="F471" s="34"/>
      <c r="G471" s="67"/>
      <c r="H471" s="9" t="s">
        <v>1513</v>
      </c>
      <c r="I471" s="10"/>
      <c r="J471" s="43"/>
      <c r="K471" s="63"/>
      <c r="L471" s="43"/>
    </row>
    <row r="472" ht="22.5" customHeight="1">
      <c r="A472" s="9">
        <v>1540.0</v>
      </c>
      <c r="B472" s="27" t="s">
        <v>1578</v>
      </c>
      <c r="D472" s="28">
        <v>9.246613131E9</v>
      </c>
      <c r="E472" s="68"/>
      <c r="F472" s="34"/>
      <c r="G472" s="67"/>
      <c r="H472" s="9" t="s">
        <v>1513</v>
      </c>
      <c r="I472" s="10"/>
      <c r="J472" s="43"/>
      <c r="K472" s="63"/>
      <c r="L472" s="43"/>
    </row>
    <row r="473" ht="22.5" customHeight="1">
      <c r="A473" s="9">
        <v>1541.0</v>
      </c>
      <c r="B473" s="27" t="s">
        <v>1579</v>
      </c>
      <c r="D473" s="28">
        <v>9.44107111E9</v>
      </c>
      <c r="E473" s="68"/>
      <c r="F473" s="34"/>
      <c r="G473" s="67"/>
      <c r="H473" s="9" t="s">
        <v>1513</v>
      </c>
      <c r="I473" s="10"/>
      <c r="J473" s="43"/>
      <c r="K473" s="63"/>
      <c r="L473" s="43"/>
    </row>
    <row r="474" ht="22.5" customHeight="1">
      <c r="A474" s="9">
        <v>1542.0</v>
      </c>
      <c r="B474" s="27" t="s">
        <v>1580</v>
      </c>
      <c r="D474" s="28">
        <v>9.908253456E9</v>
      </c>
      <c r="E474" s="68"/>
      <c r="F474" s="34"/>
      <c r="G474" s="67"/>
      <c r="H474" s="9" t="s">
        <v>1513</v>
      </c>
      <c r="I474" s="10"/>
      <c r="J474" s="43"/>
      <c r="K474" s="63"/>
      <c r="L474" s="43"/>
    </row>
    <row r="475" ht="22.5" customHeight="1">
      <c r="A475" s="9">
        <v>1543.0</v>
      </c>
      <c r="B475" s="27" t="s">
        <v>1581</v>
      </c>
      <c r="D475" s="28">
        <v>9.440000929E9</v>
      </c>
      <c r="E475" s="68"/>
      <c r="F475" s="34"/>
      <c r="G475" s="67"/>
      <c r="H475" s="9" t="s">
        <v>1513</v>
      </c>
      <c r="I475" s="10"/>
      <c r="J475" s="43"/>
      <c r="K475" s="63"/>
      <c r="L475" s="43"/>
    </row>
    <row r="476" ht="22.5" customHeight="1">
      <c r="A476" s="9">
        <v>1544.0</v>
      </c>
      <c r="B476" s="27" t="s">
        <v>1582</v>
      </c>
      <c r="D476" s="28">
        <v>8.886816789E9</v>
      </c>
      <c r="E476" s="68"/>
      <c r="F476" s="34"/>
      <c r="G476" s="67"/>
      <c r="H476" s="9" t="s">
        <v>1513</v>
      </c>
      <c r="I476" s="10"/>
      <c r="J476" s="43"/>
      <c r="K476" s="63"/>
      <c r="L476" s="43"/>
    </row>
    <row r="477" ht="22.5" customHeight="1">
      <c r="A477" s="9">
        <v>1545.0</v>
      </c>
      <c r="B477" s="27" t="s">
        <v>1583</v>
      </c>
      <c r="D477" s="28">
        <v>9.041201971E9</v>
      </c>
      <c r="E477" s="68"/>
      <c r="F477" s="34"/>
      <c r="G477" s="67"/>
      <c r="H477" s="9" t="s">
        <v>1513</v>
      </c>
      <c r="I477" s="10"/>
      <c r="J477" s="43"/>
      <c r="K477" s="63"/>
      <c r="L477" s="43"/>
    </row>
    <row r="478" ht="22.5" customHeight="1">
      <c r="A478" s="9">
        <v>1546.0</v>
      </c>
      <c r="B478" s="27" t="s">
        <v>1584</v>
      </c>
      <c r="D478" s="28">
        <v>9.086785036E9</v>
      </c>
      <c r="E478" s="68"/>
      <c r="F478" s="34"/>
      <c r="G478" s="67"/>
      <c r="H478" s="9" t="s">
        <v>1513</v>
      </c>
      <c r="I478" s="10"/>
      <c r="J478" s="43"/>
      <c r="K478" s="63"/>
      <c r="L478" s="43"/>
    </row>
    <row r="479" ht="22.5" customHeight="1">
      <c r="A479" s="9">
        <v>1547.0</v>
      </c>
      <c r="B479" s="27" t="s">
        <v>1585</v>
      </c>
      <c r="D479" s="28">
        <v>9.247139363E9</v>
      </c>
      <c r="E479" s="68"/>
      <c r="F479" s="34"/>
      <c r="G479" s="67"/>
      <c r="H479" s="9" t="s">
        <v>1513</v>
      </c>
      <c r="I479" s="10"/>
      <c r="J479" s="43"/>
      <c r="K479" s="63"/>
      <c r="L479" s="43"/>
    </row>
    <row r="480" ht="22.5" customHeight="1">
      <c r="A480" s="9">
        <v>1548.0</v>
      </c>
      <c r="B480" s="27" t="s">
        <v>1586</v>
      </c>
      <c r="D480" s="28">
        <v>9.90860435E9</v>
      </c>
      <c r="E480" s="68"/>
      <c r="F480" s="34"/>
      <c r="G480" s="67"/>
      <c r="H480" s="9" t="s">
        <v>1513</v>
      </c>
      <c r="I480" s="10"/>
      <c r="J480" s="43"/>
      <c r="K480" s="63"/>
      <c r="L480" s="43"/>
    </row>
    <row r="481" ht="22.5" customHeight="1">
      <c r="A481" s="9">
        <v>1549.0</v>
      </c>
      <c r="B481" s="27" t="s">
        <v>1587</v>
      </c>
      <c r="D481" s="28">
        <v>6.309414226E9</v>
      </c>
      <c r="E481" s="68"/>
      <c r="F481" s="34"/>
      <c r="G481" s="67"/>
      <c r="H481" s="9" t="s">
        <v>1513</v>
      </c>
      <c r="I481" s="10"/>
      <c r="J481" s="43"/>
      <c r="K481" s="63"/>
      <c r="L481" s="43"/>
    </row>
    <row r="482" ht="22.5" customHeight="1">
      <c r="A482" s="9">
        <v>1550.0</v>
      </c>
      <c r="B482" s="27" t="s">
        <v>1588</v>
      </c>
      <c r="D482" s="28">
        <v>9.396717191E9</v>
      </c>
      <c r="E482" s="68"/>
      <c r="F482" s="34"/>
      <c r="G482" s="67"/>
      <c r="H482" s="9" t="s">
        <v>1513</v>
      </c>
      <c r="I482" s="10"/>
      <c r="J482" s="43"/>
      <c r="K482" s="63"/>
      <c r="L482" s="43"/>
    </row>
    <row r="483" ht="22.5" customHeight="1">
      <c r="A483" s="9">
        <v>1551.0</v>
      </c>
      <c r="B483" s="27" t="s">
        <v>1589</v>
      </c>
      <c r="D483" s="28">
        <v>9.963137494E9</v>
      </c>
      <c r="E483" s="68"/>
      <c r="F483" s="34"/>
      <c r="G483" s="67"/>
      <c r="H483" s="9" t="s">
        <v>1513</v>
      </c>
      <c r="I483" s="10"/>
      <c r="J483" s="43"/>
      <c r="K483" s="63"/>
      <c r="L483" s="43"/>
    </row>
    <row r="484" ht="22.5" customHeight="1">
      <c r="A484" s="9">
        <v>1552.0</v>
      </c>
      <c r="B484" s="27" t="s">
        <v>1590</v>
      </c>
      <c r="D484" s="28">
        <v>9.533538459E9</v>
      </c>
      <c r="E484" s="68"/>
      <c r="F484" s="34"/>
      <c r="G484" s="67"/>
      <c r="H484" s="9" t="s">
        <v>1513</v>
      </c>
      <c r="I484" s="10"/>
      <c r="J484" s="43"/>
      <c r="K484" s="63"/>
      <c r="L484" s="43"/>
    </row>
    <row r="485" ht="22.5" customHeight="1">
      <c r="A485" s="9">
        <v>1553.0</v>
      </c>
      <c r="B485" s="27" t="s">
        <v>1591</v>
      </c>
      <c r="D485" s="28">
        <v>9.247420854E9</v>
      </c>
      <c r="E485" s="68"/>
      <c r="F485" s="34"/>
      <c r="G485" s="67"/>
      <c r="H485" s="9" t="s">
        <v>1513</v>
      </c>
      <c r="I485" s="10"/>
      <c r="J485" s="43"/>
      <c r="K485" s="63"/>
      <c r="L485" s="43"/>
    </row>
    <row r="486" ht="22.5" customHeight="1">
      <c r="A486" s="9">
        <v>1554.0</v>
      </c>
      <c r="B486" s="27" t="s">
        <v>1592</v>
      </c>
      <c r="D486" s="28">
        <v>8.309290576E9</v>
      </c>
      <c r="E486" s="68"/>
      <c r="F486" s="34"/>
      <c r="G486" s="67"/>
      <c r="H486" s="9" t="s">
        <v>1513</v>
      </c>
      <c r="I486" s="10"/>
      <c r="J486" s="43"/>
      <c r="K486" s="63"/>
      <c r="L486" s="43"/>
    </row>
    <row r="487" ht="22.5" customHeight="1">
      <c r="A487" s="9">
        <v>1555.0</v>
      </c>
      <c r="B487" s="27" t="s">
        <v>1593</v>
      </c>
      <c r="D487" s="28">
        <v>9.849101771E9</v>
      </c>
      <c r="E487" s="68"/>
      <c r="F487" s="34"/>
      <c r="G487" s="67"/>
      <c r="H487" s="9" t="s">
        <v>1513</v>
      </c>
      <c r="I487" s="10"/>
      <c r="J487" s="43"/>
      <c r="K487" s="63"/>
      <c r="L487" s="43"/>
    </row>
    <row r="488" ht="22.5" customHeight="1">
      <c r="A488" s="9">
        <v>1556.0</v>
      </c>
      <c r="B488" s="27" t="s">
        <v>1594</v>
      </c>
      <c r="D488" s="28">
        <v>9.866225865E9</v>
      </c>
      <c r="E488" s="68"/>
      <c r="F488" s="34"/>
      <c r="G488" s="67"/>
      <c r="H488" s="9" t="s">
        <v>1513</v>
      </c>
      <c r="I488" s="10"/>
      <c r="J488" s="43"/>
      <c r="K488" s="63"/>
      <c r="L488" s="43"/>
    </row>
    <row r="489" ht="22.5" customHeight="1">
      <c r="A489" s="9">
        <v>1557.0</v>
      </c>
      <c r="B489" s="27" t="s">
        <v>1595</v>
      </c>
      <c r="D489" s="28">
        <v>8.978003696E9</v>
      </c>
      <c r="E489" s="68"/>
      <c r="F489" s="34"/>
      <c r="G489" s="67"/>
      <c r="H489" s="9" t="s">
        <v>1513</v>
      </c>
      <c r="I489" s="10"/>
      <c r="J489" s="43"/>
      <c r="K489" s="63"/>
      <c r="L489" s="43"/>
    </row>
    <row r="490" ht="22.5" customHeight="1">
      <c r="A490" s="9">
        <v>1558.0</v>
      </c>
      <c r="B490" s="27" t="s">
        <v>1596</v>
      </c>
      <c r="D490" s="28">
        <v>7.981960417E9</v>
      </c>
      <c r="E490" s="68"/>
      <c r="F490" s="34"/>
      <c r="G490" s="67"/>
      <c r="H490" s="9" t="s">
        <v>1513</v>
      </c>
      <c r="I490" s="10"/>
      <c r="J490" s="43"/>
      <c r="K490" s="63"/>
      <c r="L490" s="43"/>
    </row>
    <row r="491" ht="22.5" customHeight="1">
      <c r="A491" s="9">
        <v>1559.0</v>
      </c>
      <c r="B491" s="27" t="s">
        <v>1597</v>
      </c>
      <c r="D491" s="28">
        <v>6.301051035E9</v>
      </c>
      <c r="E491" s="68"/>
      <c r="F491" s="34"/>
      <c r="G491" s="67"/>
      <c r="H491" s="9" t="s">
        <v>1513</v>
      </c>
      <c r="I491" s="10"/>
      <c r="J491" s="43"/>
      <c r="K491" s="63"/>
      <c r="L491" s="43"/>
    </row>
    <row r="492" ht="22.5" customHeight="1">
      <c r="A492" s="9">
        <v>1560.0</v>
      </c>
      <c r="B492" s="27" t="s">
        <v>1598</v>
      </c>
      <c r="D492" s="28">
        <v>9.182433091E9</v>
      </c>
      <c r="E492" s="68"/>
      <c r="F492" s="34"/>
      <c r="G492" s="67"/>
      <c r="H492" s="9" t="s">
        <v>1513</v>
      </c>
      <c r="I492" s="10"/>
      <c r="J492" s="43"/>
      <c r="K492" s="63"/>
      <c r="L492" s="43"/>
    </row>
    <row r="493" ht="22.5" customHeight="1">
      <c r="A493" s="9">
        <v>1561.0</v>
      </c>
      <c r="B493" s="27" t="s">
        <v>1599</v>
      </c>
      <c r="D493" s="28">
        <v>9.848015751E9</v>
      </c>
      <c r="E493" s="68"/>
      <c r="F493" s="34"/>
      <c r="G493" s="67"/>
      <c r="H493" s="9" t="s">
        <v>1513</v>
      </c>
      <c r="I493" s="10"/>
      <c r="J493" s="43"/>
      <c r="K493" s="63"/>
      <c r="L493" s="43"/>
    </row>
    <row r="494" ht="22.5" customHeight="1">
      <c r="A494" s="9">
        <v>1562.0</v>
      </c>
      <c r="B494" s="27" t="s">
        <v>1600</v>
      </c>
      <c r="D494" s="28">
        <v>9.704086246E9</v>
      </c>
      <c r="E494" s="68"/>
      <c r="F494" s="34"/>
      <c r="G494" s="67"/>
      <c r="H494" s="9" t="s">
        <v>1513</v>
      </c>
      <c r="I494" s="10"/>
      <c r="J494" s="43"/>
      <c r="K494" s="63"/>
      <c r="L494" s="43"/>
    </row>
    <row r="495" ht="22.5" customHeight="1">
      <c r="A495" s="9">
        <v>1563.0</v>
      </c>
      <c r="B495" s="27" t="s">
        <v>1601</v>
      </c>
      <c r="D495" s="28">
        <v>9.949993436E9</v>
      </c>
      <c r="E495" s="68"/>
      <c r="F495" s="34"/>
      <c r="G495" s="67"/>
      <c r="H495" s="9" t="s">
        <v>1513</v>
      </c>
      <c r="I495" s="10"/>
      <c r="J495" s="43"/>
      <c r="K495" s="63"/>
      <c r="L495" s="43"/>
    </row>
    <row r="496" ht="22.5" customHeight="1">
      <c r="A496" s="9">
        <v>1564.0</v>
      </c>
      <c r="B496" s="27" t="s">
        <v>1602</v>
      </c>
      <c r="D496" s="28">
        <v>9.381834329E9</v>
      </c>
      <c r="E496" s="68"/>
      <c r="F496" s="34"/>
      <c r="G496" s="67"/>
      <c r="H496" s="9" t="s">
        <v>1513</v>
      </c>
      <c r="I496" s="10"/>
      <c r="J496" s="43"/>
      <c r="K496" s="63"/>
      <c r="L496" s="43"/>
    </row>
    <row r="497" ht="22.5" customHeight="1">
      <c r="A497" s="9">
        <v>1565.0</v>
      </c>
      <c r="B497" s="27" t="s">
        <v>1603</v>
      </c>
      <c r="D497" s="28">
        <v>9.4940158E9</v>
      </c>
      <c r="E497" s="68"/>
      <c r="F497" s="34"/>
      <c r="G497" s="67"/>
      <c r="H497" s="9" t="s">
        <v>1513</v>
      </c>
      <c r="I497" s="10"/>
      <c r="J497" s="43"/>
      <c r="K497" s="63"/>
      <c r="L497" s="43"/>
    </row>
    <row r="498" ht="22.5" customHeight="1">
      <c r="A498" s="9">
        <v>1566.0</v>
      </c>
      <c r="B498" s="27" t="s">
        <v>1604</v>
      </c>
      <c r="D498" s="28">
        <v>8.686225669E9</v>
      </c>
      <c r="E498" s="68"/>
      <c r="F498" s="34"/>
      <c r="G498" s="67"/>
      <c r="H498" s="9" t="s">
        <v>1513</v>
      </c>
      <c r="I498" s="10"/>
      <c r="J498" s="43"/>
      <c r="K498" s="63"/>
      <c r="L498" s="43"/>
    </row>
    <row r="499" ht="22.5" customHeight="1">
      <c r="A499" s="9">
        <v>1567.0</v>
      </c>
      <c r="B499" s="27" t="s">
        <v>1605</v>
      </c>
      <c r="D499" s="28">
        <v>9.177332277E9</v>
      </c>
      <c r="E499" s="68"/>
      <c r="F499" s="34"/>
      <c r="G499" s="67"/>
      <c r="H499" s="9" t="s">
        <v>1513</v>
      </c>
      <c r="I499" s="10"/>
      <c r="J499" s="43"/>
      <c r="K499" s="63"/>
      <c r="L499" s="43"/>
    </row>
    <row r="500" ht="22.5" customHeight="1">
      <c r="A500" s="9">
        <v>1568.0</v>
      </c>
      <c r="B500" s="27" t="s">
        <v>1606</v>
      </c>
      <c r="D500" s="28">
        <v>9.885765745E9</v>
      </c>
      <c r="E500" s="68"/>
      <c r="F500" s="34"/>
      <c r="G500" s="67"/>
      <c r="H500" s="9" t="s">
        <v>1513</v>
      </c>
      <c r="I500" s="10"/>
      <c r="J500" s="43"/>
      <c r="K500" s="63"/>
      <c r="L500" s="43"/>
    </row>
    <row r="501" ht="22.5" customHeight="1">
      <c r="A501" s="9">
        <v>1569.0</v>
      </c>
      <c r="B501" s="27" t="s">
        <v>1607</v>
      </c>
      <c r="D501" s="28">
        <v>9.705452964E9</v>
      </c>
      <c r="E501" s="68"/>
      <c r="F501" s="34"/>
      <c r="G501" s="67"/>
      <c r="H501" s="9" t="s">
        <v>1513</v>
      </c>
      <c r="I501" s="10"/>
      <c r="J501" s="43"/>
      <c r="K501" s="63"/>
      <c r="L501" s="43"/>
    </row>
    <row r="502" ht="22.5" customHeight="1">
      <c r="A502" s="9">
        <v>1570.0</v>
      </c>
      <c r="B502" s="27" t="s">
        <v>1608</v>
      </c>
      <c r="D502" s="28">
        <v>9.290604127E9</v>
      </c>
      <c r="E502" s="68"/>
      <c r="F502" s="34"/>
      <c r="G502" s="67"/>
      <c r="H502" s="9" t="s">
        <v>1513</v>
      </c>
      <c r="I502" s="10"/>
      <c r="J502" s="43"/>
      <c r="K502" s="63"/>
      <c r="L502" s="43"/>
    </row>
    <row r="503" ht="22.5" customHeight="1">
      <c r="A503" s="9">
        <v>1571.0</v>
      </c>
      <c r="B503" s="27" t="s">
        <v>1609</v>
      </c>
      <c r="D503" s="28">
        <v>9.704654441E9</v>
      </c>
      <c r="E503" s="68"/>
      <c r="F503" s="34"/>
      <c r="G503" s="67"/>
      <c r="H503" s="9" t="s">
        <v>1513</v>
      </c>
      <c r="I503" s="10"/>
      <c r="J503" s="43"/>
      <c r="K503" s="63"/>
      <c r="L503" s="43"/>
    </row>
    <row r="504" ht="22.5" customHeight="1">
      <c r="A504" s="9">
        <v>1572.0</v>
      </c>
      <c r="B504" s="27" t="s">
        <v>1610</v>
      </c>
      <c r="D504" s="28">
        <v>9.866195106E9</v>
      </c>
      <c r="E504" s="68"/>
      <c r="F504" s="34"/>
      <c r="G504" s="67"/>
      <c r="H504" s="9" t="s">
        <v>1513</v>
      </c>
      <c r="I504" s="10"/>
      <c r="J504" s="43"/>
      <c r="K504" s="63"/>
      <c r="L504" s="43"/>
    </row>
    <row r="505" ht="22.5" customHeight="1">
      <c r="A505" s="9">
        <v>1573.0</v>
      </c>
      <c r="B505" s="27" t="s">
        <v>1611</v>
      </c>
      <c r="D505" s="28">
        <v>9.948040679E9</v>
      </c>
      <c r="E505" s="68"/>
      <c r="F505" s="34"/>
      <c r="G505" s="67"/>
      <c r="H505" s="9" t="s">
        <v>1513</v>
      </c>
      <c r="I505" s="10"/>
      <c r="J505" s="43"/>
      <c r="K505" s="63"/>
      <c r="L505" s="43"/>
    </row>
    <row r="506" ht="22.5" customHeight="1">
      <c r="A506" s="9">
        <v>1574.0</v>
      </c>
      <c r="B506" s="27" t="s">
        <v>1612</v>
      </c>
      <c r="D506" s="28">
        <v>9.440004349E9</v>
      </c>
      <c r="E506" s="68"/>
      <c r="F506" s="34"/>
      <c r="G506" s="67"/>
      <c r="H506" s="9" t="s">
        <v>1513</v>
      </c>
      <c r="I506" s="10"/>
      <c r="J506" s="43"/>
      <c r="K506" s="63"/>
      <c r="L506" s="43"/>
    </row>
    <row r="507" ht="22.5" customHeight="1">
      <c r="A507" s="9">
        <v>1575.0</v>
      </c>
      <c r="B507" s="27" t="s">
        <v>1613</v>
      </c>
      <c r="D507" s="28">
        <v>8.073386482E9</v>
      </c>
      <c r="E507" s="68"/>
      <c r="F507" s="34"/>
      <c r="G507" s="67"/>
      <c r="H507" s="9" t="s">
        <v>1513</v>
      </c>
      <c r="I507" s="10"/>
      <c r="J507" s="43"/>
      <c r="K507" s="63"/>
      <c r="L507" s="43"/>
    </row>
    <row r="508" ht="22.5" customHeight="1">
      <c r="A508" s="9">
        <v>1576.0</v>
      </c>
      <c r="B508" s="27" t="s">
        <v>1614</v>
      </c>
      <c r="D508" s="28">
        <v>9.573243806E9</v>
      </c>
      <c r="E508" s="68"/>
      <c r="F508" s="34"/>
      <c r="G508" s="67"/>
      <c r="H508" s="9" t="s">
        <v>1513</v>
      </c>
      <c r="I508" s="10"/>
      <c r="J508" s="43"/>
      <c r="K508" s="63"/>
      <c r="L508" s="43"/>
    </row>
    <row r="509" ht="22.5" customHeight="1">
      <c r="A509" s="9">
        <v>1577.0</v>
      </c>
      <c r="B509" s="27" t="s">
        <v>1615</v>
      </c>
      <c r="D509" s="28">
        <v>9.030167884E9</v>
      </c>
      <c r="E509" s="68"/>
      <c r="F509" s="34"/>
      <c r="G509" s="67"/>
      <c r="H509" s="9" t="s">
        <v>1513</v>
      </c>
      <c r="I509" s="10"/>
      <c r="J509" s="43"/>
      <c r="K509" s="63"/>
      <c r="L509" s="43"/>
    </row>
    <row r="510" ht="22.5" customHeight="1">
      <c r="A510" s="9">
        <v>1578.0</v>
      </c>
      <c r="B510" s="27" t="s">
        <v>1616</v>
      </c>
      <c r="D510" s="28">
        <v>9.38102516E9</v>
      </c>
      <c r="E510" s="68"/>
      <c r="F510" s="34"/>
      <c r="G510" s="67"/>
      <c r="H510" s="9" t="s">
        <v>1513</v>
      </c>
      <c r="I510" s="10"/>
      <c r="J510" s="43"/>
      <c r="K510" s="63"/>
      <c r="L510" s="43"/>
    </row>
    <row r="511" ht="22.5" customHeight="1">
      <c r="A511" s="9">
        <v>1579.0</v>
      </c>
      <c r="B511" s="27" t="s">
        <v>1617</v>
      </c>
      <c r="D511" s="28">
        <v>8.46591725E9</v>
      </c>
      <c r="E511" s="68"/>
      <c r="F511" s="34"/>
      <c r="G511" s="67"/>
      <c r="H511" s="9" t="s">
        <v>1513</v>
      </c>
      <c r="I511" s="10"/>
      <c r="J511" s="43"/>
      <c r="K511" s="63"/>
      <c r="L511" s="43"/>
    </row>
    <row r="512" ht="22.5" customHeight="1">
      <c r="A512" s="9">
        <v>1580.0</v>
      </c>
      <c r="B512" s="27" t="s">
        <v>1618</v>
      </c>
      <c r="D512" s="28">
        <v>9.963379922E9</v>
      </c>
      <c r="E512" s="68"/>
      <c r="F512" s="34"/>
      <c r="G512" s="67"/>
      <c r="H512" s="9" t="s">
        <v>1513</v>
      </c>
      <c r="I512" s="10"/>
      <c r="J512" s="43"/>
      <c r="K512" s="63"/>
      <c r="L512" s="43"/>
    </row>
    <row r="513" ht="22.5" customHeight="1">
      <c r="A513" s="9">
        <v>1581.0</v>
      </c>
      <c r="B513" s="27" t="s">
        <v>1619</v>
      </c>
      <c r="D513" s="28">
        <v>9.951988215E9</v>
      </c>
      <c r="E513" s="68"/>
      <c r="F513" s="34"/>
      <c r="G513" s="67"/>
      <c r="H513" s="9" t="s">
        <v>1513</v>
      </c>
      <c r="I513" s="10"/>
      <c r="J513" s="43"/>
      <c r="K513" s="63"/>
      <c r="L513" s="43"/>
    </row>
    <row r="514" ht="22.5" customHeight="1">
      <c r="A514" s="9">
        <v>1582.0</v>
      </c>
      <c r="B514" s="27" t="s">
        <v>1620</v>
      </c>
      <c r="D514" s="28">
        <v>9.908151532E9</v>
      </c>
      <c r="E514" s="68"/>
      <c r="F514" s="34"/>
      <c r="G514" s="67"/>
      <c r="H514" s="9" t="s">
        <v>1513</v>
      </c>
      <c r="I514" s="10"/>
      <c r="J514" s="43"/>
      <c r="K514" s="63"/>
      <c r="L514" s="43"/>
    </row>
    <row r="515" ht="22.5" customHeight="1">
      <c r="A515" s="9">
        <v>1583.0</v>
      </c>
      <c r="B515" s="27" t="s">
        <v>1621</v>
      </c>
      <c r="D515" s="28">
        <v>9.032689589E9</v>
      </c>
      <c r="E515" s="68"/>
      <c r="F515" s="34"/>
      <c r="G515" s="67"/>
      <c r="H515" s="9" t="s">
        <v>1513</v>
      </c>
      <c r="I515" s="10"/>
      <c r="J515" s="43"/>
      <c r="K515" s="63"/>
      <c r="L515" s="43"/>
    </row>
    <row r="516" ht="22.5" customHeight="1">
      <c r="A516" s="9">
        <v>1584.0</v>
      </c>
      <c r="B516" s="27" t="s">
        <v>1622</v>
      </c>
      <c r="D516" s="28">
        <v>9.989719757E9</v>
      </c>
      <c r="E516" s="68"/>
      <c r="F516" s="34"/>
      <c r="G516" s="67"/>
      <c r="H516" s="9" t="s">
        <v>1513</v>
      </c>
      <c r="I516" s="10"/>
      <c r="J516" s="43"/>
      <c r="K516" s="63"/>
      <c r="L516" s="43"/>
    </row>
    <row r="517" ht="22.5" customHeight="1">
      <c r="A517" s="9">
        <v>1585.0</v>
      </c>
      <c r="B517" s="27" t="s">
        <v>1623</v>
      </c>
      <c r="D517" s="28">
        <v>9.989989661E9</v>
      </c>
      <c r="E517" s="68"/>
      <c r="F517" s="34"/>
      <c r="G517" s="67"/>
      <c r="H517" s="9" t="s">
        <v>1513</v>
      </c>
      <c r="I517" s="10"/>
      <c r="J517" s="43"/>
      <c r="K517" s="63"/>
      <c r="L517" s="43"/>
    </row>
    <row r="518" ht="22.5" customHeight="1">
      <c r="A518" s="9">
        <v>1586.0</v>
      </c>
      <c r="B518" s="27" t="s">
        <v>1624</v>
      </c>
      <c r="D518" s="28">
        <v>7.79990068E9</v>
      </c>
      <c r="E518" s="68"/>
      <c r="F518" s="34"/>
      <c r="G518" s="67"/>
      <c r="H518" s="9" t="s">
        <v>1513</v>
      </c>
      <c r="I518" s="10"/>
      <c r="J518" s="43"/>
      <c r="K518" s="63"/>
      <c r="L518" s="43"/>
    </row>
    <row r="519" ht="22.5" customHeight="1">
      <c r="A519" s="9">
        <v>1587.0</v>
      </c>
      <c r="B519" s="27" t="s">
        <v>1625</v>
      </c>
      <c r="D519" s="28">
        <v>9.55385827E9</v>
      </c>
      <c r="E519" s="68"/>
      <c r="F519" s="34"/>
      <c r="G519" s="67"/>
      <c r="H519" s="9" t="s">
        <v>1513</v>
      </c>
      <c r="I519" s="10"/>
      <c r="J519" s="43"/>
      <c r="K519" s="63"/>
      <c r="L519" s="43"/>
    </row>
    <row r="520" ht="22.5" customHeight="1">
      <c r="A520" s="9">
        <v>1588.0</v>
      </c>
      <c r="B520" s="27" t="s">
        <v>1626</v>
      </c>
      <c r="D520" s="28">
        <v>9.948689312E9</v>
      </c>
      <c r="E520" s="68"/>
      <c r="F520" s="34"/>
      <c r="G520" s="67"/>
      <c r="H520" s="9" t="s">
        <v>1513</v>
      </c>
      <c r="I520" s="10"/>
      <c r="J520" s="43"/>
      <c r="K520" s="63"/>
      <c r="L520" s="43"/>
    </row>
    <row r="521" ht="22.5" customHeight="1">
      <c r="A521" s="9">
        <v>1589.0</v>
      </c>
      <c r="B521" s="27" t="s">
        <v>1627</v>
      </c>
      <c r="D521" s="28">
        <v>9.963648233E9</v>
      </c>
      <c r="E521" s="68"/>
      <c r="F521" s="34"/>
      <c r="G521" s="67"/>
      <c r="H521" s="9" t="s">
        <v>1513</v>
      </c>
      <c r="I521" s="10"/>
      <c r="J521" s="43"/>
      <c r="K521" s="63"/>
      <c r="L521" s="43"/>
    </row>
    <row r="522" ht="22.5" customHeight="1">
      <c r="A522" s="9">
        <v>1590.0</v>
      </c>
      <c r="B522" s="27" t="s">
        <v>1628</v>
      </c>
      <c r="D522" s="28">
        <v>9.70123493E9</v>
      </c>
      <c r="E522" s="68"/>
      <c r="F522" s="34"/>
      <c r="G522" s="67"/>
      <c r="H522" s="9" t="s">
        <v>1513</v>
      </c>
      <c r="I522" s="10"/>
      <c r="J522" s="43"/>
      <c r="K522" s="63"/>
      <c r="L522" s="43"/>
    </row>
    <row r="523" ht="22.5" customHeight="1">
      <c r="A523" s="9">
        <v>1591.0</v>
      </c>
      <c r="B523" s="27" t="s">
        <v>1629</v>
      </c>
      <c r="D523" s="28">
        <v>7.38694305E9</v>
      </c>
      <c r="E523" s="68"/>
      <c r="F523" s="34"/>
      <c r="G523" s="67"/>
      <c r="H523" s="9" t="s">
        <v>1513</v>
      </c>
      <c r="I523" s="10"/>
      <c r="J523" s="43"/>
      <c r="K523" s="63"/>
      <c r="L523" s="43"/>
    </row>
    <row r="524" ht="22.5" customHeight="1">
      <c r="A524" s="9">
        <v>1592.0</v>
      </c>
      <c r="B524" s="27" t="s">
        <v>1630</v>
      </c>
      <c r="D524" s="28">
        <v>9.160110153E9</v>
      </c>
      <c r="E524" s="68"/>
      <c r="F524" s="34"/>
      <c r="G524" s="67"/>
      <c r="H524" s="9" t="s">
        <v>1513</v>
      </c>
      <c r="I524" s="10"/>
      <c r="J524" s="43"/>
      <c r="K524" s="63"/>
      <c r="L524" s="43"/>
    </row>
    <row r="525" ht="22.5" customHeight="1">
      <c r="A525" s="9">
        <v>1593.0</v>
      </c>
      <c r="B525" s="27" t="s">
        <v>1631</v>
      </c>
      <c r="D525" s="28">
        <v>9.84997799E9</v>
      </c>
      <c r="E525" s="68"/>
      <c r="F525" s="34"/>
      <c r="G525" s="67"/>
      <c r="H525" s="9" t="s">
        <v>1513</v>
      </c>
      <c r="I525" s="10"/>
      <c r="J525" s="43"/>
      <c r="K525" s="63"/>
      <c r="L525" s="43"/>
    </row>
    <row r="526" ht="22.5" customHeight="1">
      <c r="A526" s="9">
        <v>1594.0</v>
      </c>
      <c r="B526" s="27" t="s">
        <v>1632</v>
      </c>
      <c r="D526" s="28">
        <v>7.337255216E9</v>
      </c>
      <c r="E526" s="68"/>
      <c r="F526" s="34"/>
      <c r="G526" s="67"/>
      <c r="H526" s="9" t="s">
        <v>1513</v>
      </c>
      <c r="I526" s="10"/>
      <c r="J526" s="43"/>
      <c r="K526" s="63"/>
      <c r="L526" s="43"/>
    </row>
    <row r="527" ht="22.5" customHeight="1">
      <c r="A527" s="9">
        <v>1595.0</v>
      </c>
      <c r="B527" s="27" t="s">
        <v>1633</v>
      </c>
      <c r="D527" s="28">
        <v>8.332097719E9</v>
      </c>
      <c r="E527" s="68"/>
      <c r="F527" s="34"/>
      <c r="G527" s="67"/>
      <c r="H527" s="9" t="s">
        <v>1513</v>
      </c>
      <c r="I527" s="10"/>
      <c r="J527" s="43"/>
      <c r="K527" s="63"/>
      <c r="L527" s="43"/>
    </row>
    <row r="528" ht="22.5" customHeight="1">
      <c r="A528" s="9">
        <v>1596.0</v>
      </c>
      <c r="B528" s="27" t="s">
        <v>1634</v>
      </c>
      <c r="D528" s="28">
        <v>9.849874046E9</v>
      </c>
      <c r="E528" s="68"/>
      <c r="F528" s="34"/>
      <c r="G528" s="67"/>
      <c r="H528" s="9" t="s">
        <v>1513</v>
      </c>
      <c r="I528" s="10"/>
      <c r="J528" s="43"/>
      <c r="K528" s="63"/>
      <c r="L528" s="43"/>
    </row>
    <row r="529" ht="22.5" customHeight="1">
      <c r="A529" s="9">
        <v>1597.0</v>
      </c>
      <c r="B529" s="27" t="s">
        <v>1635</v>
      </c>
      <c r="D529" s="28">
        <v>9.951835888E9</v>
      </c>
      <c r="E529" s="68"/>
      <c r="F529" s="34"/>
      <c r="G529" s="67"/>
      <c r="H529" s="9" t="s">
        <v>1513</v>
      </c>
      <c r="I529" s="10"/>
      <c r="J529" s="43"/>
      <c r="K529" s="63"/>
      <c r="L529" s="43"/>
    </row>
    <row r="530" ht="22.5" customHeight="1">
      <c r="A530" s="9">
        <v>1598.0</v>
      </c>
      <c r="B530" s="27" t="s">
        <v>1636</v>
      </c>
      <c r="D530" s="28">
        <v>9.866491599E9</v>
      </c>
      <c r="E530" s="68"/>
      <c r="F530" s="34"/>
      <c r="G530" s="67"/>
      <c r="H530" s="9" t="s">
        <v>1513</v>
      </c>
      <c r="I530" s="10"/>
      <c r="J530" s="43"/>
      <c r="K530" s="63"/>
      <c r="L530" s="43"/>
    </row>
    <row r="531" ht="22.5" customHeight="1">
      <c r="A531" s="9">
        <v>1599.0</v>
      </c>
      <c r="B531" s="27" t="s">
        <v>1637</v>
      </c>
      <c r="D531" s="28">
        <v>9.849795071E9</v>
      </c>
      <c r="E531" s="68"/>
      <c r="F531" s="34"/>
      <c r="G531" s="67"/>
      <c r="H531" s="9" t="s">
        <v>1513</v>
      </c>
      <c r="I531" s="10"/>
      <c r="J531" s="43"/>
      <c r="K531" s="63"/>
      <c r="L531" s="43"/>
    </row>
    <row r="532" ht="22.5" customHeight="1">
      <c r="A532" s="9">
        <v>1600.0</v>
      </c>
      <c r="B532" s="27" t="s">
        <v>1638</v>
      </c>
      <c r="D532" s="28">
        <v>9.542489776E9</v>
      </c>
      <c r="E532" s="68"/>
      <c r="F532" s="34"/>
      <c r="G532" s="67"/>
      <c r="H532" s="9" t="s">
        <v>1513</v>
      </c>
      <c r="I532" s="10"/>
      <c r="J532" s="43"/>
      <c r="K532" s="63"/>
      <c r="L532" s="43"/>
    </row>
    <row r="533" ht="22.5" customHeight="1">
      <c r="A533" s="9">
        <v>1601.0</v>
      </c>
      <c r="B533" s="27" t="s">
        <v>1639</v>
      </c>
      <c r="D533" s="28">
        <v>9.542593454E9</v>
      </c>
      <c r="E533" s="68"/>
      <c r="F533" s="34"/>
      <c r="G533" s="67"/>
      <c r="H533" s="9" t="s">
        <v>1513</v>
      </c>
      <c r="I533" s="10"/>
      <c r="J533" s="43"/>
      <c r="K533" s="63"/>
      <c r="L533" s="43"/>
    </row>
    <row r="534" ht="22.5" customHeight="1">
      <c r="A534" s="9">
        <v>1602.0</v>
      </c>
      <c r="B534" s="27" t="s">
        <v>1640</v>
      </c>
      <c r="D534" s="28">
        <v>9.392469557E9</v>
      </c>
      <c r="E534" s="68"/>
      <c r="F534" s="34"/>
      <c r="G534" s="67"/>
      <c r="H534" s="9" t="s">
        <v>1513</v>
      </c>
      <c r="I534" s="10"/>
      <c r="J534" s="43"/>
      <c r="K534" s="63"/>
      <c r="L534" s="43"/>
    </row>
    <row r="535" ht="22.5" customHeight="1">
      <c r="A535" s="9">
        <v>1603.0</v>
      </c>
      <c r="B535" s="27" t="s">
        <v>1641</v>
      </c>
      <c r="D535" s="28">
        <v>7.671893823E9</v>
      </c>
      <c r="E535" s="68"/>
      <c r="F535" s="34"/>
      <c r="G535" s="67"/>
      <c r="H535" s="9" t="s">
        <v>1513</v>
      </c>
      <c r="I535" s="10"/>
      <c r="J535" s="43"/>
      <c r="K535" s="63"/>
      <c r="L535" s="43"/>
    </row>
    <row r="536" ht="22.5" customHeight="1">
      <c r="A536" s="9">
        <v>1604.0</v>
      </c>
      <c r="B536" s="27" t="s">
        <v>1642</v>
      </c>
      <c r="D536" s="28">
        <v>9.391023595E9</v>
      </c>
      <c r="E536" s="68"/>
      <c r="F536" s="34"/>
      <c r="G536" s="67"/>
      <c r="H536" s="9" t="s">
        <v>1513</v>
      </c>
      <c r="I536" s="10"/>
      <c r="J536" s="43"/>
      <c r="K536" s="63"/>
      <c r="L536" s="43"/>
    </row>
    <row r="537" ht="22.5" customHeight="1">
      <c r="A537" s="9">
        <v>1605.0</v>
      </c>
      <c r="B537" s="27" t="s">
        <v>1643</v>
      </c>
      <c r="D537" s="28">
        <v>9.912121275E9</v>
      </c>
      <c r="E537" s="68"/>
      <c r="F537" s="34"/>
      <c r="G537" s="67"/>
      <c r="H537" s="9" t="s">
        <v>1513</v>
      </c>
      <c r="I537" s="10"/>
      <c r="J537" s="43"/>
      <c r="K537" s="63"/>
      <c r="L537" s="43"/>
    </row>
    <row r="538" ht="22.5" customHeight="1">
      <c r="A538" s="9">
        <v>1606.0</v>
      </c>
      <c r="B538" s="27" t="s">
        <v>1644</v>
      </c>
      <c r="D538" s="28">
        <v>8.108730123E9</v>
      </c>
      <c r="E538" s="68"/>
      <c r="F538" s="34"/>
      <c r="G538" s="67"/>
      <c r="H538" s="9" t="s">
        <v>1513</v>
      </c>
      <c r="I538" s="10"/>
      <c r="J538" s="43"/>
      <c r="K538" s="63"/>
      <c r="L538" s="43"/>
    </row>
    <row r="539" ht="22.5" customHeight="1">
      <c r="A539" s="9">
        <v>1607.0</v>
      </c>
      <c r="B539" s="27" t="s">
        <v>1645</v>
      </c>
      <c r="D539" s="28">
        <v>7.032923569E9</v>
      </c>
      <c r="E539" s="68"/>
      <c r="F539" s="34"/>
      <c r="G539" s="67"/>
      <c r="H539" s="9" t="s">
        <v>1513</v>
      </c>
      <c r="I539" s="10"/>
      <c r="J539" s="43"/>
      <c r="K539" s="63"/>
      <c r="L539" s="43"/>
    </row>
    <row r="540" ht="22.5" customHeight="1">
      <c r="A540" s="9">
        <v>1608.0</v>
      </c>
      <c r="B540" s="27" t="s">
        <v>1646</v>
      </c>
      <c r="D540" s="28">
        <v>9.542157697E9</v>
      </c>
      <c r="E540" s="68"/>
      <c r="F540" s="34"/>
      <c r="G540" s="67"/>
      <c r="H540" s="9" t="s">
        <v>1513</v>
      </c>
      <c r="I540" s="10"/>
      <c r="J540" s="43"/>
      <c r="K540" s="63"/>
      <c r="L540" s="43"/>
    </row>
    <row r="541" ht="22.5" customHeight="1">
      <c r="A541" s="9">
        <v>1609.0</v>
      </c>
      <c r="B541" s="27" t="s">
        <v>1647</v>
      </c>
      <c r="D541" s="28">
        <v>9.440722822E9</v>
      </c>
      <c r="E541" s="68"/>
      <c r="F541" s="34"/>
      <c r="G541" s="67"/>
      <c r="H541" s="9" t="s">
        <v>1513</v>
      </c>
      <c r="I541" s="10"/>
      <c r="J541" s="43"/>
      <c r="K541" s="63"/>
      <c r="L541" s="43"/>
    </row>
    <row r="542" ht="22.5" customHeight="1">
      <c r="A542" s="9">
        <v>1610.0</v>
      </c>
      <c r="B542" s="27" t="s">
        <v>1648</v>
      </c>
      <c r="D542" s="28">
        <v>9.966329475E9</v>
      </c>
      <c r="E542" s="68"/>
      <c r="F542" s="34"/>
      <c r="G542" s="67"/>
      <c r="H542" s="9" t="s">
        <v>1513</v>
      </c>
      <c r="I542" s="10"/>
      <c r="J542" s="43"/>
      <c r="K542" s="63"/>
      <c r="L542" s="43"/>
    </row>
    <row r="543" ht="22.5" customHeight="1">
      <c r="A543" s="9">
        <v>1611.0</v>
      </c>
      <c r="B543" s="27" t="s">
        <v>1649</v>
      </c>
      <c r="D543" s="28">
        <v>7.99526574E9</v>
      </c>
      <c r="E543" s="68"/>
      <c r="F543" s="34"/>
      <c r="G543" s="67"/>
      <c r="H543" s="9" t="s">
        <v>1513</v>
      </c>
      <c r="I543" s="10"/>
      <c r="J543" s="43"/>
      <c r="K543" s="63"/>
      <c r="L543" s="43"/>
    </row>
    <row r="544" ht="22.5" customHeight="1">
      <c r="A544" s="9">
        <v>1612.0</v>
      </c>
      <c r="B544" s="27" t="s">
        <v>1650</v>
      </c>
      <c r="D544" s="28">
        <v>9.676032817E9</v>
      </c>
      <c r="E544" s="68"/>
      <c r="F544" s="34"/>
      <c r="G544" s="67"/>
      <c r="H544" s="9" t="s">
        <v>1513</v>
      </c>
      <c r="I544" s="10"/>
      <c r="J544" s="43"/>
      <c r="K544" s="63"/>
      <c r="L544" s="43"/>
    </row>
    <row r="545" ht="22.5" customHeight="1">
      <c r="A545" s="9">
        <v>1613.0</v>
      </c>
      <c r="B545" s="27" t="s">
        <v>1651</v>
      </c>
      <c r="D545" s="28">
        <v>9.951397885E9</v>
      </c>
      <c r="E545" s="68"/>
      <c r="F545" s="34"/>
      <c r="G545" s="67"/>
      <c r="H545" s="9" t="s">
        <v>1513</v>
      </c>
      <c r="I545" s="10"/>
      <c r="J545" s="43"/>
      <c r="K545" s="63"/>
      <c r="L545" s="43"/>
    </row>
    <row r="546" ht="22.5" customHeight="1">
      <c r="A546" s="9">
        <v>1614.0</v>
      </c>
      <c r="B546" s="27" t="s">
        <v>1652</v>
      </c>
      <c r="D546" s="28">
        <v>6.301271562E9</v>
      </c>
      <c r="E546" s="68"/>
      <c r="F546" s="34"/>
      <c r="G546" s="67"/>
      <c r="H546" s="9" t="s">
        <v>1513</v>
      </c>
      <c r="I546" s="10"/>
      <c r="J546" s="43"/>
      <c r="K546" s="63"/>
      <c r="L546" s="43"/>
    </row>
    <row r="547" ht="22.5" customHeight="1">
      <c r="A547" s="9">
        <v>1615.0</v>
      </c>
      <c r="B547" s="27" t="s">
        <v>1653</v>
      </c>
      <c r="D547" s="28">
        <v>8.500215729E9</v>
      </c>
      <c r="E547" s="68"/>
      <c r="F547" s="34"/>
      <c r="G547" s="67"/>
      <c r="H547" s="9" t="s">
        <v>1513</v>
      </c>
      <c r="I547" s="10"/>
      <c r="J547" s="43"/>
      <c r="K547" s="63"/>
      <c r="L547" s="43"/>
    </row>
    <row r="548" ht="22.5" customHeight="1">
      <c r="A548" s="9">
        <v>1616.0</v>
      </c>
      <c r="B548" s="27" t="s">
        <v>1654</v>
      </c>
      <c r="D548" s="28">
        <v>9.989299769E9</v>
      </c>
      <c r="E548" s="68"/>
      <c r="F548" s="34"/>
      <c r="G548" s="67"/>
      <c r="H548" s="9" t="s">
        <v>1513</v>
      </c>
      <c r="I548" s="10"/>
      <c r="J548" s="43"/>
      <c r="K548" s="63"/>
      <c r="L548" s="43"/>
    </row>
    <row r="549" ht="22.5" customHeight="1">
      <c r="A549" s="9">
        <v>1617.0</v>
      </c>
      <c r="B549" s="27" t="s">
        <v>1655</v>
      </c>
      <c r="D549" s="28">
        <v>7.093408512E9</v>
      </c>
      <c r="E549" s="68"/>
      <c r="F549" s="34"/>
      <c r="G549" s="67"/>
      <c r="H549" s="9" t="s">
        <v>1513</v>
      </c>
      <c r="I549" s="10"/>
      <c r="J549" s="43"/>
      <c r="K549" s="63"/>
      <c r="L549" s="43"/>
    </row>
    <row r="550" ht="22.5" customHeight="1">
      <c r="A550" s="9">
        <v>1618.0</v>
      </c>
      <c r="B550" s="27" t="s">
        <v>1656</v>
      </c>
      <c r="D550" s="28">
        <v>9.618847358E9</v>
      </c>
      <c r="E550" s="68"/>
      <c r="F550" s="34"/>
      <c r="G550" s="67"/>
      <c r="H550" s="9" t="s">
        <v>1513</v>
      </c>
      <c r="I550" s="10"/>
      <c r="J550" s="43"/>
      <c r="K550" s="63"/>
      <c r="L550" s="43"/>
    </row>
    <row r="551" ht="22.5" customHeight="1">
      <c r="A551" s="9">
        <v>1619.0</v>
      </c>
      <c r="B551" s="27" t="s">
        <v>1657</v>
      </c>
      <c r="D551" s="28">
        <v>9.57339258E9</v>
      </c>
      <c r="E551" s="68"/>
      <c r="F551" s="34"/>
      <c r="G551" s="67"/>
      <c r="H551" s="9" t="s">
        <v>1513</v>
      </c>
      <c r="I551" s="10"/>
      <c r="J551" s="43"/>
      <c r="K551" s="63"/>
      <c r="L551" s="43"/>
    </row>
    <row r="552" ht="22.5" customHeight="1">
      <c r="A552" s="9">
        <v>1620.0</v>
      </c>
      <c r="B552" s="27" t="s">
        <v>1658</v>
      </c>
      <c r="D552" s="28">
        <v>8.500466786E9</v>
      </c>
      <c r="E552" s="68"/>
      <c r="F552" s="34"/>
      <c r="G552" s="67"/>
      <c r="H552" s="9" t="s">
        <v>1513</v>
      </c>
      <c r="I552" s="10"/>
      <c r="J552" s="43"/>
      <c r="K552" s="63"/>
      <c r="L552" s="43"/>
    </row>
    <row r="553" ht="22.5" customHeight="1">
      <c r="A553" s="9">
        <v>1621.0</v>
      </c>
      <c r="B553" s="27" t="s">
        <v>1659</v>
      </c>
      <c r="D553" s="28">
        <v>9.959050508E9</v>
      </c>
      <c r="E553" s="68"/>
      <c r="F553" s="34"/>
      <c r="G553" s="67"/>
      <c r="H553" s="9" t="s">
        <v>1513</v>
      </c>
      <c r="I553" s="10"/>
      <c r="J553" s="43"/>
      <c r="K553" s="63"/>
      <c r="L553" s="43"/>
    </row>
    <row r="554" ht="22.5" customHeight="1">
      <c r="A554" s="9">
        <v>1622.0</v>
      </c>
      <c r="B554" s="27" t="s">
        <v>1660</v>
      </c>
      <c r="D554" s="28">
        <v>8.003895566E9</v>
      </c>
      <c r="E554" s="68"/>
      <c r="F554" s="34"/>
      <c r="G554" s="67"/>
      <c r="H554" s="9" t="s">
        <v>1513</v>
      </c>
      <c r="I554" s="10"/>
      <c r="J554" s="43"/>
      <c r="K554" s="63"/>
      <c r="L554" s="43"/>
    </row>
    <row r="555" ht="22.5" customHeight="1">
      <c r="A555" s="9">
        <v>1623.0</v>
      </c>
      <c r="B555" s="27" t="s">
        <v>1661</v>
      </c>
      <c r="D555" s="28">
        <v>9.866121549E9</v>
      </c>
      <c r="E555" s="68"/>
      <c r="F555" s="34"/>
      <c r="G555" s="67"/>
      <c r="H555" s="9" t="s">
        <v>1513</v>
      </c>
      <c r="I555" s="10"/>
      <c r="J555" s="43"/>
      <c r="K555" s="63"/>
      <c r="L555" s="43"/>
    </row>
    <row r="556" ht="22.5" customHeight="1">
      <c r="A556" s="9">
        <v>1624.0</v>
      </c>
      <c r="B556" s="27" t="s">
        <v>1662</v>
      </c>
      <c r="D556" s="28">
        <v>9.676006946E9</v>
      </c>
      <c r="E556" s="68"/>
      <c r="F556" s="34"/>
      <c r="G556" s="67"/>
      <c r="H556" s="9" t="s">
        <v>1513</v>
      </c>
      <c r="I556" s="10"/>
      <c r="J556" s="43"/>
      <c r="K556" s="63"/>
      <c r="L556" s="43"/>
    </row>
    <row r="557" ht="22.5" customHeight="1">
      <c r="A557" s="9">
        <v>1625.0</v>
      </c>
      <c r="B557" s="27" t="s">
        <v>1663</v>
      </c>
      <c r="D557" s="28">
        <v>7.893068022E9</v>
      </c>
      <c r="E557" s="68"/>
      <c r="F557" s="34"/>
      <c r="G557" s="67"/>
      <c r="H557" s="9" t="s">
        <v>1513</v>
      </c>
      <c r="I557" s="10"/>
      <c r="J557" s="43"/>
      <c r="K557" s="63"/>
      <c r="L557" s="43"/>
    </row>
    <row r="558" ht="22.5" customHeight="1">
      <c r="A558" s="9">
        <v>1626.0</v>
      </c>
      <c r="B558" s="27" t="s">
        <v>1664</v>
      </c>
      <c r="D558" s="28">
        <v>9.346874271E9</v>
      </c>
      <c r="E558" s="68"/>
      <c r="F558" s="34"/>
      <c r="G558" s="67"/>
      <c r="H558" s="9" t="s">
        <v>1513</v>
      </c>
      <c r="I558" s="10"/>
      <c r="J558" s="43"/>
      <c r="K558" s="63"/>
      <c r="L558" s="43"/>
    </row>
    <row r="559" ht="22.5" customHeight="1">
      <c r="A559" s="9">
        <v>1627.0</v>
      </c>
      <c r="B559" s="27" t="s">
        <v>1665</v>
      </c>
      <c r="D559" s="28">
        <v>9.542468459E9</v>
      </c>
      <c r="E559" s="68"/>
      <c r="F559" s="34"/>
      <c r="G559" s="67"/>
      <c r="H559" s="9" t="s">
        <v>1513</v>
      </c>
      <c r="I559" s="10"/>
      <c r="J559" s="43"/>
      <c r="K559" s="63"/>
      <c r="L559" s="43"/>
    </row>
    <row r="560" ht="22.5" customHeight="1">
      <c r="A560" s="9">
        <v>1628.0</v>
      </c>
      <c r="B560" s="27" t="s">
        <v>1666</v>
      </c>
      <c r="D560" s="28">
        <v>7.671861891E9</v>
      </c>
      <c r="E560" s="68"/>
      <c r="F560" s="34"/>
      <c r="G560" s="67"/>
      <c r="H560" s="9" t="s">
        <v>1513</v>
      </c>
      <c r="I560" s="10"/>
      <c r="J560" s="43"/>
      <c r="K560" s="63"/>
      <c r="L560" s="43"/>
    </row>
    <row r="561" ht="22.5" customHeight="1">
      <c r="A561" s="9">
        <v>1629.0</v>
      </c>
      <c r="B561" s="27" t="s">
        <v>1667</v>
      </c>
      <c r="D561" s="28">
        <v>7.794862084E9</v>
      </c>
      <c r="E561" s="68"/>
      <c r="F561" s="34"/>
      <c r="G561" s="67"/>
      <c r="H561" s="9" t="s">
        <v>1513</v>
      </c>
      <c r="I561" s="10"/>
      <c r="J561" s="43"/>
      <c r="K561" s="63"/>
      <c r="L561" s="43"/>
    </row>
    <row r="562" ht="22.5" customHeight="1">
      <c r="A562" s="9">
        <v>1630.0</v>
      </c>
      <c r="B562" s="27" t="s">
        <v>1668</v>
      </c>
      <c r="D562" s="28">
        <v>9.98988693E9</v>
      </c>
      <c r="E562" s="68"/>
      <c r="F562" s="34"/>
      <c r="G562" s="67"/>
      <c r="H562" s="9" t="s">
        <v>1513</v>
      </c>
      <c r="I562" s="10"/>
      <c r="J562" s="43"/>
      <c r="K562" s="63"/>
      <c r="L562" s="43"/>
    </row>
    <row r="563" ht="22.5" customHeight="1">
      <c r="A563" s="9">
        <v>1631.0</v>
      </c>
      <c r="B563" s="27" t="s">
        <v>1669</v>
      </c>
      <c r="D563" s="28">
        <v>7.386632649E9</v>
      </c>
      <c r="E563" s="68"/>
      <c r="F563" s="34"/>
      <c r="G563" s="67"/>
      <c r="H563" s="9" t="s">
        <v>1513</v>
      </c>
      <c r="I563" s="10"/>
      <c r="J563" s="43"/>
      <c r="K563" s="63"/>
      <c r="L563" s="43"/>
    </row>
    <row r="564" ht="22.5" customHeight="1">
      <c r="A564" s="9">
        <v>1632.0</v>
      </c>
      <c r="B564" s="27" t="s">
        <v>1670</v>
      </c>
      <c r="D564" s="28">
        <v>9.000272203E9</v>
      </c>
      <c r="E564" s="68"/>
      <c r="F564" s="34"/>
      <c r="G564" s="67"/>
      <c r="H564" s="9" t="s">
        <v>1513</v>
      </c>
      <c r="I564" s="10"/>
      <c r="J564" s="43"/>
      <c r="K564" s="63"/>
      <c r="L564" s="43"/>
    </row>
    <row r="565" ht="22.5" customHeight="1">
      <c r="A565" s="9">
        <v>1633.0</v>
      </c>
      <c r="B565" s="27" t="s">
        <v>1671</v>
      </c>
      <c r="D565" s="28">
        <v>9.989277003E9</v>
      </c>
      <c r="E565" s="68"/>
      <c r="F565" s="34"/>
      <c r="G565" s="67"/>
      <c r="H565" s="9" t="s">
        <v>1513</v>
      </c>
      <c r="I565" s="10"/>
      <c r="J565" s="43"/>
      <c r="K565" s="63"/>
      <c r="L565" s="43"/>
    </row>
    <row r="566" ht="22.5" customHeight="1">
      <c r="A566" s="9">
        <v>1634.0</v>
      </c>
      <c r="B566" s="27" t="s">
        <v>1672</v>
      </c>
      <c r="D566" s="28">
        <v>9.642325568E9</v>
      </c>
      <c r="E566" s="68"/>
      <c r="F566" s="34"/>
      <c r="G566" s="67"/>
      <c r="H566" s="9" t="s">
        <v>1513</v>
      </c>
      <c r="I566" s="10"/>
      <c r="J566" s="43"/>
      <c r="K566" s="63"/>
      <c r="L566" s="43"/>
    </row>
    <row r="567" ht="22.5" customHeight="1">
      <c r="A567" s="9">
        <v>1635.0</v>
      </c>
      <c r="B567" s="27" t="s">
        <v>1673</v>
      </c>
      <c r="D567" s="28">
        <v>9.493209632E9</v>
      </c>
      <c r="E567" s="68"/>
      <c r="F567" s="34"/>
      <c r="G567" s="67"/>
      <c r="H567" s="9" t="s">
        <v>1513</v>
      </c>
      <c r="I567" s="10"/>
      <c r="J567" s="43"/>
      <c r="K567" s="63"/>
      <c r="L567" s="43"/>
    </row>
    <row r="568" ht="22.5" customHeight="1">
      <c r="A568" s="9">
        <v>1636.0</v>
      </c>
      <c r="B568" s="27" t="s">
        <v>1674</v>
      </c>
      <c r="D568" s="28">
        <v>7.396736962E9</v>
      </c>
      <c r="E568" s="68"/>
      <c r="F568" s="34"/>
      <c r="G568" s="67"/>
      <c r="H568" s="9" t="s">
        <v>1513</v>
      </c>
      <c r="I568" s="10"/>
      <c r="J568" s="43"/>
      <c r="K568" s="63"/>
      <c r="L568" s="43"/>
    </row>
    <row r="569" ht="22.5" customHeight="1">
      <c r="A569" s="9">
        <v>1637.0</v>
      </c>
      <c r="B569" s="27" t="s">
        <v>1675</v>
      </c>
      <c r="D569" s="28">
        <v>9.177779045E9</v>
      </c>
      <c r="E569" s="68"/>
      <c r="F569" s="34"/>
      <c r="G569" s="67"/>
      <c r="H569" s="9" t="s">
        <v>1513</v>
      </c>
      <c r="I569" s="10"/>
      <c r="J569" s="43"/>
      <c r="K569" s="63"/>
      <c r="L569" s="43"/>
    </row>
    <row r="570" ht="22.5" customHeight="1">
      <c r="A570" s="9">
        <v>1638.0</v>
      </c>
      <c r="B570" s="27" t="s">
        <v>1676</v>
      </c>
      <c r="D570" s="28">
        <v>9.100920682E9</v>
      </c>
      <c r="E570" s="68"/>
      <c r="F570" s="34"/>
      <c r="G570" s="67"/>
      <c r="H570" s="9" t="s">
        <v>1513</v>
      </c>
      <c r="I570" s="10"/>
      <c r="J570" s="43"/>
      <c r="K570" s="63"/>
      <c r="L570" s="43"/>
    </row>
    <row r="571" ht="22.5" customHeight="1">
      <c r="A571" s="9">
        <v>1639.0</v>
      </c>
      <c r="B571" s="27" t="s">
        <v>1677</v>
      </c>
      <c r="D571" s="28">
        <v>7.075416602E9</v>
      </c>
      <c r="E571" s="68"/>
      <c r="F571" s="34"/>
      <c r="G571" s="67"/>
      <c r="H571" s="9" t="s">
        <v>1513</v>
      </c>
      <c r="I571" s="10"/>
      <c r="J571" s="43"/>
      <c r="K571" s="63"/>
      <c r="L571" s="43"/>
    </row>
    <row r="572" ht="22.5" customHeight="1">
      <c r="A572" s="9">
        <v>1640.0</v>
      </c>
      <c r="B572" s="27" t="s">
        <v>1678</v>
      </c>
      <c r="D572" s="28">
        <v>9.704487802E9</v>
      </c>
      <c r="E572" s="68"/>
      <c r="F572" s="34"/>
      <c r="G572" s="67"/>
      <c r="H572" s="9" t="s">
        <v>1513</v>
      </c>
      <c r="I572" s="10"/>
      <c r="J572" s="43"/>
      <c r="K572" s="63"/>
      <c r="L572" s="43"/>
    </row>
    <row r="573" ht="22.5" customHeight="1">
      <c r="A573" s="9">
        <v>1641.0</v>
      </c>
      <c r="B573" s="27" t="s">
        <v>1679</v>
      </c>
      <c r="D573" s="28">
        <v>9.959882247E9</v>
      </c>
      <c r="E573" s="68"/>
      <c r="F573" s="34"/>
      <c r="G573" s="67"/>
      <c r="H573" s="9" t="s">
        <v>1513</v>
      </c>
      <c r="I573" s="10"/>
      <c r="J573" s="43"/>
      <c r="K573" s="63"/>
      <c r="L573" s="43"/>
    </row>
    <row r="574" ht="22.5" customHeight="1">
      <c r="A574" s="9">
        <v>1642.0</v>
      </c>
      <c r="B574" s="27" t="s">
        <v>1680</v>
      </c>
      <c r="D574" s="28">
        <v>9.014762138E9</v>
      </c>
      <c r="E574" s="68"/>
      <c r="F574" s="34"/>
      <c r="G574" s="67"/>
      <c r="H574" s="9" t="s">
        <v>1513</v>
      </c>
      <c r="I574" s="10"/>
      <c r="J574" s="43"/>
      <c r="K574" s="63"/>
      <c r="L574" s="43"/>
    </row>
    <row r="575" ht="22.5" customHeight="1">
      <c r="A575" s="9">
        <v>1643.0</v>
      </c>
      <c r="B575" s="27" t="s">
        <v>1681</v>
      </c>
      <c r="D575" s="28">
        <v>6.303898731E9</v>
      </c>
      <c r="E575" s="68"/>
      <c r="F575" s="34"/>
      <c r="G575" s="67"/>
      <c r="H575" s="9" t="s">
        <v>1513</v>
      </c>
      <c r="I575" s="10"/>
      <c r="J575" s="43"/>
      <c r="K575" s="63"/>
      <c r="L575" s="43"/>
    </row>
    <row r="576" ht="22.5" customHeight="1">
      <c r="A576" s="9">
        <v>1644.0</v>
      </c>
      <c r="B576" s="27" t="s">
        <v>1682</v>
      </c>
      <c r="D576" s="28">
        <v>7.799377996E9</v>
      </c>
      <c r="E576" s="68"/>
      <c r="F576" s="34"/>
      <c r="G576" s="67"/>
      <c r="H576" s="9" t="s">
        <v>1513</v>
      </c>
      <c r="I576" s="10"/>
      <c r="J576" s="43"/>
      <c r="K576" s="63"/>
      <c r="L576" s="43"/>
    </row>
    <row r="577" ht="22.5" customHeight="1">
      <c r="A577" s="9">
        <v>1645.0</v>
      </c>
      <c r="B577" s="27" t="s">
        <v>1683</v>
      </c>
      <c r="D577" s="28">
        <v>7.013114486E9</v>
      </c>
      <c r="E577" s="68"/>
      <c r="F577" s="34"/>
      <c r="G577" s="67"/>
      <c r="H577" s="9" t="s">
        <v>1513</v>
      </c>
      <c r="I577" s="10"/>
      <c r="J577" s="43"/>
      <c r="K577" s="63"/>
      <c r="L577" s="43"/>
    </row>
    <row r="578" ht="22.5" customHeight="1">
      <c r="A578" s="9">
        <v>1646.0</v>
      </c>
      <c r="B578" s="27" t="s">
        <v>1684</v>
      </c>
      <c r="D578" s="28">
        <v>9.502913427E9</v>
      </c>
      <c r="E578" s="68"/>
      <c r="F578" s="34"/>
      <c r="G578" s="67"/>
      <c r="H578" s="9" t="s">
        <v>1513</v>
      </c>
      <c r="I578" s="10"/>
      <c r="J578" s="43"/>
      <c r="K578" s="63"/>
      <c r="L578" s="43"/>
    </row>
    <row r="579" ht="22.5" customHeight="1">
      <c r="A579" s="9">
        <v>1647.0</v>
      </c>
      <c r="B579" s="27" t="s">
        <v>1685</v>
      </c>
      <c r="D579" s="28">
        <v>9.440491383E9</v>
      </c>
      <c r="E579" s="68"/>
      <c r="F579" s="34"/>
      <c r="G579" s="67"/>
      <c r="H579" s="9" t="s">
        <v>1513</v>
      </c>
      <c r="I579" s="10"/>
      <c r="J579" s="43"/>
      <c r="K579" s="63"/>
      <c r="L579" s="43"/>
    </row>
    <row r="580" ht="22.5" customHeight="1">
      <c r="A580" s="9">
        <v>1648.0</v>
      </c>
      <c r="B580" s="27" t="s">
        <v>1686</v>
      </c>
      <c r="D580" s="28">
        <v>7.396511503E9</v>
      </c>
      <c r="E580" s="68"/>
      <c r="F580" s="34"/>
      <c r="G580" s="67"/>
      <c r="H580" s="9" t="s">
        <v>1513</v>
      </c>
      <c r="I580" s="10"/>
      <c r="J580" s="43"/>
      <c r="K580" s="63"/>
      <c r="L580" s="43"/>
    </row>
    <row r="581" ht="22.5" customHeight="1">
      <c r="A581" s="9">
        <v>1649.0</v>
      </c>
      <c r="B581" s="27" t="s">
        <v>1687</v>
      </c>
      <c r="D581" s="28">
        <v>8.297320275E9</v>
      </c>
      <c r="E581" s="68"/>
      <c r="F581" s="34"/>
      <c r="G581" s="67"/>
      <c r="H581" s="9" t="s">
        <v>1513</v>
      </c>
      <c r="I581" s="10"/>
      <c r="J581" s="43"/>
      <c r="K581" s="63"/>
      <c r="L581" s="43"/>
    </row>
    <row r="582" ht="22.5" customHeight="1">
      <c r="A582" s="9">
        <v>1650.0</v>
      </c>
      <c r="B582" s="27" t="s">
        <v>1688</v>
      </c>
      <c r="D582" s="28">
        <v>9.381837653E9</v>
      </c>
      <c r="E582" s="68"/>
      <c r="F582" s="34"/>
      <c r="G582" s="67"/>
      <c r="H582" s="9" t="s">
        <v>1513</v>
      </c>
      <c r="I582" s="10"/>
      <c r="J582" s="43"/>
      <c r="K582" s="63"/>
      <c r="L582" s="43"/>
    </row>
    <row r="583" ht="22.5" customHeight="1">
      <c r="A583" s="9">
        <v>1651.0</v>
      </c>
      <c r="B583" s="27" t="s">
        <v>1689</v>
      </c>
      <c r="D583" s="28">
        <v>9.951358093E9</v>
      </c>
      <c r="E583" s="68"/>
      <c r="F583" s="34"/>
      <c r="G583" s="67"/>
      <c r="H583" s="9" t="s">
        <v>1513</v>
      </c>
      <c r="I583" s="10"/>
      <c r="J583" s="43"/>
      <c r="K583" s="63"/>
      <c r="L583" s="43"/>
    </row>
    <row r="584" ht="22.5" customHeight="1">
      <c r="A584" s="9">
        <v>1652.0</v>
      </c>
      <c r="B584" s="27" t="s">
        <v>1690</v>
      </c>
      <c r="D584" s="28">
        <v>9.490077678E9</v>
      </c>
      <c r="E584" s="68"/>
      <c r="F584" s="34"/>
      <c r="G584" s="67"/>
      <c r="H584" s="9" t="s">
        <v>1513</v>
      </c>
      <c r="I584" s="10"/>
      <c r="J584" s="43"/>
      <c r="K584" s="63"/>
      <c r="L584" s="43"/>
    </row>
    <row r="585" ht="22.5" customHeight="1">
      <c r="A585" s="9">
        <v>1653.0</v>
      </c>
      <c r="B585" s="27" t="s">
        <v>1691</v>
      </c>
      <c r="D585" s="28">
        <v>7.674816748E9</v>
      </c>
      <c r="E585" s="68"/>
      <c r="F585" s="34"/>
      <c r="G585" s="67"/>
      <c r="H585" s="9" t="s">
        <v>1513</v>
      </c>
      <c r="I585" s="10"/>
      <c r="J585" s="43"/>
      <c r="K585" s="63"/>
      <c r="L585" s="43"/>
    </row>
    <row r="586" ht="22.5" customHeight="1">
      <c r="A586" s="9">
        <v>1654.0</v>
      </c>
      <c r="B586" s="27" t="s">
        <v>1692</v>
      </c>
      <c r="D586" s="28">
        <v>8.179656824E9</v>
      </c>
      <c r="E586" s="68"/>
      <c r="F586" s="34"/>
      <c r="G586" s="67"/>
      <c r="H586" s="9" t="s">
        <v>1513</v>
      </c>
      <c r="I586" s="10"/>
      <c r="J586" s="43"/>
      <c r="K586" s="63"/>
      <c r="L586" s="43"/>
    </row>
    <row r="587" ht="22.5" customHeight="1">
      <c r="A587" s="9">
        <v>1655.0</v>
      </c>
      <c r="B587" s="27" t="s">
        <v>1693</v>
      </c>
      <c r="D587" s="28">
        <v>9.885589137E9</v>
      </c>
      <c r="E587" s="68"/>
      <c r="F587" s="34"/>
      <c r="G587" s="67"/>
      <c r="H587" s="9" t="s">
        <v>1513</v>
      </c>
      <c r="I587" s="10"/>
      <c r="J587" s="43"/>
      <c r="K587" s="63"/>
      <c r="L587" s="43"/>
    </row>
    <row r="588" ht="22.5" customHeight="1">
      <c r="A588" s="9">
        <v>1656.0</v>
      </c>
      <c r="B588" s="27" t="s">
        <v>1694</v>
      </c>
      <c r="D588" s="28">
        <v>9.849346861E9</v>
      </c>
      <c r="E588" s="68"/>
      <c r="F588" s="34"/>
      <c r="G588" s="67"/>
      <c r="H588" s="9" t="s">
        <v>1513</v>
      </c>
      <c r="I588" s="10"/>
      <c r="J588" s="43"/>
      <c r="K588" s="63"/>
      <c r="L588" s="43"/>
    </row>
    <row r="589" ht="22.5" customHeight="1">
      <c r="A589" s="9">
        <v>1657.0</v>
      </c>
      <c r="B589" s="27" t="s">
        <v>1695</v>
      </c>
      <c r="D589" s="28">
        <v>9.963744413E9</v>
      </c>
      <c r="E589" s="68"/>
      <c r="F589" s="34"/>
      <c r="G589" s="67"/>
      <c r="H589" s="9" t="s">
        <v>1513</v>
      </c>
      <c r="I589" s="10"/>
      <c r="J589" s="43"/>
      <c r="K589" s="63"/>
      <c r="L589" s="43"/>
    </row>
    <row r="590" ht="22.5" customHeight="1">
      <c r="A590" s="9">
        <v>1658.0</v>
      </c>
      <c r="B590" s="27" t="s">
        <v>1696</v>
      </c>
      <c r="D590" s="28">
        <v>9.949041391E9</v>
      </c>
      <c r="E590" s="68"/>
      <c r="F590" s="34"/>
      <c r="G590" s="67"/>
      <c r="H590" s="9" t="s">
        <v>1513</v>
      </c>
      <c r="I590" s="10"/>
      <c r="J590" s="43"/>
      <c r="K590" s="63"/>
      <c r="L590" s="43"/>
    </row>
    <row r="591" ht="22.5" customHeight="1">
      <c r="A591" s="9">
        <v>1659.0</v>
      </c>
      <c r="B591" s="27" t="s">
        <v>1697</v>
      </c>
      <c r="D591" s="28">
        <v>9.177999572E9</v>
      </c>
      <c r="E591" s="68"/>
      <c r="F591" s="34"/>
      <c r="G591" s="67"/>
      <c r="H591" s="9" t="s">
        <v>1513</v>
      </c>
      <c r="I591" s="10"/>
      <c r="J591" s="43"/>
      <c r="K591" s="63"/>
      <c r="L591" s="43"/>
    </row>
    <row r="592" ht="22.5" customHeight="1">
      <c r="A592" s="9">
        <v>1660.0</v>
      </c>
      <c r="B592" s="27" t="s">
        <v>1698</v>
      </c>
      <c r="D592" s="28">
        <v>8.008672525E9</v>
      </c>
      <c r="E592" s="68"/>
      <c r="F592" s="34"/>
      <c r="G592" s="67"/>
      <c r="H592" s="9" t="s">
        <v>1513</v>
      </c>
      <c r="I592" s="10"/>
      <c r="J592" s="43"/>
      <c r="K592" s="63"/>
      <c r="L592" s="43"/>
    </row>
    <row r="593" ht="22.5" customHeight="1">
      <c r="A593" s="9">
        <v>1661.0</v>
      </c>
      <c r="B593" s="27" t="s">
        <v>1699</v>
      </c>
      <c r="D593" s="28">
        <v>7.095560933E9</v>
      </c>
      <c r="E593" s="68"/>
      <c r="F593" s="34"/>
      <c r="G593" s="67"/>
      <c r="H593" s="9" t="s">
        <v>1513</v>
      </c>
      <c r="I593" s="10"/>
      <c r="J593" s="43"/>
      <c r="K593" s="63"/>
      <c r="L593" s="43"/>
    </row>
    <row r="594" ht="22.5" customHeight="1">
      <c r="A594" s="9">
        <v>1662.0</v>
      </c>
      <c r="B594" s="27" t="s">
        <v>1700</v>
      </c>
      <c r="D594" s="28">
        <v>7.793908496E9</v>
      </c>
      <c r="E594" s="68"/>
      <c r="F594" s="34"/>
      <c r="G594" s="67"/>
      <c r="H594" s="9" t="s">
        <v>1513</v>
      </c>
      <c r="I594" s="10"/>
      <c r="J594" s="43"/>
      <c r="K594" s="63"/>
      <c r="L594" s="43"/>
    </row>
    <row r="595" ht="22.5" customHeight="1">
      <c r="A595" s="9">
        <v>1663.0</v>
      </c>
      <c r="B595" s="27" t="s">
        <v>1701</v>
      </c>
      <c r="D595" s="28">
        <v>8.179539405E9</v>
      </c>
      <c r="E595" s="68"/>
      <c r="F595" s="34"/>
      <c r="G595" s="67"/>
      <c r="H595" s="9" t="s">
        <v>1513</v>
      </c>
      <c r="I595" s="10"/>
      <c r="J595" s="43"/>
      <c r="K595" s="63"/>
      <c r="L595" s="43"/>
    </row>
    <row r="596" ht="22.5" customHeight="1">
      <c r="A596" s="9">
        <v>1664.0</v>
      </c>
      <c r="B596" s="27" t="s">
        <v>1702</v>
      </c>
      <c r="D596" s="28">
        <v>9.989834114E9</v>
      </c>
      <c r="E596" s="68"/>
      <c r="F596" s="34"/>
      <c r="G596" s="67"/>
      <c r="H596" s="9" t="s">
        <v>1513</v>
      </c>
      <c r="I596" s="10"/>
      <c r="J596" s="43"/>
      <c r="K596" s="63"/>
      <c r="L596" s="43"/>
    </row>
    <row r="597" ht="22.5" customHeight="1">
      <c r="A597" s="9">
        <v>1665.0</v>
      </c>
      <c r="B597" s="27" t="s">
        <v>1703</v>
      </c>
      <c r="D597" s="28">
        <v>9.441239883E9</v>
      </c>
      <c r="E597" s="68"/>
      <c r="F597" s="34"/>
      <c r="G597" s="67"/>
      <c r="H597" s="9" t="s">
        <v>1513</v>
      </c>
      <c r="I597" s="10"/>
      <c r="J597" s="43"/>
      <c r="K597" s="63"/>
      <c r="L597" s="43"/>
    </row>
    <row r="598" ht="22.5" customHeight="1">
      <c r="A598" s="9">
        <v>1666.0</v>
      </c>
      <c r="B598" s="27" t="s">
        <v>1704</v>
      </c>
      <c r="D598" s="28">
        <v>9.989044854E9</v>
      </c>
      <c r="E598" s="68"/>
      <c r="F598" s="34"/>
      <c r="G598" s="67"/>
      <c r="H598" s="9" t="s">
        <v>1513</v>
      </c>
      <c r="I598" s="10"/>
      <c r="J598" s="43"/>
      <c r="K598" s="63"/>
      <c r="L598" s="43"/>
    </row>
    <row r="599" ht="22.5" customHeight="1">
      <c r="A599" s="9">
        <v>1667.0</v>
      </c>
      <c r="B599" s="27" t="s">
        <v>1705</v>
      </c>
      <c r="D599" s="28">
        <v>9.490189616E9</v>
      </c>
      <c r="E599" s="68"/>
      <c r="F599" s="34"/>
      <c r="G599" s="67"/>
      <c r="H599" s="9" t="s">
        <v>1513</v>
      </c>
      <c r="I599" s="10"/>
      <c r="J599" s="43"/>
      <c r="K599" s="63"/>
      <c r="L599" s="43"/>
    </row>
    <row r="600" ht="22.5" customHeight="1">
      <c r="A600" s="9">
        <v>1668.0</v>
      </c>
      <c r="B600" s="27" t="s">
        <v>1706</v>
      </c>
      <c r="D600" s="28">
        <v>9.537629968E9</v>
      </c>
      <c r="E600" s="68"/>
      <c r="F600" s="34"/>
      <c r="G600" s="67"/>
      <c r="H600" s="9" t="s">
        <v>1513</v>
      </c>
      <c r="I600" s="10"/>
      <c r="J600" s="43"/>
      <c r="K600" s="63"/>
      <c r="L600" s="43"/>
    </row>
    <row r="601" ht="22.5" customHeight="1">
      <c r="A601" s="9">
        <v>1669.0</v>
      </c>
      <c r="B601" s="27" t="s">
        <v>1707</v>
      </c>
      <c r="D601" s="28">
        <v>9.640390001E9</v>
      </c>
      <c r="E601" s="68"/>
      <c r="F601" s="34"/>
      <c r="G601" s="67"/>
      <c r="H601" s="9" t="s">
        <v>1513</v>
      </c>
      <c r="I601" s="10"/>
      <c r="J601" s="43"/>
      <c r="K601" s="63"/>
      <c r="L601" s="43"/>
    </row>
    <row r="602" ht="22.5" customHeight="1">
      <c r="A602" s="9">
        <v>1670.0</v>
      </c>
      <c r="B602" s="27" t="s">
        <v>1708</v>
      </c>
      <c r="D602" s="28">
        <v>9.866969671E9</v>
      </c>
      <c r="E602" s="68"/>
      <c r="F602" s="34"/>
      <c r="G602" s="67"/>
      <c r="H602" s="9" t="s">
        <v>1513</v>
      </c>
      <c r="I602" s="10"/>
      <c r="J602" s="43"/>
      <c r="K602" s="63"/>
      <c r="L602" s="43"/>
    </row>
    <row r="603" ht="22.5" customHeight="1">
      <c r="A603" s="9">
        <v>1671.0</v>
      </c>
      <c r="B603" s="27" t="s">
        <v>1709</v>
      </c>
      <c r="D603" s="28">
        <v>9.951236389E9</v>
      </c>
      <c r="E603" s="68"/>
      <c r="F603" s="34"/>
      <c r="G603" s="67"/>
      <c r="H603" s="9" t="s">
        <v>1513</v>
      </c>
      <c r="I603" s="10"/>
      <c r="J603" s="43"/>
      <c r="K603" s="63"/>
      <c r="L603" s="43"/>
    </row>
    <row r="604" ht="22.5" customHeight="1">
      <c r="A604" s="9">
        <v>1672.0</v>
      </c>
      <c r="B604" s="27" t="s">
        <v>1710</v>
      </c>
      <c r="D604" s="28">
        <v>9.848899012E9</v>
      </c>
      <c r="E604" s="68"/>
      <c r="F604" s="34"/>
      <c r="G604" s="67"/>
      <c r="H604" s="9" t="s">
        <v>1513</v>
      </c>
      <c r="I604" s="10"/>
      <c r="J604" s="43"/>
      <c r="K604" s="63"/>
      <c r="L604" s="43"/>
    </row>
    <row r="605" ht="22.5" customHeight="1">
      <c r="A605" s="9">
        <v>1673.0</v>
      </c>
      <c r="B605" s="27" t="s">
        <v>1711</v>
      </c>
      <c r="D605" s="28">
        <v>9.885134217E9</v>
      </c>
      <c r="E605" s="68"/>
      <c r="F605" s="34"/>
      <c r="G605" s="67"/>
      <c r="H605" s="9" t="s">
        <v>1513</v>
      </c>
      <c r="I605" s="10"/>
      <c r="J605" s="43"/>
      <c r="K605" s="63"/>
      <c r="L605" s="43"/>
    </row>
    <row r="606" ht="22.5" customHeight="1">
      <c r="A606" s="9">
        <v>1674.0</v>
      </c>
      <c r="B606" s="27" t="s">
        <v>1712</v>
      </c>
      <c r="D606" s="28">
        <v>7.416501707E9</v>
      </c>
      <c r="E606" s="68"/>
      <c r="F606" s="34"/>
      <c r="G606" s="67"/>
      <c r="H606" s="9" t="s">
        <v>1513</v>
      </c>
      <c r="I606" s="10"/>
      <c r="J606" s="43"/>
      <c r="K606" s="63"/>
      <c r="L606" s="43"/>
    </row>
    <row r="607" ht="22.5" customHeight="1">
      <c r="A607" s="9">
        <v>1675.0</v>
      </c>
      <c r="B607" s="27" t="s">
        <v>1713</v>
      </c>
      <c r="D607" s="28">
        <v>8.179910906E9</v>
      </c>
      <c r="E607" s="68"/>
      <c r="F607" s="34"/>
      <c r="G607" s="67"/>
      <c r="H607" s="9" t="s">
        <v>1513</v>
      </c>
      <c r="I607" s="10"/>
      <c r="J607" s="43"/>
      <c r="K607" s="63"/>
      <c r="L607" s="43"/>
    </row>
    <row r="608" ht="22.5" customHeight="1">
      <c r="A608" s="9">
        <v>1676.0</v>
      </c>
      <c r="B608" s="27" t="s">
        <v>1714</v>
      </c>
      <c r="D608" s="28">
        <v>9.948551602E9</v>
      </c>
      <c r="E608" s="68"/>
      <c r="F608" s="34"/>
      <c r="G608" s="67"/>
      <c r="H608" s="9" t="s">
        <v>1513</v>
      </c>
      <c r="I608" s="10"/>
      <c r="J608" s="43"/>
      <c r="K608" s="63"/>
      <c r="L608" s="43"/>
    </row>
    <row r="609" ht="22.5" customHeight="1">
      <c r="A609" s="9">
        <v>1677.0</v>
      </c>
      <c r="B609" s="27" t="s">
        <v>1715</v>
      </c>
      <c r="D609" s="28">
        <v>6.301240948E9</v>
      </c>
      <c r="E609" s="68"/>
      <c r="F609" s="34"/>
      <c r="G609" s="67"/>
      <c r="H609" s="9" t="s">
        <v>1513</v>
      </c>
      <c r="I609" s="10"/>
      <c r="J609" s="43"/>
      <c r="K609" s="63"/>
      <c r="L609" s="43"/>
    </row>
    <row r="610" ht="22.5" customHeight="1">
      <c r="A610" s="9">
        <v>1678.0</v>
      </c>
      <c r="B610" s="27" t="s">
        <v>1716</v>
      </c>
      <c r="D610" s="28">
        <v>7.095786945E9</v>
      </c>
      <c r="E610" s="68"/>
      <c r="F610" s="34"/>
      <c r="G610" s="67"/>
      <c r="H610" s="9" t="s">
        <v>1513</v>
      </c>
      <c r="I610" s="10"/>
      <c r="J610" s="43"/>
      <c r="K610" s="63"/>
      <c r="L610" s="43"/>
    </row>
    <row r="611" ht="22.5" customHeight="1">
      <c r="A611" s="9">
        <v>1679.0</v>
      </c>
      <c r="B611" s="27" t="s">
        <v>1717</v>
      </c>
      <c r="D611" s="28">
        <v>9.100254193E9</v>
      </c>
      <c r="E611" s="68"/>
      <c r="F611" s="34"/>
      <c r="G611" s="67"/>
      <c r="H611" s="9" t="s">
        <v>1513</v>
      </c>
      <c r="I611" s="10"/>
      <c r="J611" s="43"/>
      <c r="K611" s="63"/>
      <c r="L611" s="43"/>
    </row>
    <row r="612" ht="22.5" customHeight="1">
      <c r="A612" s="9">
        <v>1680.0</v>
      </c>
      <c r="B612" s="27" t="s">
        <v>1718</v>
      </c>
      <c r="D612" s="28">
        <v>6.300441485E9</v>
      </c>
      <c r="E612" s="68"/>
      <c r="F612" s="34"/>
      <c r="G612" s="67"/>
      <c r="H612" s="9" t="s">
        <v>1513</v>
      </c>
      <c r="I612" s="10"/>
      <c r="J612" s="43"/>
      <c r="K612" s="63"/>
      <c r="L612" s="43"/>
    </row>
    <row r="613" ht="22.5" customHeight="1">
      <c r="A613" s="9">
        <v>1681.0</v>
      </c>
      <c r="B613" s="27" t="s">
        <v>1719</v>
      </c>
      <c r="D613" s="28">
        <v>7.903528669E9</v>
      </c>
      <c r="E613" s="68"/>
      <c r="F613" s="34"/>
      <c r="G613" s="67"/>
      <c r="H613" s="9" t="s">
        <v>1513</v>
      </c>
      <c r="I613" s="10"/>
      <c r="J613" s="43"/>
      <c r="K613" s="63"/>
      <c r="L613" s="43"/>
    </row>
    <row r="614" ht="22.5" customHeight="1">
      <c r="A614" s="9">
        <v>1682.0</v>
      </c>
      <c r="B614" s="27" t="s">
        <v>1720</v>
      </c>
      <c r="D614" s="28">
        <v>7.995293699E9</v>
      </c>
      <c r="E614" s="68"/>
      <c r="F614" s="34"/>
      <c r="G614" s="67"/>
      <c r="H614" s="9" t="s">
        <v>1513</v>
      </c>
      <c r="I614" s="10"/>
      <c r="J614" s="43"/>
      <c r="K614" s="63"/>
      <c r="L614" s="43"/>
    </row>
    <row r="615" ht="22.5" customHeight="1">
      <c r="A615" s="9">
        <v>1683.0</v>
      </c>
      <c r="B615" s="27" t="s">
        <v>1721</v>
      </c>
      <c r="D615" s="28">
        <v>9.603039365E9</v>
      </c>
      <c r="E615" s="68"/>
      <c r="F615" s="34"/>
      <c r="G615" s="67"/>
      <c r="H615" s="9" t="s">
        <v>1513</v>
      </c>
      <c r="I615" s="10"/>
      <c r="J615" s="43"/>
      <c r="K615" s="63"/>
      <c r="L615" s="43"/>
    </row>
    <row r="616" ht="22.5" customHeight="1">
      <c r="A616" s="9">
        <v>1684.0</v>
      </c>
      <c r="B616" s="27" t="s">
        <v>1722</v>
      </c>
      <c r="D616" s="28">
        <v>9.03067E9</v>
      </c>
      <c r="E616" s="68"/>
      <c r="F616" s="34"/>
      <c r="G616" s="67"/>
      <c r="H616" s="9" t="s">
        <v>1513</v>
      </c>
      <c r="I616" s="10"/>
      <c r="J616" s="43"/>
      <c r="K616" s="63"/>
      <c r="L616" s="43"/>
    </row>
    <row r="617" ht="22.5" customHeight="1">
      <c r="A617" s="9">
        <v>1685.0</v>
      </c>
      <c r="B617" s="27" t="s">
        <v>1723</v>
      </c>
      <c r="D617" s="28">
        <v>6.305167384E9</v>
      </c>
      <c r="E617" s="68"/>
      <c r="F617" s="34"/>
      <c r="G617" s="67"/>
      <c r="H617" s="9" t="s">
        <v>1513</v>
      </c>
      <c r="I617" s="10"/>
      <c r="J617" s="43"/>
      <c r="K617" s="63"/>
      <c r="L617" s="43"/>
    </row>
    <row r="618" ht="22.5" customHeight="1">
      <c r="A618" s="9">
        <v>1686.0</v>
      </c>
      <c r="B618" s="27" t="s">
        <v>1724</v>
      </c>
      <c r="D618" s="28">
        <v>9.666882049E9</v>
      </c>
      <c r="E618" s="68"/>
      <c r="F618" s="34"/>
      <c r="G618" s="67"/>
      <c r="H618" s="9" t="s">
        <v>1513</v>
      </c>
      <c r="I618" s="10"/>
      <c r="J618" s="43"/>
      <c r="K618" s="63"/>
      <c r="L618" s="43"/>
    </row>
    <row r="619" ht="22.5" customHeight="1">
      <c r="A619" s="9">
        <v>1687.0</v>
      </c>
      <c r="B619" s="27" t="s">
        <v>1725</v>
      </c>
      <c r="D619" s="28">
        <v>8.897701108E9</v>
      </c>
      <c r="E619" s="68"/>
      <c r="F619" s="34"/>
      <c r="G619" s="67"/>
      <c r="H619" s="9" t="s">
        <v>1513</v>
      </c>
      <c r="I619" s="10"/>
      <c r="J619" s="43"/>
      <c r="K619" s="63"/>
      <c r="L619" s="43"/>
    </row>
    <row r="620" ht="22.5" customHeight="1">
      <c r="A620" s="9"/>
      <c r="B620" s="27" t="s">
        <v>1726</v>
      </c>
      <c r="C620" s="34"/>
      <c r="D620" s="28">
        <v>9.948968757E9</v>
      </c>
      <c r="E620" s="68"/>
      <c r="F620" s="34"/>
      <c r="G620" s="69" t="s">
        <v>1727</v>
      </c>
      <c r="H620" s="9" t="s">
        <v>1728</v>
      </c>
      <c r="I620" s="70" t="s">
        <v>1729</v>
      </c>
      <c r="J620" s="43"/>
      <c r="K620" s="63"/>
      <c r="L620" s="43"/>
    </row>
    <row r="621" ht="22.5" customHeight="1">
      <c r="A621" s="9"/>
      <c r="B621" s="27" t="s">
        <v>1730</v>
      </c>
      <c r="C621" s="34"/>
      <c r="D621" s="28">
        <v>8.019870182E9</v>
      </c>
      <c r="E621" s="68"/>
      <c r="F621" s="34"/>
      <c r="G621" s="69" t="s">
        <v>1727</v>
      </c>
      <c r="H621" s="9" t="s">
        <v>1728</v>
      </c>
      <c r="I621" s="70" t="s">
        <v>1731</v>
      </c>
      <c r="J621" s="43"/>
      <c r="K621" s="63"/>
      <c r="L621" s="43"/>
    </row>
    <row r="622" ht="22.5" customHeight="1">
      <c r="A622" s="9"/>
      <c r="B622" s="27" t="s">
        <v>1732</v>
      </c>
      <c r="C622" s="34"/>
      <c r="D622" s="28">
        <v>9.014721103E9</v>
      </c>
      <c r="E622" s="68"/>
      <c r="F622" s="34"/>
      <c r="G622" s="69" t="s">
        <v>1727</v>
      </c>
      <c r="H622" s="9" t="s">
        <v>1728</v>
      </c>
      <c r="I622" s="70" t="s">
        <v>1729</v>
      </c>
      <c r="J622" s="43"/>
      <c r="K622" s="63"/>
      <c r="L622" s="43"/>
    </row>
    <row r="623" ht="22.5" customHeight="1">
      <c r="A623" s="9"/>
      <c r="B623" s="27" t="s">
        <v>1733</v>
      </c>
      <c r="C623" s="34"/>
      <c r="D623" s="28">
        <v>8.639067583E9</v>
      </c>
      <c r="E623" s="68"/>
      <c r="F623" s="34"/>
      <c r="G623" s="69" t="s">
        <v>1727</v>
      </c>
      <c r="H623" s="9" t="s">
        <v>1728</v>
      </c>
      <c r="I623" s="70" t="s">
        <v>1729</v>
      </c>
      <c r="J623" s="43"/>
      <c r="K623" s="63"/>
      <c r="L623" s="43"/>
    </row>
    <row r="624" ht="22.5" customHeight="1">
      <c r="A624" s="9"/>
      <c r="B624" s="27" t="s">
        <v>1734</v>
      </c>
      <c r="C624" s="34"/>
      <c r="D624" s="28">
        <v>9.396868237E9</v>
      </c>
      <c r="E624" s="68"/>
      <c r="F624" s="34"/>
      <c r="G624" s="69" t="s">
        <v>1727</v>
      </c>
      <c r="H624" s="9" t="s">
        <v>1728</v>
      </c>
      <c r="I624" s="70" t="s">
        <v>1729</v>
      </c>
      <c r="J624" s="43"/>
      <c r="K624" s="63"/>
      <c r="L624" s="43"/>
    </row>
    <row r="625" ht="22.5" customHeight="1">
      <c r="A625" s="9"/>
      <c r="B625" s="27" t="s">
        <v>1735</v>
      </c>
      <c r="C625" s="34"/>
      <c r="D625" s="28">
        <v>8.019540687E9</v>
      </c>
      <c r="E625" s="68"/>
      <c r="F625" s="34"/>
      <c r="G625" s="69" t="s">
        <v>1727</v>
      </c>
      <c r="H625" s="9" t="s">
        <v>1728</v>
      </c>
      <c r="I625" s="70" t="s">
        <v>1731</v>
      </c>
      <c r="J625" s="43"/>
      <c r="K625" s="63"/>
      <c r="L625" s="43"/>
    </row>
    <row r="626" ht="22.5" customHeight="1">
      <c r="A626" s="9"/>
      <c r="B626" s="27" t="s">
        <v>1736</v>
      </c>
      <c r="C626" s="34"/>
      <c r="D626" s="28">
        <v>7.569492038E9</v>
      </c>
      <c r="E626" s="68"/>
      <c r="F626" s="34"/>
      <c r="G626" s="69" t="s">
        <v>1727</v>
      </c>
      <c r="H626" s="9" t="s">
        <v>1728</v>
      </c>
      <c r="I626" s="70" t="s">
        <v>1729</v>
      </c>
      <c r="J626" s="43"/>
      <c r="K626" s="63"/>
      <c r="L626" s="43"/>
    </row>
    <row r="627" ht="22.5" customHeight="1">
      <c r="A627" s="9"/>
      <c r="B627" s="27" t="s">
        <v>1737</v>
      </c>
      <c r="C627" s="34"/>
      <c r="D627" s="28">
        <v>9.542374419E9</v>
      </c>
      <c r="E627" s="68"/>
      <c r="F627" s="34"/>
      <c r="G627" s="69" t="s">
        <v>1727</v>
      </c>
      <c r="H627" s="9" t="s">
        <v>1728</v>
      </c>
      <c r="I627" s="70" t="s">
        <v>1729</v>
      </c>
      <c r="J627" s="43"/>
      <c r="K627" s="63"/>
      <c r="L627" s="43"/>
    </row>
    <row r="628" ht="22.5" customHeight="1">
      <c r="A628" s="9"/>
      <c r="B628" s="27" t="s">
        <v>1738</v>
      </c>
      <c r="C628" s="34"/>
      <c r="D628" s="28">
        <v>9.392547604E9</v>
      </c>
      <c r="E628" s="68"/>
      <c r="F628" s="34"/>
      <c r="G628" s="69" t="s">
        <v>1727</v>
      </c>
      <c r="H628" s="9" t="s">
        <v>1728</v>
      </c>
      <c r="I628" s="70" t="s">
        <v>1729</v>
      </c>
      <c r="J628" s="43"/>
      <c r="K628" s="63"/>
      <c r="L628" s="43"/>
    </row>
    <row r="629" ht="22.5" customHeight="1">
      <c r="A629" s="9"/>
      <c r="B629" s="27" t="s">
        <v>1739</v>
      </c>
      <c r="C629" s="34"/>
      <c r="D629" s="28">
        <v>9.038071598E9</v>
      </c>
      <c r="E629" s="68"/>
      <c r="F629" s="34"/>
      <c r="G629" s="69" t="s">
        <v>1727</v>
      </c>
      <c r="H629" s="9" t="s">
        <v>1728</v>
      </c>
      <c r="I629" s="70" t="s">
        <v>1731</v>
      </c>
      <c r="J629" s="43"/>
      <c r="K629" s="63"/>
      <c r="L629" s="43"/>
    </row>
    <row r="630" ht="22.5" customHeight="1">
      <c r="A630" s="9"/>
      <c r="B630" s="27" t="s">
        <v>1740</v>
      </c>
      <c r="C630" s="34"/>
      <c r="D630" s="28">
        <v>9.059182264E9</v>
      </c>
      <c r="E630" s="68"/>
      <c r="F630" s="34"/>
      <c r="G630" s="69" t="s">
        <v>1727</v>
      </c>
      <c r="H630" s="9" t="s">
        <v>1728</v>
      </c>
      <c r="I630" s="70" t="s">
        <v>1731</v>
      </c>
      <c r="J630" s="43"/>
      <c r="K630" s="63"/>
      <c r="L630" s="43"/>
    </row>
    <row r="631" ht="22.5" customHeight="1">
      <c r="A631" s="9"/>
      <c r="B631" s="27" t="s">
        <v>1741</v>
      </c>
      <c r="C631" s="34"/>
      <c r="D631" s="28">
        <v>9.440220643E9</v>
      </c>
      <c r="E631" s="68"/>
      <c r="F631" s="34"/>
      <c r="G631" s="69" t="s">
        <v>1727</v>
      </c>
      <c r="H631" s="9" t="s">
        <v>1728</v>
      </c>
      <c r="I631" s="70" t="s">
        <v>1729</v>
      </c>
      <c r="J631" s="43"/>
      <c r="K631" s="63"/>
      <c r="L631" s="43"/>
    </row>
    <row r="632" ht="22.5" customHeight="1">
      <c r="A632" s="9"/>
      <c r="B632" s="27" t="s">
        <v>1742</v>
      </c>
      <c r="C632" s="34"/>
      <c r="D632" s="28">
        <v>9.391033332E9</v>
      </c>
      <c r="E632" s="68"/>
      <c r="F632" s="34"/>
      <c r="G632" s="69" t="s">
        <v>1727</v>
      </c>
      <c r="H632" s="9" t="s">
        <v>1728</v>
      </c>
      <c r="I632" s="70" t="s">
        <v>1731</v>
      </c>
      <c r="J632" s="43"/>
      <c r="K632" s="63"/>
      <c r="L632" s="43"/>
    </row>
    <row r="633" ht="22.5" customHeight="1">
      <c r="A633" s="9"/>
      <c r="B633" s="27" t="s">
        <v>1743</v>
      </c>
      <c r="C633" s="34"/>
      <c r="D633" s="28">
        <v>9.550598011E9</v>
      </c>
      <c r="E633" s="68"/>
      <c r="F633" s="34"/>
      <c r="G633" s="69" t="s">
        <v>1727</v>
      </c>
      <c r="H633" s="9" t="s">
        <v>1728</v>
      </c>
      <c r="I633" s="70" t="s">
        <v>1729</v>
      </c>
      <c r="J633" s="43"/>
      <c r="K633" s="63"/>
      <c r="L633" s="43"/>
    </row>
    <row r="634" ht="22.5" customHeight="1">
      <c r="A634" s="9"/>
      <c r="B634" s="27" t="s">
        <v>1744</v>
      </c>
      <c r="C634" s="34"/>
      <c r="D634" s="28">
        <v>9.299101107E9</v>
      </c>
      <c r="E634" s="68"/>
      <c r="F634" s="34"/>
      <c r="G634" s="69" t="s">
        <v>1727</v>
      </c>
      <c r="H634" s="9" t="s">
        <v>1728</v>
      </c>
      <c r="I634" s="70" t="s">
        <v>1731</v>
      </c>
      <c r="J634" s="43"/>
      <c r="K634" s="63"/>
      <c r="L634" s="43"/>
    </row>
    <row r="635" ht="22.5" customHeight="1">
      <c r="A635" s="9"/>
      <c r="B635" s="27" t="s">
        <v>1745</v>
      </c>
      <c r="C635" s="34"/>
      <c r="D635" s="28">
        <v>7.044918665E9</v>
      </c>
      <c r="E635" s="68"/>
      <c r="F635" s="34"/>
      <c r="G635" s="69" t="s">
        <v>1727</v>
      </c>
      <c r="H635" s="9" t="s">
        <v>1728</v>
      </c>
      <c r="I635" s="70" t="s">
        <v>1729</v>
      </c>
      <c r="J635" s="43"/>
      <c r="K635" s="63"/>
      <c r="L635" s="43"/>
    </row>
    <row r="636" ht="22.5" customHeight="1">
      <c r="A636" s="9"/>
      <c r="B636" s="27" t="s">
        <v>1746</v>
      </c>
      <c r="C636" s="34"/>
      <c r="D636" s="28">
        <v>8.1219809E9</v>
      </c>
      <c r="E636" s="68"/>
      <c r="F636" s="34"/>
      <c r="G636" s="69" t="s">
        <v>1727</v>
      </c>
      <c r="H636" s="9" t="s">
        <v>1728</v>
      </c>
      <c r="I636" s="70" t="s">
        <v>1729</v>
      </c>
      <c r="J636" s="43"/>
      <c r="K636" s="63"/>
      <c r="L636" s="43"/>
    </row>
    <row r="637" ht="22.5" customHeight="1">
      <c r="A637" s="9"/>
      <c r="B637" s="27" t="s">
        <v>1747</v>
      </c>
      <c r="C637" s="34"/>
      <c r="D637" s="28">
        <v>6.30934101E9</v>
      </c>
      <c r="E637" s="68"/>
      <c r="F637" s="34"/>
      <c r="G637" s="69" t="s">
        <v>1727</v>
      </c>
      <c r="H637" s="9" t="s">
        <v>1728</v>
      </c>
      <c r="I637" s="70" t="s">
        <v>1729</v>
      </c>
      <c r="J637" s="43"/>
      <c r="K637" s="63"/>
      <c r="L637" s="43"/>
    </row>
    <row r="638" ht="22.5" customHeight="1">
      <c r="A638" s="9"/>
      <c r="B638" s="27" t="s">
        <v>1748</v>
      </c>
      <c r="C638" s="34"/>
      <c r="D638" s="28">
        <v>9.703742567E9</v>
      </c>
      <c r="E638" s="68"/>
      <c r="F638" s="34"/>
      <c r="G638" s="69" t="s">
        <v>1727</v>
      </c>
      <c r="H638" s="9" t="s">
        <v>1728</v>
      </c>
      <c r="I638" s="70" t="s">
        <v>1729</v>
      </c>
      <c r="J638" s="43"/>
      <c r="K638" s="63"/>
      <c r="L638" s="43"/>
    </row>
    <row r="639" ht="22.5" customHeight="1">
      <c r="A639" s="9"/>
      <c r="B639" s="27" t="s">
        <v>1749</v>
      </c>
      <c r="C639" s="34"/>
      <c r="D639" s="28">
        <v>6.302272041E9</v>
      </c>
      <c r="E639" s="68"/>
      <c r="F639" s="34"/>
      <c r="G639" s="69" t="s">
        <v>1727</v>
      </c>
      <c r="H639" s="9" t="s">
        <v>1728</v>
      </c>
      <c r="I639" s="70" t="s">
        <v>1729</v>
      </c>
      <c r="J639" s="43"/>
      <c r="K639" s="63"/>
      <c r="L639" s="43"/>
    </row>
    <row r="640" ht="22.5" customHeight="1">
      <c r="A640" s="9"/>
      <c r="B640" s="27" t="s">
        <v>1750</v>
      </c>
      <c r="C640" s="34"/>
      <c r="D640" s="28">
        <v>7.032346751E9</v>
      </c>
      <c r="E640" s="68"/>
      <c r="F640" s="34"/>
      <c r="G640" s="69" t="s">
        <v>1727</v>
      </c>
      <c r="H640" s="9" t="s">
        <v>1728</v>
      </c>
      <c r="I640" s="70" t="s">
        <v>1731</v>
      </c>
      <c r="J640" s="43"/>
      <c r="K640" s="63"/>
      <c r="L640" s="43"/>
    </row>
    <row r="641" ht="22.5" customHeight="1">
      <c r="A641" s="9"/>
      <c r="B641" s="27" t="s">
        <v>1751</v>
      </c>
      <c r="C641" s="34"/>
      <c r="D641" s="28">
        <v>9.966170355E9</v>
      </c>
      <c r="E641" s="68"/>
      <c r="F641" s="34"/>
      <c r="G641" s="69" t="s">
        <v>1727</v>
      </c>
      <c r="H641" s="9" t="s">
        <v>1728</v>
      </c>
      <c r="I641" s="70" t="s">
        <v>1729</v>
      </c>
      <c r="J641" s="43"/>
      <c r="K641" s="63"/>
      <c r="L641" s="43"/>
    </row>
    <row r="642" ht="22.5" customHeight="1">
      <c r="A642" s="9"/>
      <c r="B642" s="27" t="s">
        <v>1752</v>
      </c>
      <c r="C642" s="34"/>
      <c r="D642" s="28">
        <v>7.989790666E9</v>
      </c>
      <c r="E642" s="68"/>
      <c r="F642" s="34"/>
      <c r="G642" s="69" t="s">
        <v>1727</v>
      </c>
      <c r="H642" s="9" t="s">
        <v>1728</v>
      </c>
      <c r="I642" s="70" t="s">
        <v>1729</v>
      </c>
      <c r="J642" s="43"/>
      <c r="K642" s="63"/>
      <c r="L642" s="43"/>
    </row>
    <row r="643" ht="22.5" customHeight="1">
      <c r="A643" s="9"/>
      <c r="B643" s="27" t="s">
        <v>1753</v>
      </c>
      <c r="C643" s="34"/>
      <c r="D643" s="28">
        <v>9.133375845E9</v>
      </c>
      <c r="E643" s="68"/>
      <c r="F643" s="34"/>
      <c r="G643" s="69" t="s">
        <v>1727</v>
      </c>
      <c r="H643" s="9" t="s">
        <v>1728</v>
      </c>
      <c r="I643" s="70" t="s">
        <v>1729</v>
      </c>
      <c r="J643" s="43"/>
      <c r="K643" s="63"/>
      <c r="L643" s="43"/>
    </row>
    <row r="644" ht="22.5" customHeight="1">
      <c r="A644" s="9"/>
      <c r="B644" s="27" t="s">
        <v>1754</v>
      </c>
      <c r="C644" s="34"/>
      <c r="D644" s="28">
        <v>9.849097701E9</v>
      </c>
      <c r="E644" s="68"/>
      <c r="F644" s="34"/>
      <c r="G644" s="69" t="s">
        <v>1727</v>
      </c>
      <c r="H644" s="9" t="s">
        <v>1728</v>
      </c>
      <c r="I644" s="70" t="s">
        <v>1729</v>
      </c>
      <c r="J644" s="43"/>
      <c r="K644" s="63"/>
      <c r="L644" s="43"/>
    </row>
    <row r="645" ht="22.5" customHeight="1">
      <c r="A645" s="9"/>
      <c r="B645" s="27" t="s">
        <v>1755</v>
      </c>
      <c r="C645" s="34"/>
      <c r="D645" s="28">
        <v>9.704574845E9</v>
      </c>
      <c r="E645" s="68"/>
      <c r="F645" s="34"/>
      <c r="G645" s="69" t="s">
        <v>1727</v>
      </c>
      <c r="H645" s="9" t="s">
        <v>1728</v>
      </c>
      <c r="I645" s="70" t="s">
        <v>1729</v>
      </c>
      <c r="J645" s="43"/>
      <c r="K645" s="63"/>
      <c r="L645" s="43"/>
    </row>
    <row r="646" ht="22.5" customHeight="1">
      <c r="A646" s="9"/>
      <c r="B646" s="27" t="s">
        <v>1756</v>
      </c>
      <c r="C646" s="34"/>
      <c r="D646" s="28">
        <v>9.948424042E9</v>
      </c>
      <c r="E646" s="68"/>
      <c r="F646" s="34"/>
      <c r="G646" s="69" t="s">
        <v>1727</v>
      </c>
      <c r="H646" s="9" t="s">
        <v>1728</v>
      </c>
      <c r="I646" s="70" t="s">
        <v>1729</v>
      </c>
      <c r="J646" s="43"/>
      <c r="K646" s="63"/>
      <c r="L646" s="43"/>
    </row>
    <row r="647" ht="22.5" customHeight="1">
      <c r="A647" s="9"/>
      <c r="B647" s="27" t="s">
        <v>1757</v>
      </c>
      <c r="C647" s="34"/>
      <c r="D647" s="28">
        <v>8.790193928E9</v>
      </c>
      <c r="E647" s="68"/>
      <c r="F647" s="34"/>
      <c r="G647" s="69" t="s">
        <v>1727</v>
      </c>
      <c r="H647" s="9" t="s">
        <v>1728</v>
      </c>
      <c r="I647" s="70" t="s">
        <v>1729</v>
      </c>
      <c r="J647" s="43"/>
      <c r="K647" s="63"/>
      <c r="L647" s="43"/>
    </row>
    <row r="648" ht="22.5" customHeight="1">
      <c r="A648" s="9"/>
      <c r="B648" s="27" t="s">
        <v>1758</v>
      </c>
      <c r="C648" s="34"/>
      <c r="D648" s="28">
        <v>9.849342108E9</v>
      </c>
      <c r="E648" s="68"/>
      <c r="F648" s="34"/>
      <c r="G648" s="69" t="s">
        <v>1727</v>
      </c>
      <c r="H648" s="9" t="s">
        <v>1728</v>
      </c>
      <c r="I648" s="70" t="s">
        <v>1729</v>
      </c>
      <c r="J648" s="43"/>
      <c r="K648" s="63"/>
      <c r="L648" s="43"/>
    </row>
    <row r="649" ht="22.5" customHeight="1">
      <c r="A649" s="9"/>
      <c r="B649" s="27" t="s">
        <v>1759</v>
      </c>
      <c r="C649" s="34"/>
      <c r="D649" s="28">
        <v>8.498823241E9</v>
      </c>
      <c r="E649" s="68"/>
      <c r="F649" s="34"/>
      <c r="G649" s="69" t="s">
        <v>1727</v>
      </c>
      <c r="H649" s="9" t="s">
        <v>1728</v>
      </c>
      <c r="I649" s="70" t="s">
        <v>1731</v>
      </c>
      <c r="J649" s="43"/>
      <c r="K649" s="63"/>
      <c r="L649" s="43"/>
    </row>
    <row r="650" ht="22.5" customHeight="1">
      <c r="A650" s="9"/>
      <c r="B650" s="27" t="s">
        <v>1760</v>
      </c>
      <c r="C650" s="34"/>
      <c r="D650" s="28">
        <v>9.392221722E9</v>
      </c>
      <c r="E650" s="68"/>
      <c r="F650" s="34"/>
      <c r="G650" s="69" t="s">
        <v>1727</v>
      </c>
      <c r="H650" s="9" t="s">
        <v>1728</v>
      </c>
      <c r="I650" s="70" t="s">
        <v>1729</v>
      </c>
      <c r="J650" s="43"/>
      <c r="K650" s="63"/>
      <c r="L650" s="43"/>
    </row>
    <row r="651" ht="22.5" customHeight="1">
      <c r="A651" s="9"/>
      <c r="B651" s="27" t="s">
        <v>1761</v>
      </c>
      <c r="C651" s="34"/>
      <c r="D651" s="28">
        <v>9.885706546E9</v>
      </c>
      <c r="E651" s="68"/>
      <c r="F651" s="34"/>
      <c r="G651" s="69" t="s">
        <v>1727</v>
      </c>
      <c r="H651" s="9" t="s">
        <v>1728</v>
      </c>
      <c r="I651" s="70" t="s">
        <v>1729</v>
      </c>
      <c r="J651" s="43"/>
      <c r="K651" s="63"/>
      <c r="L651" s="43"/>
    </row>
    <row r="652" ht="22.5" customHeight="1">
      <c r="A652" s="9"/>
      <c r="B652" s="27" t="s">
        <v>1762</v>
      </c>
      <c r="C652" s="34"/>
      <c r="D652" s="28">
        <v>8.499899755E9</v>
      </c>
      <c r="E652" s="68"/>
      <c r="F652" s="34"/>
      <c r="G652" s="69" t="s">
        <v>1727</v>
      </c>
      <c r="H652" s="9" t="s">
        <v>1728</v>
      </c>
      <c r="I652" s="70" t="s">
        <v>1729</v>
      </c>
      <c r="J652" s="43"/>
      <c r="K652" s="63"/>
      <c r="L652" s="43"/>
    </row>
    <row r="653" ht="22.5" customHeight="1">
      <c r="A653" s="9"/>
      <c r="B653" s="27" t="s">
        <v>1763</v>
      </c>
      <c r="C653" s="34"/>
      <c r="D653" s="28">
        <v>9.618997751E9</v>
      </c>
      <c r="E653" s="68"/>
      <c r="F653" s="34"/>
      <c r="G653" s="69" t="s">
        <v>1727</v>
      </c>
      <c r="H653" s="9" t="s">
        <v>1728</v>
      </c>
      <c r="I653" s="70" t="s">
        <v>1729</v>
      </c>
      <c r="J653" s="43"/>
      <c r="K653" s="63"/>
      <c r="L653" s="43"/>
    </row>
    <row r="654" ht="22.5" customHeight="1">
      <c r="A654" s="9"/>
      <c r="B654" s="27" t="s">
        <v>1764</v>
      </c>
      <c r="C654" s="34"/>
      <c r="D654" s="28">
        <v>9.95105742E9</v>
      </c>
      <c r="E654" s="68"/>
      <c r="F654" s="34"/>
      <c r="G654" s="69" t="s">
        <v>1727</v>
      </c>
      <c r="H654" s="9" t="s">
        <v>1728</v>
      </c>
      <c r="I654" s="70" t="s">
        <v>1731</v>
      </c>
      <c r="J654" s="43"/>
      <c r="K654" s="63"/>
      <c r="L654" s="43"/>
    </row>
    <row r="655" ht="22.5" customHeight="1">
      <c r="A655" s="9"/>
      <c r="B655" s="27" t="s">
        <v>1765</v>
      </c>
      <c r="C655" s="34"/>
      <c r="D655" s="28">
        <v>7.660858858E9</v>
      </c>
      <c r="E655" s="68"/>
      <c r="F655" s="34"/>
      <c r="G655" s="69" t="s">
        <v>1727</v>
      </c>
      <c r="H655" s="9" t="s">
        <v>1728</v>
      </c>
      <c r="I655" s="70" t="s">
        <v>1729</v>
      </c>
      <c r="J655" s="43"/>
      <c r="K655" s="63"/>
      <c r="L655" s="43"/>
    </row>
    <row r="656" ht="22.5" customHeight="1">
      <c r="A656" s="9"/>
      <c r="B656" s="27" t="s">
        <v>1766</v>
      </c>
      <c r="C656" s="34"/>
      <c r="D656" s="28">
        <v>8.466878196E9</v>
      </c>
      <c r="E656" s="68"/>
      <c r="F656" s="34"/>
      <c r="G656" s="69" t="s">
        <v>1727</v>
      </c>
      <c r="H656" s="9" t="s">
        <v>1728</v>
      </c>
      <c r="I656" s="70" t="s">
        <v>1731</v>
      </c>
      <c r="J656" s="43"/>
      <c r="K656" s="63"/>
      <c r="L656" s="43"/>
    </row>
    <row r="657" ht="22.5" customHeight="1">
      <c r="A657" s="9"/>
      <c r="B657" s="27" t="s">
        <v>1767</v>
      </c>
      <c r="C657" s="34"/>
      <c r="D657" s="28">
        <v>7.989417019E9</v>
      </c>
      <c r="E657" s="68"/>
      <c r="F657" s="34"/>
      <c r="G657" s="69" t="s">
        <v>1727</v>
      </c>
      <c r="H657" s="9" t="s">
        <v>1728</v>
      </c>
      <c r="I657" s="70" t="s">
        <v>1729</v>
      </c>
      <c r="J657" s="43"/>
      <c r="K657" s="63"/>
      <c r="L657" s="43"/>
    </row>
    <row r="658" ht="22.5" customHeight="1">
      <c r="A658" s="9"/>
      <c r="B658" s="27" t="s">
        <v>1768</v>
      </c>
      <c r="C658" s="34"/>
      <c r="D658" s="28">
        <v>8.341334329E9</v>
      </c>
      <c r="E658" s="68"/>
      <c r="F658" s="34"/>
      <c r="G658" s="69" t="s">
        <v>1727</v>
      </c>
      <c r="H658" s="9" t="s">
        <v>1728</v>
      </c>
      <c r="I658" s="70" t="s">
        <v>1731</v>
      </c>
      <c r="J658" s="43"/>
      <c r="K658" s="63"/>
      <c r="L658" s="43"/>
    </row>
    <row r="659" ht="22.5" customHeight="1">
      <c r="A659" s="9"/>
      <c r="B659" s="27" t="s">
        <v>1769</v>
      </c>
      <c r="C659" s="34"/>
      <c r="D659" s="28">
        <v>9.966411038E9</v>
      </c>
      <c r="E659" s="68"/>
      <c r="F659" s="34"/>
      <c r="G659" s="69" t="s">
        <v>1727</v>
      </c>
      <c r="H659" s="9" t="s">
        <v>1728</v>
      </c>
      <c r="I659" s="70" t="s">
        <v>1729</v>
      </c>
      <c r="J659" s="43"/>
      <c r="K659" s="63"/>
      <c r="L659" s="43"/>
    </row>
    <row r="660" ht="22.5" customHeight="1">
      <c r="A660" s="9"/>
      <c r="B660" s="27" t="s">
        <v>1770</v>
      </c>
      <c r="C660" s="34"/>
      <c r="D660" s="28">
        <v>6.301455685E9</v>
      </c>
      <c r="E660" s="68"/>
      <c r="F660" s="34"/>
      <c r="G660" s="69" t="s">
        <v>1727</v>
      </c>
      <c r="H660" s="9" t="s">
        <v>1728</v>
      </c>
      <c r="I660" s="70" t="s">
        <v>1731</v>
      </c>
      <c r="J660" s="43"/>
      <c r="K660" s="63"/>
      <c r="L660" s="43"/>
    </row>
    <row r="661" ht="22.5" customHeight="1">
      <c r="A661" s="9"/>
      <c r="B661" s="27" t="s">
        <v>1771</v>
      </c>
      <c r="C661" s="34"/>
      <c r="D661" s="28">
        <v>9.650736322E9</v>
      </c>
      <c r="E661" s="68"/>
      <c r="F661" s="34"/>
      <c r="G661" s="69" t="s">
        <v>1727</v>
      </c>
      <c r="H661" s="9" t="s">
        <v>1728</v>
      </c>
      <c r="I661" s="70" t="s">
        <v>1729</v>
      </c>
      <c r="J661" s="43"/>
      <c r="K661" s="63"/>
      <c r="L661" s="43"/>
    </row>
    <row r="662" ht="22.5" customHeight="1">
      <c r="A662" s="9"/>
      <c r="B662" s="27" t="s">
        <v>1772</v>
      </c>
      <c r="C662" s="34"/>
      <c r="D662" s="28">
        <v>9.290465815E9</v>
      </c>
      <c r="E662" s="68"/>
      <c r="F662" s="34"/>
      <c r="G662" s="69" t="s">
        <v>1727</v>
      </c>
      <c r="H662" s="9" t="s">
        <v>1728</v>
      </c>
      <c r="I662" s="70" t="s">
        <v>1731</v>
      </c>
      <c r="J662" s="43"/>
      <c r="K662" s="63"/>
      <c r="L662" s="43"/>
    </row>
    <row r="663" ht="22.5" customHeight="1">
      <c r="A663" s="9"/>
      <c r="B663" s="27" t="s">
        <v>1773</v>
      </c>
      <c r="C663" s="34"/>
      <c r="D663" s="28">
        <v>6.305399423E9</v>
      </c>
      <c r="E663" s="68"/>
      <c r="F663" s="34"/>
      <c r="G663" s="69" t="s">
        <v>1727</v>
      </c>
      <c r="H663" s="9" t="s">
        <v>1728</v>
      </c>
      <c r="I663" s="70" t="s">
        <v>1729</v>
      </c>
      <c r="J663" s="43"/>
      <c r="K663" s="63"/>
      <c r="L663" s="43"/>
    </row>
    <row r="664" ht="22.5" customHeight="1">
      <c r="A664" s="9"/>
      <c r="B664" s="27" t="s">
        <v>1774</v>
      </c>
      <c r="C664" s="34"/>
      <c r="D664" s="28">
        <v>8.019848275E9</v>
      </c>
      <c r="E664" s="68"/>
      <c r="F664" s="34"/>
      <c r="G664" s="69" t="s">
        <v>1727</v>
      </c>
      <c r="H664" s="9" t="s">
        <v>1728</v>
      </c>
      <c r="I664" s="70" t="s">
        <v>1731</v>
      </c>
      <c r="J664" s="43"/>
      <c r="K664" s="63"/>
      <c r="L664" s="43"/>
    </row>
    <row r="665" ht="22.5" customHeight="1">
      <c r="A665" s="9"/>
      <c r="B665" s="27" t="s">
        <v>1775</v>
      </c>
      <c r="C665" s="34"/>
      <c r="D665" s="28">
        <v>9.676521754E9</v>
      </c>
      <c r="E665" s="68"/>
      <c r="F665" s="34"/>
      <c r="G665" s="69" t="s">
        <v>1727</v>
      </c>
      <c r="H665" s="9" t="s">
        <v>1728</v>
      </c>
      <c r="I665" s="70" t="s">
        <v>1729</v>
      </c>
      <c r="J665" s="43"/>
      <c r="K665" s="63"/>
      <c r="L665" s="43"/>
    </row>
    <row r="666" ht="22.5" customHeight="1">
      <c r="A666" s="9"/>
      <c r="B666" s="27" t="s">
        <v>1776</v>
      </c>
      <c r="C666" s="34"/>
      <c r="D666" s="28">
        <v>9.908371699E9</v>
      </c>
      <c r="E666" s="68"/>
      <c r="F666" s="34"/>
      <c r="G666" s="69" t="s">
        <v>1727</v>
      </c>
      <c r="H666" s="9" t="s">
        <v>1728</v>
      </c>
      <c r="I666" s="70" t="s">
        <v>1729</v>
      </c>
      <c r="J666" s="43"/>
      <c r="K666" s="63"/>
      <c r="L666" s="43"/>
    </row>
    <row r="667" ht="22.5" customHeight="1">
      <c r="A667" s="9"/>
      <c r="B667" s="27" t="s">
        <v>1777</v>
      </c>
      <c r="C667" s="34"/>
      <c r="D667" s="28">
        <v>9.381369558E9</v>
      </c>
      <c r="E667" s="68"/>
      <c r="F667" s="34"/>
      <c r="G667" s="69" t="s">
        <v>1727</v>
      </c>
      <c r="H667" s="9" t="s">
        <v>1728</v>
      </c>
      <c r="I667" s="70" t="s">
        <v>1729</v>
      </c>
      <c r="J667" s="43"/>
      <c r="K667" s="63"/>
      <c r="L667" s="43"/>
    </row>
    <row r="668" ht="22.5" customHeight="1">
      <c r="A668" s="9"/>
      <c r="B668" s="27" t="s">
        <v>1778</v>
      </c>
      <c r="C668" s="34"/>
      <c r="D668" s="28">
        <v>7.981178096E9</v>
      </c>
      <c r="E668" s="68"/>
      <c r="F668" s="34"/>
      <c r="G668" s="69" t="s">
        <v>1727</v>
      </c>
      <c r="H668" s="9" t="s">
        <v>1728</v>
      </c>
      <c r="I668" s="70" t="s">
        <v>1731</v>
      </c>
      <c r="J668" s="43"/>
      <c r="K668" s="63"/>
      <c r="L668" s="43"/>
    </row>
    <row r="669" ht="22.5" customHeight="1">
      <c r="A669" s="9"/>
      <c r="B669" s="27" t="s">
        <v>1779</v>
      </c>
      <c r="C669" s="34"/>
      <c r="D669" s="28">
        <v>8.919585875E9</v>
      </c>
      <c r="E669" s="68"/>
      <c r="F669" s="34"/>
      <c r="G669" s="69" t="s">
        <v>1727</v>
      </c>
      <c r="H669" s="9" t="s">
        <v>1728</v>
      </c>
      <c r="I669" s="70" t="s">
        <v>1729</v>
      </c>
      <c r="J669" s="43"/>
      <c r="K669" s="63"/>
      <c r="L669" s="43"/>
    </row>
    <row r="670" ht="22.5" customHeight="1">
      <c r="A670" s="9"/>
      <c r="B670" s="27" t="s">
        <v>1780</v>
      </c>
      <c r="C670" s="34"/>
      <c r="D670" s="28">
        <v>8.125987166E9</v>
      </c>
      <c r="E670" s="68"/>
      <c r="F670" s="34"/>
      <c r="G670" s="69" t="s">
        <v>1727</v>
      </c>
      <c r="H670" s="9" t="s">
        <v>1728</v>
      </c>
      <c r="I670" s="70" t="s">
        <v>1729</v>
      </c>
      <c r="J670" s="43"/>
      <c r="K670" s="63"/>
      <c r="L670" s="43"/>
    </row>
    <row r="671" ht="22.5" customHeight="1">
      <c r="A671" s="9"/>
      <c r="B671" s="27" t="s">
        <v>1781</v>
      </c>
      <c r="C671" s="34"/>
      <c r="D671" s="28">
        <v>9.541351974E9</v>
      </c>
      <c r="E671" s="68"/>
      <c r="F671" s="34"/>
      <c r="G671" s="69" t="s">
        <v>1727</v>
      </c>
      <c r="H671" s="9" t="s">
        <v>1728</v>
      </c>
      <c r="I671" s="70" t="s">
        <v>1729</v>
      </c>
      <c r="J671" s="43"/>
      <c r="K671" s="63"/>
      <c r="L671" s="43"/>
    </row>
    <row r="672" ht="22.5" customHeight="1">
      <c r="A672" s="9"/>
      <c r="B672" s="27" t="s">
        <v>1782</v>
      </c>
      <c r="C672" s="34"/>
      <c r="D672" s="28">
        <v>9.682145641E9</v>
      </c>
      <c r="E672" s="68"/>
      <c r="F672" s="34"/>
      <c r="G672" s="69" t="s">
        <v>1727</v>
      </c>
      <c r="H672" s="9" t="s">
        <v>1728</v>
      </c>
      <c r="I672" s="70" t="s">
        <v>1729</v>
      </c>
      <c r="J672" s="43"/>
      <c r="K672" s="63"/>
      <c r="L672" s="43"/>
    </row>
    <row r="673" ht="22.5" customHeight="1">
      <c r="A673" s="9"/>
      <c r="B673" s="27" t="s">
        <v>1783</v>
      </c>
      <c r="C673" s="34"/>
      <c r="D673" s="28">
        <v>9.666240846E9</v>
      </c>
      <c r="E673" s="68"/>
      <c r="F673" s="34"/>
      <c r="G673" s="69" t="s">
        <v>1727</v>
      </c>
      <c r="H673" s="9" t="s">
        <v>1728</v>
      </c>
      <c r="I673" s="70" t="s">
        <v>1729</v>
      </c>
      <c r="J673" s="43"/>
      <c r="K673" s="63"/>
      <c r="L673" s="43"/>
    </row>
    <row r="674" ht="22.5" customHeight="1">
      <c r="A674" s="9"/>
      <c r="B674" s="27" t="s">
        <v>1784</v>
      </c>
      <c r="C674" s="34"/>
      <c r="D674" s="28">
        <v>7.075279985E9</v>
      </c>
      <c r="E674" s="68"/>
      <c r="F674" s="34"/>
      <c r="G674" s="69" t="s">
        <v>1727</v>
      </c>
      <c r="H674" s="9" t="s">
        <v>1728</v>
      </c>
      <c r="I674" s="70" t="s">
        <v>1729</v>
      </c>
      <c r="J674" s="43"/>
      <c r="K674" s="63"/>
      <c r="L674" s="43"/>
    </row>
    <row r="675" ht="22.5" customHeight="1">
      <c r="A675" s="9"/>
      <c r="B675" s="27" t="s">
        <v>1785</v>
      </c>
      <c r="C675" s="34"/>
      <c r="D675" s="28">
        <v>9.949257E9</v>
      </c>
      <c r="E675" s="68"/>
      <c r="F675" s="34"/>
      <c r="G675" s="69" t="s">
        <v>1727</v>
      </c>
      <c r="H675" s="9" t="s">
        <v>1728</v>
      </c>
      <c r="I675" s="70" t="s">
        <v>1729</v>
      </c>
      <c r="J675" s="43"/>
      <c r="K675" s="63"/>
      <c r="L675" s="43"/>
    </row>
    <row r="676" ht="22.5" customHeight="1">
      <c r="A676" s="9"/>
      <c r="B676" s="27" t="s">
        <v>1786</v>
      </c>
      <c r="C676" s="34"/>
      <c r="D676" s="28">
        <v>8.639020491E9</v>
      </c>
      <c r="E676" s="68"/>
      <c r="F676" s="34"/>
      <c r="G676" s="69" t="s">
        <v>1727</v>
      </c>
      <c r="H676" s="9" t="s">
        <v>1728</v>
      </c>
      <c r="I676" s="70" t="s">
        <v>1729</v>
      </c>
      <c r="J676" s="43"/>
      <c r="K676" s="63"/>
      <c r="L676" s="43"/>
    </row>
    <row r="677" ht="22.5" customHeight="1">
      <c r="A677" s="9"/>
      <c r="B677" s="27" t="s">
        <v>1787</v>
      </c>
      <c r="C677" s="34"/>
      <c r="D677" s="28">
        <v>9.84933781E9</v>
      </c>
      <c r="E677" s="68"/>
      <c r="F677" s="34"/>
      <c r="G677" s="69" t="s">
        <v>1727</v>
      </c>
      <c r="H677" s="9" t="s">
        <v>1728</v>
      </c>
      <c r="I677" s="70" t="s">
        <v>1731</v>
      </c>
      <c r="J677" s="43"/>
      <c r="K677" s="63"/>
      <c r="L677" s="43"/>
    </row>
    <row r="678" ht="22.5" customHeight="1">
      <c r="A678" s="9"/>
      <c r="B678" s="27" t="s">
        <v>1788</v>
      </c>
      <c r="C678" s="34"/>
      <c r="D678" s="28">
        <v>9.493710431E9</v>
      </c>
      <c r="E678" s="68"/>
      <c r="F678" s="34"/>
      <c r="G678" s="69" t="s">
        <v>1727</v>
      </c>
      <c r="H678" s="9" t="s">
        <v>1728</v>
      </c>
      <c r="I678" s="70" t="s">
        <v>1729</v>
      </c>
      <c r="J678" s="43"/>
      <c r="K678" s="63"/>
      <c r="L678" s="43"/>
    </row>
    <row r="679" ht="22.5" customHeight="1">
      <c r="A679" s="9"/>
      <c r="B679" s="27" t="s">
        <v>1789</v>
      </c>
      <c r="C679" s="34"/>
      <c r="D679" s="28">
        <v>9.618444039E9</v>
      </c>
      <c r="E679" s="68"/>
      <c r="F679" s="34"/>
      <c r="G679" s="69" t="s">
        <v>1727</v>
      </c>
      <c r="H679" s="9" t="s">
        <v>1728</v>
      </c>
      <c r="I679" s="70" t="s">
        <v>1729</v>
      </c>
      <c r="J679" s="43"/>
      <c r="K679" s="63"/>
      <c r="L679" s="43"/>
    </row>
    <row r="680" ht="22.5" customHeight="1">
      <c r="A680" s="9"/>
      <c r="B680" s="27" t="s">
        <v>1790</v>
      </c>
      <c r="C680" s="34"/>
      <c r="D680" s="28">
        <v>8.792618018E9</v>
      </c>
      <c r="E680" s="68"/>
      <c r="F680" s="34"/>
      <c r="G680" s="69" t="s">
        <v>1727</v>
      </c>
      <c r="H680" s="9" t="s">
        <v>1728</v>
      </c>
      <c r="I680" s="70" t="s">
        <v>1729</v>
      </c>
      <c r="J680" s="43"/>
      <c r="K680" s="63"/>
      <c r="L680" s="43"/>
    </row>
    <row r="681" ht="22.5" customHeight="1">
      <c r="A681" s="9"/>
      <c r="B681" s="27" t="s">
        <v>1791</v>
      </c>
      <c r="C681" s="34"/>
      <c r="D681" s="28">
        <v>8.431620612E9</v>
      </c>
      <c r="E681" s="68"/>
      <c r="F681" s="34"/>
      <c r="G681" s="69" t="s">
        <v>1727</v>
      </c>
      <c r="H681" s="9" t="s">
        <v>1728</v>
      </c>
      <c r="I681" s="70" t="s">
        <v>1729</v>
      </c>
      <c r="J681" s="43"/>
      <c r="K681" s="63"/>
      <c r="L681" s="43"/>
    </row>
    <row r="682" ht="22.5" customHeight="1">
      <c r="A682" s="9"/>
      <c r="B682" s="27" t="s">
        <v>1792</v>
      </c>
      <c r="C682" s="34"/>
      <c r="D682" s="28">
        <v>9.885022496E9</v>
      </c>
      <c r="E682" s="68"/>
      <c r="F682" s="34"/>
      <c r="G682" s="69" t="s">
        <v>1727</v>
      </c>
      <c r="H682" s="9" t="s">
        <v>1728</v>
      </c>
      <c r="I682" s="70" t="s">
        <v>1731</v>
      </c>
      <c r="J682" s="43"/>
      <c r="K682" s="63"/>
      <c r="L682" s="43"/>
    </row>
    <row r="683" ht="22.5" customHeight="1">
      <c r="A683" s="9"/>
      <c r="B683" s="27" t="s">
        <v>1793</v>
      </c>
      <c r="C683" s="34"/>
      <c r="D683" s="28">
        <v>9.53362166E9</v>
      </c>
      <c r="E683" s="68"/>
      <c r="F683" s="34"/>
      <c r="G683" s="69" t="s">
        <v>1727</v>
      </c>
      <c r="H683" s="9" t="s">
        <v>1728</v>
      </c>
      <c r="I683" s="70" t="s">
        <v>1729</v>
      </c>
      <c r="J683" s="43"/>
      <c r="K683" s="63"/>
      <c r="L683" s="43"/>
    </row>
    <row r="684" ht="22.5" customHeight="1">
      <c r="A684" s="9"/>
      <c r="B684" s="27" t="s">
        <v>1794</v>
      </c>
      <c r="C684" s="34"/>
      <c r="D684" s="28">
        <v>9.347239848E9</v>
      </c>
      <c r="E684" s="68"/>
      <c r="F684" s="34"/>
      <c r="G684" s="69" t="s">
        <v>1727</v>
      </c>
      <c r="H684" s="9" t="s">
        <v>1728</v>
      </c>
      <c r="I684" s="70" t="s">
        <v>1729</v>
      </c>
      <c r="J684" s="43"/>
      <c r="K684" s="63"/>
      <c r="L684" s="43"/>
    </row>
    <row r="685" ht="22.5" customHeight="1">
      <c r="A685" s="9"/>
      <c r="B685" s="27" t="s">
        <v>1795</v>
      </c>
      <c r="C685" s="34"/>
      <c r="D685" s="28">
        <v>9.441233968E9</v>
      </c>
      <c r="E685" s="68"/>
      <c r="F685" s="34"/>
      <c r="G685" s="69" t="s">
        <v>1727</v>
      </c>
      <c r="H685" s="9" t="s">
        <v>1728</v>
      </c>
      <c r="I685" s="70" t="s">
        <v>1729</v>
      </c>
      <c r="J685" s="43"/>
      <c r="K685" s="63"/>
      <c r="L685" s="43"/>
    </row>
    <row r="686" ht="22.5" customHeight="1">
      <c r="A686" s="9"/>
      <c r="B686" s="27" t="s">
        <v>1796</v>
      </c>
      <c r="C686" s="34"/>
      <c r="D686" s="28">
        <v>7.41585781E9</v>
      </c>
      <c r="E686" s="68"/>
      <c r="F686" s="34"/>
      <c r="G686" s="69" t="s">
        <v>1727</v>
      </c>
      <c r="H686" s="9" t="s">
        <v>1728</v>
      </c>
      <c r="I686" s="70" t="s">
        <v>1729</v>
      </c>
      <c r="J686" s="43"/>
      <c r="K686" s="63"/>
      <c r="L686" s="43"/>
    </row>
    <row r="687" ht="22.5" customHeight="1">
      <c r="A687" s="9"/>
      <c r="B687" s="27" t="s">
        <v>1797</v>
      </c>
      <c r="C687" s="34"/>
      <c r="D687" s="28">
        <v>9.98939359E9</v>
      </c>
      <c r="E687" s="68"/>
      <c r="F687" s="34"/>
      <c r="G687" s="69" t="s">
        <v>1727</v>
      </c>
      <c r="H687" s="9" t="s">
        <v>1728</v>
      </c>
      <c r="I687" s="70" t="s">
        <v>1731</v>
      </c>
      <c r="J687" s="43"/>
      <c r="K687" s="63"/>
      <c r="L687" s="43"/>
    </row>
    <row r="688" ht="22.5" customHeight="1">
      <c r="A688" s="9"/>
      <c r="B688" s="27" t="s">
        <v>1798</v>
      </c>
      <c r="C688" s="34"/>
      <c r="D688" s="28">
        <v>8.886374747E9</v>
      </c>
      <c r="E688" s="68"/>
      <c r="F688" s="34"/>
      <c r="G688" s="69" t="s">
        <v>1727</v>
      </c>
      <c r="H688" s="9" t="s">
        <v>1728</v>
      </c>
      <c r="I688" s="70" t="s">
        <v>1729</v>
      </c>
      <c r="J688" s="43"/>
      <c r="K688" s="63"/>
      <c r="L688" s="43"/>
    </row>
    <row r="689" ht="22.5" customHeight="1">
      <c r="A689" s="9"/>
      <c r="B689" s="27" t="s">
        <v>1799</v>
      </c>
      <c r="C689" s="34"/>
      <c r="D689" s="28">
        <v>8.019272719E9</v>
      </c>
      <c r="E689" s="68"/>
      <c r="F689" s="34"/>
      <c r="G689" s="69" t="s">
        <v>1727</v>
      </c>
      <c r="H689" s="9" t="s">
        <v>1728</v>
      </c>
      <c r="I689" s="70" t="s">
        <v>1729</v>
      </c>
      <c r="J689" s="43"/>
      <c r="K689" s="63"/>
      <c r="L689" s="43"/>
    </row>
    <row r="690" ht="22.5" customHeight="1">
      <c r="A690" s="9"/>
      <c r="B690" s="27" t="s">
        <v>1800</v>
      </c>
      <c r="C690" s="34"/>
      <c r="D690" s="28">
        <v>8.143104777E9</v>
      </c>
      <c r="E690" s="68"/>
      <c r="F690" s="34"/>
      <c r="G690" s="69" t="s">
        <v>1727</v>
      </c>
      <c r="H690" s="9" t="s">
        <v>1728</v>
      </c>
      <c r="I690" s="70" t="s">
        <v>1729</v>
      </c>
      <c r="J690" s="43"/>
      <c r="K690" s="63"/>
      <c r="L690" s="43"/>
    </row>
    <row r="691" ht="22.5" customHeight="1">
      <c r="A691" s="9"/>
      <c r="B691" s="27" t="s">
        <v>1801</v>
      </c>
      <c r="C691" s="34"/>
      <c r="D691" s="28">
        <v>9.441129105E9</v>
      </c>
      <c r="E691" s="68"/>
      <c r="F691" s="34"/>
      <c r="G691" s="69" t="s">
        <v>1727</v>
      </c>
      <c r="H691" s="9" t="s">
        <v>1728</v>
      </c>
      <c r="I691" s="70" t="s">
        <v>1729</v>
      </c>
      <c r="J691" s="43"/>
      <c r="K691" s="63"/>
      <c r="L691" s="43"/>
    </row>
    <row r="692" ht="22.5" customHeight="1">
      <c r="A692" s="9"/>
      <c r="B692" s="27" t="s">
        <v>1802</v>
      </c>
      <c r="C692" s="34"/>
      <c r="D692" s="28">
        <v>9.440875856E9</v>
      </c>
      <c r="E692" s="68"/>
      <c r="F692" s="34"/>
      <c r="G692" s="69" t="s">
        <v>1727</v>
      </c>
      <c r="H692" s="9" t="s">
        <v>1728</v>
      </c>
      <c r="I692" s="70" t="s">
        <v>1729</v>
      </c>
      <c r="J692" s="43"/>
      <c r="K692" s="63"/>
      <c r="L692" s="43"/>
    </row>
    <row r="693" ht="22.5" customHeight="1">
      <c r="A693" s="9"/>
      <c r="B693" s="27" t="s">
        <v>1803</v>
      </c>
      <c r="C693" s="34"/>
      <c r="D693" s="28">
        <v>7.981312146E9</v>
      </c>
      <c r="E693" s="68"/>
      <c r="F693" s="34"/>
      <c r="G693" s="69" t="s">
        <v>1727</v>
      </c>
      <c r="H693" s="9" t="s">
        <v>1728</v>
      </c>
      <c r="I693" s="70" t="s">
        <v>1729</v>
      </c>
      <c r="J693" s="43"/>
      <c r="K693" s="63"/>
      <c r="L693" s="43"/>
    </row>
    <row r="694" ht="22.5" customHeight="1">
      <c r="A694" s="9"/>
      <c r="B694" s="27" t="s">
        <v>1804</v>
      </c>
      <c r="C694" s="34"/>
      <c r="D694" s="28">
        <v>9.618046007E9</v>
      </c>
      <c r="E694" s="68"/>
      <c r="F694" s="34"/>
      <c r="G694" s="69" t="s">
        <v>1727</v>
      </c>
      <c r="H694" s="9" t="s">
        <v>1728</v>
      </c>
      <c r="I694" s="70" t="s">
        <v>1731</v>
      </c>
      <c r="J694" s="43"/>
      <c r="K694" s="63"/>
      <c r="L694" s="43"/>
    </row>
    <row r="695" ht="22.5" customHeight="1">
      <c r="A695" s="9"/>
      <c r="B695" s="27" t="s">
        <v>1805</v>
      </c>
      <c r="C695" s="34"/>
      <c r="D695" s="28">
        <v>8.897572112E9</v>
      </c>
      <c r="E695" s="68"/>
      <c r="F695" s="34"/>
      <c r="G695" s="69" t="s">
        <v>1727</v>
      </c>
      <c r="H695" s="9" t="s">
        <v>1728</v>
      </c>
      <c r="I695" s="70" t="s">
        <v>1729</v>
      </c>
      <c r="J695" s="43"/>
      <c r="K695" s="63"/>
      <c r="L695" s="43"/>
    </row>
    <row r="696" ht="22.5" customHeight="1">
      <c r="A696" s="9"/>
      <c r="B696" s="27" t="s">
        <v>1806</v>
      </c>
      <c r="C696" s="34"/>
      <c r="D696" s="28">
        <v>9.908593822E9</v>
      </c>
      <c r="E696" s="68"/>
      <c r="F696" s="34"/>
      <c r="G696" s="69" t="s">
        <v>1727</v>
      </c>
      <c r="H696" s="9" t="s">
        <v>1728</v>
      </c>
      <c r="I696" s="70" t="s">
        <v>1729</v>
      </c>
      <c r="J696" s="43"/>
      <c r="K696" s="63"/>
      <c r="L696" s="43"/>
    </row>
    <row r="697" ht="22.5" customHeight="1">
      <c r="A697" s="9"/>
      <c r="B697" s="27" t="s">
        <v>1807</v>
      </c>
      <c r="C697" s="34"/>
      <c r="D697" s="28">
        <v>9.704245808E9</v>
      </c>
      <c r="E697" s="68"/>
      <c r="F697" s="34"/>
      <c r="G697" s="69" t="s">
        <v>1727</v>
      </c>
      <c r="H697" s="9" t="s">
        <v>1728</v>
      </c>
      <c r="I697" s="70" t="s">
        <v>1729</v>
      </c>
      <c r="J697" s="43"/>
      <c r="K697" s="63"/>
      <c r="L697" s="43"/>
    </row>
    <row r="698" ht="22.5" customHeight="1">
      <c r="A698" s="9"/>
      <c r="B698" s="27" t="s">
        <v>1808</v>
      </c>
      <c r="C698" s="34"/>
      <c r="D698" s="28">
        <v>9.550614678E9</v>
      </c>
      <c r="E698" s="68"/>
      <c r="F698" s="34"/>
      <c r="G698" s="69" t="s">
        <v>1727</v>
      </c>
      <c r="H698" s="9" t="s">
        <v>1728</v>
      </c>
      <c r="I698" s="70" t="s">
        <v>1729</v>
      </c>
      <c r="J698" s="43"/>
      <c r="K698" s="63"/>
      <c r="L698" s="43"/>
    </row>
    <row r="699" ht="22.5" customHeight="1">
      <c r="A699" s="9"/>
      <c r="B699" s="27" t="s">
        <v>1809</v>
      </c>
      <c r="C699" s="34"/>
      <c r="D699" s="28">
        <v>9.505713724E9</v>
      </c>
      <c r="E699" s="68"/>
      <c r="F699" s="34"/>
      <c r="G699" s="69" t="s">
        <v>1727</v>
      </c>
      <c r="H699" s="9" t="s">
        <v>1728</v>
      </c>
      <c r="I699" s="70" t="s">
        <v>1729</v>
      </c>
      <c r="J699" s="43"/>
      <c r="K699" s="63"/>
      <c r="L699" s="43"/>
    </row>
    <row r="700" ht="22.5" customHeight="1">
      <c r="A700" s="9"/>
      <c r="B700" s="27" t="s">
        <v>1810</v>
      </c>
      <c r="C700" s="34"/>
      <c r="D700" s="28">
        <v>9.493011616E9</v>
      </c>
      <c r="E700" s="68"/>
      <c r="F700" s="34"/>
      <c r="G700" s="69" t="s">
        <v>1727</v>
      </c>
      <c r="H700" s="9" t="s">
        <v>1728</v>
      </c>
      <c r="I700" s="70" t="s">
        <v>1729</v>
      </c>
      <c r="J700" s="43"/>
      <c r="K700" s="63"/>
      <c r="L700" s="43"/>
    </row>
    <row r="701" ht="22.5" customHeight="1">
      <c r="A701" s="9"/>
      <c r="B701" s="27" t="s">
        <v>1811</v>
      </c>
      <c r="C701" s="34"/>
      <c r="D701" s="28">
        <v>9.989016189E9</v>
      </c>
      <c r="E701" s="68"/>
      <c r="F701" s="34"/>
      <c r="G701" s="69" t="s">
        <v>1727</v>
      </c>
      <c r="H701" s="9" t="s">
        <v>1728</v>
      </c>
      <c r="I701" s="70" t="s">
        <v>1729</v>
      </c>
      <c r="J701" s="43"/>
      <c r="K701" s="63"/>
      <c r="L701" s="43"/>
    </row>
    <row r="702" ht="22.5" customHeight="1">
      <c r="A702" s="9"/>
      <c r="B702" s="27" t="s">
        <v>1812</v>
      </c>
      <c r="C702" s="34"/>
      <c r="D702" s="28">
        <v>9.999859046E9</v>
      </c>
      <c r="E702" s="68"/>
      <c r="F702" s="34"/>
      <c r="G702" s="69" t="s">
        <v>1727</v>
      </c>
      <c r="H702" s="9" t="s">
        <v>1728</v>
      </c>
      <c r="I702" s="70" t="s">
        <v>1729</v>
      </c>
      <c r="J702" s="43"/>
      <c r="K702" s="63"/>
      <c r="L702" s="43"/>
    </row>
    <row r="703" ht="22.5" customHeight="1">
      <c r="A703" s="9"/>
      <c r="B703" s="27" t="s">
        <v>1813</v>
      </c>
      <c r="C703" s="34"/>
      <c r="D703" s="28">
        <v>9.666999759E9</v>
      </c>
      <c r="E703" s="68"/>
      <c r="F703" s="34"/>
      <c r="G703" s="69" t="s">
        <v>1727</v>
      </c>
      <c r="H703" s="9" t="s">
        <v>1728</v>
      </c>
      <c r="I703" s="70" t="s">
        <v>1729</v>
      </c>
      <c r="J703" s="43"/>
      <c r="K703" s="63"/>
      <c r="L703" s="43"/>
    </row>
    <row r="704" ht="22.5" customHeight="1">
      <c r="A704" s="9"/>
      <c r="B704" s="27" t="s">
        <v>1814</v>
      </c>
      <c r="C704" s="34"/>
      <c r="D704" s="28">
        <v>9.70123576E9</v>
      </c>
      <c r="E704" s="68"/>
      <c r="F704" s="34"/>
      <c r="G704" s="69" t="s">
        <v>1727</v>
      </c>
      <c r="H704" s="9" t="s">
        <v>1728</v>
      </c>
      <c r="I704" s="70" t="s">
        <v>1729</v>
      </c>
      <c r="J704" s="43"/>
      <c r="K704" s="63"/>
      <c r="L704" s="43"/>
    </row>
    <row r="705" ht="22.5" customHeight="1">
      <c r="A705" s="9"/>
      <c r="B705" s="27" t="s">
        <v>1815</v>
      </c>
      <c r="C705" s="34"/>
      <c r="D705" s="28">
        <v>9.972607931E9</v>
      </c>
      <c r="E705" s="68"/>
      <c r="F705" s="34"/>
      <c r="G705" s="69" t="s">
        <v>1727</v>
      </c>
      <c r="H705" s="9" t="s">
        <v>1728</v>
      </c>
      <c r="I705" s="70" t="s">
        <v>1729</v>
      </c>
      <c r="J705" s="43"/>
      <c r="K705" s="63"/>
      <c r="L705" s="43"/>
    </row>
    <row r="706" ht="22.5" customHeight="1">
      <c r="A706" s="9"/>
      <c r="B706" s="27" t="s">
        <v>1816</v>
      </c>
      <c r="C706" s="34"/>
      <c r="D706" s="28">
        <v>9.966398019E9</v>
      </c>
      <c r="E706" s="68"/>
      <c r="F706" s="34"/>
      <c r="G706" s="69" t="s">
        <v>1727</v>
      </c>
      <c r="H706" s="9" t="s">
        <v>1728</v>
      </c>
      <c r="I706" s="70" t="s">
        <v>1729</v>
      </c>
      <c r="J706" s="43"/>
      <c r="K706" s="63"/>
      <c r="L706" s="43"/>
    </row>
    <row r="707" ht="22.5" customHeight="1">
      <c r="A707" s="9"/>
      <c r="B707" s="27" t="s">
        <v>1817</v>
      </c>
      <c r="C707" s="34"/>
      <c r="D707" s="28">
        <v>9.100840378E9</v>
      </c>
      <c r="E707" s="68"/>
      <c r="F707" s="34"/>
      <c r="G707" s="69" t="s">
        <v>1727</v>
      </c>
      <c r="H707" s="9" t="s">
        <v>1728</v>
      </c>
      <c r="I707" s="70" t="s">
        <v>1729</v>
      </c>
      <c r="J707" s="43"/>
      <c r="K707" s="63"/>
      <c r="L707" s="43"/>
    </row>
    <row r="708" ht="22.5" customHeight="1">
      <c r="A708" s="9"/>
      <c r="B708" s="27" t="s">
        <v>1818</v>
      </c>
      <c r="C708" s="34"/>
      <c r="D708" s="28">
        <v>9.492753505E9</v>
      </c>
      <c r="E708" s="68"/>
      <c r="F708" s="34"/>
      <c r="G708" s="69" t="s">
        <v>1727</v>
      </c>
      <c r="H708" s="9" t="s">
        <v>1728</v>
      </c>
      <c r="I708" s="70" t="s">
        <v>1731</v>
      </c>
      <c r="J708" s="43"/>
      <c r="K708" s="63"/>
      <c r="L708" s="43"/>
    </row>
    <row r="709" ht="22.5" customHeight="1">
      <c r="A709" s="9"/>
      <c r="B709" s="27" t="s">
        <v>1819</v>
      </c>
      <c r="C709" s="34"/>
      <c r="D709" s="28">
        <v>9.98914E9</v>
      </c>
      <c r="E709" s="68"/>
      <c r="F709" s="34"/>
      <c r="G709" s="69" t="s">
        <v>1727</v>
      </c>
      <c r="H709" s="9" t="s">
        <v>1728</v>
      </c>
      <c r="I709" s="70" t="s">
        <v>1729</v>
      </c>
      <c r="J709" s="43"/>
      <c r="K709" s="63"/>
      <c r="L709" s="43"/>
    </row>
    <row r="710" ht="22.5" customHeight="1">
      <c r="A710" s="9"/>
      <c r="B710" s="27" t="s">
        <v>1820</v>
      </c>
      <c r="C710" s="34"/>
      <c r="D710" s="28">
        <v>9.963421184E9</v>
      </c>
      <c r="E710" s="68"/>
      <c r="F710" s="34"/>
      <c r="G710" s="69" t="s">
        <v>1727</v>
      </c>
      <c r="H710" s="9" t="s">
        <v>1728</v>
      </c>
      <c r="I710" s="70" t="s">
        <v>1729</v>
      </c>
      <c r="J710" s="43"/>
      <c r="K710" s="63"/>
      <c r="L710" s="43"/>
    </row>
    <row r="711" ht="22.5" customHeight="1">
      <c r="A711" s="9"/>
      <c r="B711" s="27" t="s">
        <v>1821</v>
      </c>
      <c r="C711" s="34"/>
      <c r="D711" s="28">
        <v>9.182980192E9</v>
      </c>
      <c r="E711" s="68"/>
      <c r="F711" s="34"/>
      <c r="G711" s="69" t="s">
        <v>1727</v>
      </c>
      <c r="H711" s="9" t="s">
        <v>1728</v>
      </c>
      <c r="I711" s="70" t="s">
        <v>1729</v>
      </c>
      <c r="J711" s="43"/>
      <c r="K711" s="63"/>
      <c r="L711" s="43"/>
    </row>
    <row r="712" ht="22.5" customHeight="1">
      <c r="A712" s="9"/>
      <c r="B712" s="27" t="s">
        <v>1822</v>
      </c>
      <c r="C712" s="34"/>
      <c r="D712" s="28">
        <v>6.304068476E9</v>
      </c>
      <c r="E712" s="68"/>
      <c r="F712" s="34"/>
      <c r="G712" s="69" t="s">
        <v>1727</v>
      </c>
      <c r="H712" s="9" t="s">
        <v>1728</v>
      </c>
      <c r="I712" s="70" t="s">
        <v>1729</v>
      </c>
      <c r="J712" s="43"/>
      <c r="K712" s="63"/>
      <c r="L712" s="43"/>
    </row>
    <row r="713" ht="22.5" customHeight="1">
      <c r="A713" s="9"/>
      <c r="B713" s="27" t="s">
        <v>1823</v>
      </c>
      <c r="C713" s="34"/>
      <c r="D713" s="28">
        <v>9.704741554E9</v>
      </c>
      <c r="E713" s="68"/>
      <c r="F713" s="34"/>
      <c r="G713" s="69" t="s">
        <v>1727</v>
      </c>
      <c r="H713" s="9" t="s">
        <v>1728</v>
      </c>
      <c r="I713" s="70" t="s">
        <v>1731</v>
      </c>
      <c r="J713" s="43"/>
      <c r="K713" s="63"/>
      <c r="L713" s="43"/>
    </row>
    <row r="714" ht="22.5" customHeight="1">
      <c r="A714" s="9"/>
      <c r="B714" s="27" t="s">
        <v>1824</v>
      </c>
      <c r="C714" s="34"/>
      <c r="D714" s="28">
        <v>9.966692692E9</v>
      </c>
      <c r="E714" s="68"/>
      <c r="F714" s="34"/>
      <c r="G714" s="69" t="s">
        <v>1727</v>
      </c>
      <c r="H714" s="9" t="s">
        <v>1728</v>
      </c>
      <c r="I714" s="70" t="s">
        <v>1729</v>
      </c>
      <c r="J714" s="43"/>
      <c r="K714" s="63"/>
      <c r="L714" s="43"/>
    </row>
    <row r="715" ht="22.5" customHeight="1">
      <c r="A715" s="9"/>
      <c r="B715" s="27" t="s">
        <v>1825</v>
      </c>
      <c r="C715" s="34"/>
      <c r="D715" s="28">
        <v>9.949744077E9</v>
      </c>
      <c r="E715" s="68"/>
      <c r="F715" s="34"/>
      <c r="G715" s="69" t="s">
        <v>1727</v>
      </c>
      <c r="H715" s="9" t="s">
        <v>1728</v>
      </c>
      <c r="I715" s="70" t="s">
        <v>1731</v>
      </c>
      <c r="J715" s="43"/>
      <c r="K715" s="63"/>
      <c r="L715" s="43"/>
    </row>
    <row r="716" ht="22.5" customHeight="1">
      <c r="A716" s="9"/>
      <c r="B716" s="27" t="s">
        <v>1826</v>
      </c>
      <c r="C716" s="34"/>
      <c r="D716" s="28">
        <v>8.019177585E9</v>
      </c>
      <c r="E716" s="68"/>
      <c r="F716" s="34"/>
      <c r="G716" s="69" t="s">
        <v>1727</v>
      </c>
      <c r="H716" s="9" t="s">
        <v>1728</v>
      </c>
      <c r="I716" s="70" t="s">
        <v>1729</v>
      </c>
      <c r="J716" s="43"/>
      <c r="K716" s="63"/>
      <c r="L716" s="43"/>
    </row>
    <row r="717" ht="22.5" customHeight="1">
      <c r="A717" s="9"/>
      <c r="B717" s="27" t="s">
        <v>1827</v>
      </c>
      <c r="C717" s="34"/>
      <c r="D717" s="28">
        <v>9.398500244E9</v>
      </c>
      <c r="E717" s="68"/>
      <c r="F717" s="34"/>
      <c r="G717" s="69" t="s">
        <v>1727</v>
      </c>
      <c r="H717" s="9" t="s">
        <v>1728</v>
      </c>
      <c r="I717" s="70" t="s">
        <v>1729</v>
      </c>
      <c r="J717" s="43"/>
      <c r="K717" s="63"/>
      <c r="L717" s="43"/>
    </row>
    <row r="718" ht="22.5" customHeight="1">
      <c r="A718" s="9"/>
      <c r="B718" s="27" t="s">
        <v>1828</v>
      </c>
      <c r="C718" s="34"/>
      <c r="D718" s="28">
        <v>9.848625961E9</v>
      </c>
      <c r="E718" s="68"/>
      <c r="F718" s="34"/>
      <c r="G718" s="69" t="s">
        <v>1727</v>
      </c>
      <c r="H718" s="9" t="s">
        <v>1728</v>
      </c>
      <c r="I718" s="70" t="s">
        <v>1729</v>
      </c>
      <c r="J718" s="43"/>
      <c r="K718" s="63"/>
      <c r="L718" s="43"/>
    </row>
    <row r="719" ht="22.5" customHeight="1">
      <c r="A719" s="9"/>
      <c r="B719" s="27" t="s">
        <v>1829</v>
      </c>
      <c r="C719" s="34"/>
      <c r="D719" s="28">
        <v>7.981649859E9</v>
      </c>
      <c r="E719" s="68"/>
      <c r="F719" s="34"/>
      <c r="G719" s="69" t="s">
        <v>1727</v>
      </c>
      <c r="H719" s="9" t="s">
        <v>1728</v>
      </c>
      <c r="I719" s="70" t="s">
        <v>1729</v>
      </c>
      <c r="J719" s="43"/>
      <c r="K719" s="63"/>
      <c r="L719" s="43"/>
    </row>
    <row r="720" ht="22.5" customHeight="1">
      <c r="A720" s="9"/>
      <c r="B720" s="27" t="s">
        <v>1830</v>
      </c>
      <c r="C720" s="34"/>
      <c r="D720" s="28">
        <v>8.686223456E9</v>
      </c>
      <c r="E720" s="68"/>
      <c r="F720" s="34"/>
      <c r="G720" s="69" t="s">
        <v>1727</v>
      </c>
      <c r="H720" s="9" t="s">
        <v>1728</v>
      </c>
      <c r="I720" s="70" t="s">
        <v>1729</v>
      </c>
      <c r="J720" s="43"/>
      <c r="K720" s="63"/>
      <c r="L720" s="43"/>
    </row>
    <row r="721" ht="22.5" customHeight="1">
      <c r="A721" s="9"/>
      <c r="B721" s="27" t="s">
        <v>1831</v>
      </c>
      <c r="C721" s="34"/>
      <c r="D721" s="28">
        <v>9.989888014E9</v>
      </c>
      <c r="E721" s="68"/>
      <c r="F721" s="34"/>
      <c r="G721" s="69" t="s">
        <v>1727</v>
      </c>
      <c r="H721" s="9" t="s">
        <v>1728</v>
      </c>
      <c r="I721" s="70" t="s">
        <v>1729</v>
      </c>
      <c r="J721" s="43"/>
      <c r="K721" s="63"/>
      <c r="L721" s="43"/>
    </row>
    <row r="722" ht="22.5" customHeight="1">
      <c r="A722" s="9"/>
      <c r="B722" s="27" t="s">
        <v>1832</v>
      </c>
      <c r="C722" s="34"/>
      <c r="D722" s="28">
        <v>9.491656009E9</v>
      </c>
      <c r="E722" s="68"/>
      <c r="F722" s="34"/>
      <c r="G722" s="69" t="s">
        <v>1727</v>
      </c>
      <c r="H722" s="9" t="s">
        <v>1728</v>
      </c>
      <c r="I722" s="70" t="s">
        <v>1729</v>
      </c>
      <c r="J722" s="43"/>
      <c r="K722" s="63"/>
      <c r="L722" s="43"/>
    </row>
    <row r="723" ht="22.5" customHeight="1">
      <c r="A723" s="9"/>
      <c r="B723" s="27" t="s">
        <v>1833</v>
      </c>
      <c r="C723" s="34"/>
      <c r="D723" s="28">
        <v>9.908367862E9</v>
      </c>
      <c r="E723" s="68"/>
      <c r="F723" s="34"/>
      <c r="G723" s="69" t="s">
        <v>1727</v>
      </c>
      <c r="H723" s="9" t="s">
        <v>1728</v>
      </c>
      <c r="I723" s="70" t="s">
        <v>1729</v>
      </c>
      <c r="J723" s="43"/>
      <c r="K723" s="63"/>
      <c r="L723" s="43"/>
    </row>
    <row r="724" ht="22.5" customHeight="1">
      <c r="A724" s="9"/>
      <c r="B724" s="27" t="s">
        <v>1834</v>
      </c>
      <c r="C724" s="34"/>
      <c r="D724" s="28">
        <v>8.68876527E9</v>
      </c>
      <c r="E724" s="68"/>
      <c r="F724" s="34"/>
      <c r="G724" s="69" t="s">
        <v>1727</v>
      </c>
      <c r="H724" s="9" t="s">
        <v>1728</v>
      </c>
      <c r="I724" s="70" t="s">
        <v>1729</v>
      </c>
      <c r="J724" s="43"/>
      <c r="K724" s="63"/>
      <c r="L724" s="43"/>
    </row>
    <row r="725" ht="22.5" customHeight="1">
      <c r="A725" s="9"/>
      <c r="B725" s="27" t="s">
        <v>1835</v>
      </c>
      <c r="C725" s="34"/>
      <c r="D725" s="28">
        <v>7.506757941E9</v>
      </c>
      <c r="E725" s="68"/>
      <c r="F725" s="34"/>
      <c r="G725" s="69" t="s">
        <v>1727</v>
      </c>
      <c r="H725" s="9" t="s">
        <v>1728</v>
      </c>
      <c r="I725" s="70" t="s">
        <v>1729</v>
      </c>
      <c r="J725" s="43"/>
      <c r="K725" s="63"/>
      <c r="L725" s="43"/>
    </row>
    <row r="726" ht="22.5" customHeight="1">
      <c r="A726" s="9"/>
      <c r="B726" s="27" t="s">
        <v>1836</v>
      </c>
      <c r="C726" s="34"/>
      <c r="D726" s="28">
        <v>9.581888788E9</v>
      </c>
      <c r="E726" s="68"/>
      <c r="F726" s="34"/>
      <c r="G726" s="69" t="s">
        <v>1727</v>
      </c>
      <c r="H726" s="9" t="s">
        <v>1728</v>
      </c>
      <c r="I726" s="70" t="s">
        <v>1729</v>
      </c>
      <c r="J726" s="43"/>
      <c r="K726" s="63"/>
      <c r="L726" s="43"/>
    </row>
    <row r="727" ht="22.5" customHeight="1">
      <c r="A727" s="9"/>
      <c r="B727" s="27" t="s">
        <v>1837</v>
      </c>
      <c r="C727" s="34"/>
      <c r="D727" s="28">
        <v>9.949982745E9</v>
      </c>
      <c r="E727" s="68"/>
      <c r="F727" s="34"/>
      <c r="G727" s="69" t="s">
        <v>1727</v>
      </c>
      <c r="H727" s="9" t="s">
        <v>1728</v>
      </c>
      <c r="I727" s="70" t="s">
        <v>1729</v>
      </c>
      <c r="J727" s="43"/>
      <c r="K727" s="63"/>
      <c r="L727" s="43"/>
    </row>
    <row r="728" ht="22.5" customHeight="1">
      <c r="A728" s="9"/>
      <c r="B728" s="27" t="s">
        <v>1838</v>
      </c>
      <c r="C728" s="34"/>
      <c r="D728" s="28">
        <v>9.000209639E9</v>
      </c>
      <c r="E728" s="68"/>
      <c r="F728" s="34"/>
      <c r="G728" s="69" t="s">
        <v>1727</v>
      </c>
      <c r="H728" s="9" t="s">
        <v>1728</v>
      </c>
      <c r="I728" s="70" t="s">
        <v>1729</v>
      </c>
      <c r="J728" s="43"/>
      <c r="K728" s="63"/>
      <c r="L728" s="43"/>
    </row>
    <row r="729" ht="22.5" customHeight="1">
      <c r="A729" s="9"/>
      <c r="B729" s="27" t="s">
        <v>1839</v>
      </c>
      <c r="C729" s="34"/>
      <c r="D729" s="28">
        <v>9.866916692E9</v>
      </c>
      <c r="E729" s="68"/>
      <c r="F729" s="34"/>
      <c r="G729" s="69" t="s">
        <v>1727</v>
      </c>
      <c r="H729" s="9" t="s">
        <v>1728</v>
      </c>
      <c r="I729" s="70" t="s">
        <v>1729</v>
      </c>
      <c r="J729" s="43"/>
      <c r="K729" s="63"/>
      <c r="L729" s="43"/>
    </row>
    <row r="730" ht="22.5" customHeight="1">
      <c r="A730" s="9"/>
      <c r="B730" s="27" t="s">
        <v>1840</v>
      </c>
      <c r="C730" s="34"/>
      <c r="D730" s="28">
        <v>9.885922163E9</v>
      </c>
      <c r="E730" s="68"/>
      <c r="F730" s="34"/>
      <c r="G730" s="69" t="s">
        <v>1727</v>
      </c>
      <c r="H730" s="9" t="s">
        <v>1728</v>
      </c>
      <c r="I730" s="70" t="s">
        <v>1729</v>
      </c>
      <c r="J730" s="43"/>
      <c r="K730" s="63"/>
      <c r="L730" s="43"/>
    </row>
    <row r="731" ht="22.5" customHeight="1">
      <c r="A731" s="9"/>
      <c r="B731" s="27" t="s">
        <v>1841</v>
      </c>
      <c r="C731" s="34"/>
      <c r="D731" s="28">
        <v>9.491992476E9</v>
      </c>
      <c r="E731" s="68"/>
      <c r="F731" s="34"/>
      <c r="G731" s="69" t="s">
        <v>1727</v>
      </c>
      <c r="H731" s="9" t="s">
        <v>1728</v>
      </c>
      <c r="I731" s="70" t="s">
        <v>1729</v>
      </c>
      <c r="J731" s="43"/>
      <c r="K731" s="63"/>
      <c r="L731" s="43"/>
    </row>
    <row r="732" ht="22.5" customHeight="1">
      <c r="A732" s="9"/>
      <c r="B732" s="27" t="s">
        <v>1842</v>
      </c>
      <c r="C732" s="34"/>
      <c r="D732" s="28">
        <v>9.391144991E9</v>
      </c>
      <c r="E732" s="68"/>
      <c r="F732" s="34"/>
      <c r="G732" s="69" t="s">
        <v>1727</v>
      </c>
      <c r="H732" s="9" t="s">
        <v>1728</v>
      </c>
      <c r="I732" s="70" t="s">
        <v>1729</v>
      </c>
      <c r="J732" s="43"/>
      <c r="K732" s="63"/>
      <c r="L732" s="43"/>
    </row>
    <row r="733" ht="22.5" customHeight="1">
      <c r="A733" s="9"/>
      <c r="B733" s="27" t="s">
        <v>1843</v>
      </c>
      <c r="C733" s="34"/>
      <c r="D733" s="28">
        <v>9.44001268E9</v>
      </c>
      <c r="E733" s="68"/>
      <c r="F733" s="34"/>
      <c r="G733" s="69" t="s">
        <v>1727</v>
      </c>
      <c r="H733" s="9" t="s">
        <v>1728</v>
      </c>
      <c r="I733" s="70" t="s">
        <v>1729</v>
      </c>
      <c r="J733" s="43"/>
      <c r="K733" s="63"/>
      <c r="L733" s="43"/>
    </row>
    <row r="734" ht="22.5" customHeight="1">
      <c r="A734" s="9"/>
      <c r="B734" s="27" t="s">
        <v>1844</v>
      </c>
      <c r="C734" s="34"/>
      <c r="D734" s="28">
        <v>9.032401005E9</v>
      </c>
      <c r="E734" s="68"/>
      <c r="F734" s="34"/>
      <c r="G734" s="69" t="s">
        <v>1727</v>
      </c>
      <c r="H734" s="9" t="s">
        <v>1728</v>
      </c>
      <c r="I734" s="70" t="s">
        <v>1729</v>
      </c>
      <c r="J734" s="43"/>
      <c r="K734" s="63"/>
      <c r="L734" s="43"/>
    </row>
    <row r="735" ht="22.5" customHeight="1">
      <c r="A735" s="9"/>
      <c r="B735" s="27" t="s">
        <v>1845</v>
      </c>
      <c r="C735" s="34"/>
      <c r="D735" s="28">
        <v>9.527804047E9</v>
      </c>
      <c r="E735" s="68"/>
      <c r="F735" s="34"/>
      <c r="G735" s="69" t="s">
        <v>1727</v>
      </c>
      <c r="H735" s="9" t="s">
        <v>1728</v>
      </c>
      <c r="I735" s="70" t="s">
        <v>1729</v>
      </c>
      <c r="J735" s="43"/>
      <c r="K735" s="63"/>
      <c r="L735" s="43"/>
    </row>
    <row r="736" ht="22.5" customHeight="1">
      <c r="A736" s="9"/>
      <c r="B736" s="27" t="s">
        <v>1846</v>
      </c>
      <c r="C736" s="34"/>
      <c r="D736" s="28">
        <v>9.849607475E9</v>
      </c>
      <c r="E736" s="68"/>
      <c r="F736" s="34"/>
      <c r="G736" s="69" t="s">
        <v>1727</v>
      </c>
      <c r="H736" s="9" t="s">
        <v>1728</v>
      </c>
      <c r="I736" s="70" t="s">
        <v>1729</v>
      </c>
      <c r="J736" s="43"/>
      <c r="K736" s="63"/>
      <c r="L736" s="43"/>
    </row>
    <row r="737" ht="22.5" customHeight="1">
      <c r="A737" s="9"/>
      <c r="B737" s="27" t="s">
        <v>1847</v>
      </c>
      <c r="C737" s="34"/>
      <c r="D737" s="28">
        <v>7.569632203E9</v>
      </c>
      <c r="E737" s="68"/>
      <c r="F737" s="34"/>
      <c r="G737" s="69" t="s">
        <v>1727</v>
      </c>
      <c r="H737" s="9" t="s">
        <v>1728</v>
      </c>
      <c r="I737" s="70" t="s">
        <v>1729</v>
      </c>
      <c r="J737" s="43"/>
      <c r="K737" s="63"/>
      <c r="L737" s="43"/>
    </row>
    <row r="738" ht="22.5" customHeight="1">
      <c r="A738" s="9"/>
      <c r="B738" s="27" t="s">
        <v>1848</v>
      </c>
      <c r="C738" s="34"/>
      <c r="D738" s="28">
        <v>8.977944466E9</v>
      </c>
      <c r="E738" s="68"/>
      <c r="F738" s="34"/>
      <c r="G738" s="69" t="s">
        <v>1727</v>
      </c>
      <c r="H738" s="9" t="s">
        <v>1728</v>
      </c>
      <c r="I738" s="70" t="s">
        <v>1729</v>
      </c>
      <c r="J738" s="43"/>
      <c r="K738" s="63"/>
      <c r="L738" s="43"/>
    </row>
    <row r="739" ht="22.5" customHeight="1">
      <c r="A739" s="9"/>
      <c r="B739" s="27" t="s">
        <v>1849</v>
      </c>
      <c r="C739" s="34"/>
      <c r="D739" s="28">
        <v>9.949094576E9</v>
      </c>
      <c r="E739" s="68"/>
      <c r="F739" s="34"/>
      <c r="G739" s="69" t="s">
        <v>1727</v>
      </c>
      <c r="H739" s="9" t="s">
        <v>1728</v>
      </c>
      <c r="I739" s="70" t="s">
        <v>1729</v>
      </c>
      <c r="J739" s="43"/>
      <c r="K739" s="63"/>
      <c r="L739" s="43"/>
    </row>
    <row r="740" ht="22.5" customHeight="1">
      <c r="A740" s="9"/>
      <c r="B740" s="27" t="s">
        <v>1850</v>
      </c>
      <c r="C740" s="34"/>
      <c r="D740" s="28">
        <v>9.987254975E9</v>
      </c>
      <c r="E740" s="68"/>
      <c r="F740" s="34"/>
      <c r="G740" s="69" t="s">
        <v>1727</v>
      </c>
      <c r="H740" s="9" t="s">
        <v>1728</v>
      </c>
      <c r="I740" s="70" t="s">
        <v>1729</v>
      </c>
      <c r="J740" s="43"/>
      <c r="K740" s="63"/>
      <c r="L740" s="43"/>
    </row>
    <row r="741" ht="22.5" customHeight="1">
      <c r="A741" s="9"/>
      <c r="B741" s="27" t="s">
        <v>1851</v>
      </c>
      <c r="C741" s="34"/>
      <c r="D741" s="28">
        <v>9.490397999E9</v>
      </c>
      <c r="E741" s="68"/>
      <c r="F741" s="34"/>
      <c r="G741" s="69" t="s">
        <v>1727</v>
      </c>
      <c r="H741" s="9" t="s">
        <v>1728</v>
      </c>
      <c r="I741" s="70" t="s">
        <v>1729</v>
      </c>
      <c r="J741" s="43"/>
      <c r="K741" s="63"/>
      <c r="L741" s="43"/>
    </row>
    <row r="742" ht="22.5" customHeight="1">
      <c r="A742" s="9"/>
      <c r="B742" s="27" t="s">
        <v>1852</v>
      </c>
      <c r="C742" s="34"/>
      <c r="D742" s="28">
        <v>9.958192158E9</v>
      </c>
      <c r="E742" s="68"/>
      <c r="F742" s="34"/>
      <c r="G742" s="69" t="s">
        <v>1727</v>
      </c>
      <c r="H742" s="9" t="s">
        <v>1728</v>
      </c>
      <c r="I742" s="70" t="s">
        <v>1729</v>
      </c>
      <c r="J742" s="43"/>
      <c r="K742" s="63"/>
      <c r="L742" s="43"/>
    </row>
    <row r="743" ht="22.5" customHeight="1">
      <c r="A743" s="9"/>
      <c r="B743" s="27" t="s">
        <v>1853</v>
      </c>
      <c r="C743" s="34"/>
      <c r="D743" s="28">
        <v>9.014782807E9</v>
      </c>
      <c r="E743" s="68"/>
      <c r="F743" s="34"/>
      <c r="G743" s="69" t="s">
        <v>1727</v>
      </c>
      <c r="H743" s="9" t="s">
        <v>1728</v>
      </c>
      <c r="I743" s="70" t="s">
        <v>1729</v>
      </c>
      <c r="J743" s="43"/>
      <c r="K743" s="63"/>
      <c r="L743" s="43"/>
    </row>
    <row r="744" ht="22.5" customHeight="1">
      <c r="A744" s="9"/>
      <c r="B744" s="27" t="s">
        <v>1854</v>
      </c>
      <c r="C744" s="34"/>
      <c r="D744" s="28">
        <v>9.652420108E9</v>
      </c>
      <c r="E744" s="68"/>
      <c r="F744" s="34"/>
      <c r="G744" s="69" t="s">
        <v>1727</v>
      </c>
      <c r="H744" s="9" t="s">
        <v>1728</v>
      </c>
      <c r="I744" s="70" t="s">
        <v>1729</v>
      </c>
      <c r="J744" s="43"/>
      <c r="K744" s="63"/>
      <c r="L744" s="43"/>
    </row>
    <row r="745" ht="22.5" customHeight="1">
      <c r="A745" s="9"/>
      <c r="B745" s="27" t="s">
        <v>1855</v>
      </c>
      <c r="C745" s="34"/>
      <c r="D745" s="28">
        <v>9.493157984E9</v>
      </c>
      <c r="E745" s="68"/>
      <c r="F745" s="34"/>
      <c r="G745" s="69" t="s">
        <v>1727</v>
      </c>
      <c r="H745" s="9" t="s">
        <v>1728</v>
      </c>
      <c r="I745" s="70" t="s">
        <v>1729</v>
      </c>
      <c r="J745" s="43"/>
      <c r="K745" s="63"/>
      <c r="L745" s="43"/>
    </row>
    <row r="746" ht="22.5" customHeight="1">
      <c r="A746" s="9"/>
      <c r="B746" s="27" t="s">
        <v>1856</v>
      </c>
      <c r="C746" s="34"/>
      <c r="D746" s="28">
        <v>9.397939709E9</v>
      </c>
      <c r="E746" s="68"/>
      <c r="F746" s="34"/>
      <c r="G746" s="69" t="s">
        <v>1727</v>
      </c>
      <c r="H746" s="9" t="s">
        <v>1728</v>
      </c>
      <c r="I746" s="70" t="s">
        <v>1729</v>
      </c>
      <c r="J746" s="43"/>
      <c r="K746" s="63"/>
      <c r="L746" s="43"/>
    </row>
    <row r="747" ht="22.5" customHeight="1">
      <c r="A747" s="9"/>
      <c r="B747" s="27" t="s">
        <v>1857</v>
      </c>
      <c r="C747" s="34"/>
      <c r="D747" s="28">
        <v>7.330766774E9</v>
      </c>
      <c r="E747" s="68"/>
      <c r="F747" s="34"/>
      <c r="G747" s="69" t="s">
        <v>1727</v>
      </c>
      <c r="H747" s="9" t="s">
        <v>1728</v>
      </c>
      <c r="I747" s="70" t="s">
        <v>1729</v>
      </c>
      <c r="J747" s="43"/>
      <c r="K747" s="63"/>
      <c r="L747" s="43"/>
    </row>
    <row r="748" ht="22.5" customHeight="1">
      <c r="A748" s="9"/>
      <c r="B748" s="27" t="s">
        <v>1858</v>
      </c>
      <c r="C748" s="34"/>
      <c r="D748" s="28">
        <v>8.185897269E9</v>
      </c>
      <c r="E748" s="68"/>
      <c r="F748" s="34"/>
      <c r="G748" s="69" t="s">
        <v>1727</v>
      </c>
      <c r="H748" s="9" t="s">
        <v>1728</v>
      </c>
      <c r="I748" s="70" t="s">
        <v>1729</v>
      </c>
      <c r="J748" s="43"/>
      <c r="K748" s="63"/>
      <c r="L748" s="43"/>
    </row>
    <row r="749" ht="22.5" customHeight="1">
      <c r="A749" s="9"/>
      <c r="B749" s="27" t="s">
        <v>1859</v>
      </c>
      <c r="C749" s="34"/>
      <c r="D749" s="28">
        <v>9.866115723E9</v>
      </c>
      <c r="E749" s="68"/>
      <c r="F749" s="34"/>
      <c r="G749" s="69" t="s">
        <v>1727</v>
      </c>
      <c r="H749" s="9" t="s">
        <v>1728</v>
      </c>
      <c r="I749" s="70" t="s">
        <v>1731</v>
      </c>
      <c r="J749" s="43"/>
      <c r="K749" s="63"/>
      <c r="L749" s="43"/>
    </row>
    <row r="750" ht="22.5" customHeight="1">
      <c r="A750" s="9"/>
      <c r="B750" s="27" t="s">
        <v>1860</v>
      </c>
      <c r="C750" s="34"/>
      <c r="D750" s="28">
        <v>9.346955332E9</v>
      </c>
      <c r="E750" s="68"/>
      <c r="F750" s="34"/>
      <c r="G750" s="69" t="s">
        <v>1727</v>
      </c>
      <c r="H750" s="9" t="s">
        <v>1728</v>
      </c>
      <c r="I750" s="70" t="s">
        <v>1729</v>
      </c>
      <c r="J750" s="43"/>
      <c r="K750" s="63"/>
      <c r="L750" s="43"/>
    </row>
    <row r="751" ht="22.5" customHeight="1">
      <c r="A751" s="9"/>
      <c r="B751" s="27" t="s">
        <v>1861</v>
      </c>
      <c r="C751" s="34"/>
      <c r="D751" s="28">
        <v>8.52205041E9</v>
      </c>
      <c r="E751" s="68"/>
      <c r="F751" s="34"/>
      <c r="G751" s="69" t="s">
        <v>1727</v>
      </c>
      <c r="H751" s="9" t="s">
        <v>1728</v>
      </c>
      <c r="I751" s="70" t="s">
        <v>1729</v>
      </c>
      <c r="J751" s="43"/>
      <c r="K751" s="63"/>
      <c r="L751" s="43"/>
    </row>
    <row r="752" ht="22.5" customHeight="1">
      <c r="A752" s="9"/>
      <c r="B752" s="27" t="s">
        <v>1862</v>
      </c>
      <c r="C752" s="34"/>
      <c r="D752" s="28">
        <v>9.866599759E9</v>
      </c>
      <c r="E752" s="68"/>
      <c r="F752" s="34"/>
      <c r="G752" s="69" t="s">
        <v>1727</v>
      </c>
      <c r="H752" s="9" t="s">
        <v>1728</v>
      </c>
      <c r="I752" s="70" t="s">
        <v>1729</v>
      </c>
      <c r="J752" s="43"/>
      <c r="K752" s="63"/>
      <c r="L752" s="43"/>
    </row>
    <row r="753" ht="22.5" customHeight="1">
      <c r="A753" s="9"/>
      <c r="B753" s="27" t="s">
        <v>1863</v>
      </c>
      <c r="C753" s="34"/>
      <c r="D753" s="28">
        <v>9.030362404E9</v>
      </c>
      <c r="E753" s="68"/>
      <c r="F753" s="34"/>
      <c r="G753" s="69" t="s">
        <v>1727</v>
      </c>
      <c r="H753" s="9" t="s">
        <v>1728</v>
      </c>
      <c r="I753" s="70" t="s">
        <v>1729</v>
      </c>
      <c r="J753" s="43"/>
      <c r="K753" s="63"/>
      <c r="L753" s="43"/>
    </row>
    <row r="754" ht="22.5" customHeight="1">
      <c r="A754" s="9"/>
      <c r="B754" s="27" t="s">
        <v>1864</v>
      </c>
      <c r="C754" s="34"/>
      <c r="D754" s="28">
        <v>9.985778783E9</v>
      </c>
      <c r="E754" s="68"/>
      <c r="F754" s="34"/>
      <c r="G754" s="69" t="s">
        <v>1727</v>
      </c>
      <c r="H754" s="9" t="s">
        <v>1728</v>
      </c>
      <c r="I754" s="70" t="s">
        <v>1729</v>
      </c>
      <c r="J754" s="43"/>
      <c r="K754" s="63"/>
      <c r="L754" s="43"/>
    </row>
    <row r="755" ht="22.5" customHeight="1">
      <c r="A755" s="9"/>
      <c r="B755" s="27" t="s">
        <v>1865</v>
      </c>
      <c r="C755" s="34"/>
      <c r="D755" s="28">
        <v>9.490070555E9</v>
      </c>
      <c r="E755" s="68"/>
      <c r="F755" s="34"/>
      <c r="G755" s="69" t="s">
        <v>1727</v>
      </c>
      <c r="H755" s="9" t="s">
        <v>1728</v>
      </c>
      <c r="I755" s="70" t="s">
        <v>1729</v>
      </c>
      <c r="J755" s="43"/>
      <c r="K755" s="63"/>
      <c r="L755" s="43"/>
    </row>
    <row r="756" ht="22.5" customHeight="1">
      <c r="A756" s="9"/>
      <c r="B756" s="27" t="s">
        <v>1866</v>
      </c>
      <c r="C756" s="34"/>
      <c r="D756" s="28">
        <v>7.416431669E9</v>
      </c>
      <c r="E756" s="68"/>
      <c r="F756" s="34"/>
      <c r="G756" s="69" t="s">
        <v>1727</v>
      </c>
      <c r="H756" s="9" t="s">
        <v>1728</v>
      </c>
      <c r="I756" s="70" t="s">
        <v>1731</v>
      </c>
      <c r="J756" s="43"/>
      <c r="K756" s="63"/>
      <c r="L756" s="43"/>
    </row>
    <row r="757" ht="22.5" customHeight="1">
      <c r="A757" s="9"/>
      <c r="B757" s="27" t="s">
        <v>1867</v>
      </c>
      <c r="C757" s="34"/>
      <c r="D757" s="28">
        <v>7.498318141E9</v>
      </c>
      <c r="E757" s="68"/>
      <c r="F757" s="34"/>
      <c r="G757" s="69" t="s">
        <v>1727</v>
      </c>
      <c r="H757" s="9" t="s">
        <v>1728</v>
      </c>
      <c r="I757" s="70" t="s">
        <v>1731</v>
      </c>
      <c r="J757" s="43"/>
      <c r="K757" s="63"/>
      <c r="L757" s="43"/>
    </row>
    <row r="758" ht="22.5" customHeight="1">
      <c r="A758" s="9"/>
      <c r="B758" s="27" t="s">
        <v>1868</v>
      </c>
      <c r="C758" s="34"/>
      <c r="D758" s="28">
        <v>7.780335284E9</v>
      </c>
      <c r="E758" s="68"/>
      <c r="F758" s="34"/>
      <c r="G758" s="69" t="s">
        <v>1727</v>
      </c>
      <c r="H758" s="9" t="s">
        <v>1728</v>
      </c>
      <c r="I758" s="70" t="s">
        <v>1729</v>
      </c>
      <c r="J758" s="43"/>
      <c r="K758" s="63"/>
      <c r="L758" s="43"/>
    </row>
    <row r="759" ht="22.5" customHeight="1">
      <c r="A759" s="9"/>
      <c r="B759" s="27" t="s">
        <v>1869</v>
      </c>
      <c r="C759" s="34"/>
      <c r="D759" s="28">
        <v>9.849621168E9</v>
      </c>
      <c r="E759" s="68"/>
      <c r="F759" s="34"/>
      <c r="G759" s="69" t="s">
        <v>1727</v>
      </c>
      <c r="H759" s="9" t="s">
        <v>1728</v>
      </c>
      <c r="I759" s="70" t="s">
        <v>1729</v>
      </c>
      <c r="J759" s="43"/>
      <c r="K759" s="63"/>
      <c r="L759" s="43"/>
    </row>
    <row r="760" ht="22.5" customHeight="1">
      <c r="A760" s="9"/>
      <c r="B760" s="27" t="s">
        <v>1870</v>
      </c>
      <c r="C760" s="34"/>
      <c r="D760" s="28">
        <v>9.985013234E9</v>
      </c>
      <c r="E760" s="68"/>
      <c r="F760" s="34"/>
      <c r="G760" s="69" t="s">
        <v>1727</v>
      </c>
      <c r="H760" s="9" t="s">
        <v>1728</v>
      </c>
      <c r="I760" s="70" t="s">
        <v>1729</v>
      </c>
      <c r="J760" s="43"/>
      <c r="K760" s="63"/>
      <c r="L760" s="43"/>
    </row>
    <row r="761" ht="22.5" customHeight="1">
      <c r="A761" s="9"/>
      <c r="B761" s="27" t="s">
        <v>1871</v>
      </c>
      <c r="C761" s="34"/>
      <c r="D761" s="28">
        <v>9.701343068E9</v>
      </c>
      <c r="E761" s="68"/>
      <c r="F761" s="34"/>
      <c r="G761" s="69" t="s">
        <v>1727</v>
      </c>
      <c r="H761" s="9" t="s">
        <v>1728</v>
      </c>
      <c r="I761" s="70" t="s">
        <v>1729</v>
      </c>
      <c r="J761" s="43"/>
      <c r="K761" s="63"/>
      <c r="L761" s="43"/>
    </row>
    <row r="762" ht="22.5" customHeight="1">
      <c r="A762" s="9"/>
      <c r="B762" s="27" t="s">
        <v>1872</v>
      </c>
      <c r="C762" s="34"/>
      <c r="D762" s="28">
        <v>8.977441288E9</v>
      </c>
      <c r="E762" s="68"/>
      <c r="F762" s="34"/>
      <c r="G762" s="69" t="s">
        <v>1727</v>
      </c>
      <c r="H762" s="9" t="s">
        <v>1728</v>
      </c>
      <c r="I762" s="70" t="s">
        <v>1731</v>
      </c>
      <c r="J762" s="43"/>
      <c r="K762" s="63"/>
      <c r="L762" s="43"/>
    </row>
    <row r="763" ht="22.5" customHeight="1">
      <c r="A763" s="9"/>
      <c r="B763" s="27" t="s">
        <v>1873</v>
      </c>
      <c r="C763" s="34"/>
      <c r="D763" s="28">
        <v>7.416687523E9</v>
      </c>
      <c r="E763" s="68"/>
      <c r="F763" s="34"/>
      <c r="G763" s="69" t="s">
        <v>1727</v>
      </c>
      <c r="H763" s="9" t="s">
        <v>1728</v>
      </c>
      <c r="I763" s="70" t="s">
        <v>1729</v>
      </c>
      <c r="J763" s="43"/>
      <c r="K763" s="63"/>
      <c r="L763" s="43"/>
    </row>
    <row r="764" ht="22.5" customHeight="1">
      <c r="A764" s="9"/>
      <c r="B764" s="27" t="s">
        <v>1874</v>
      </c>
      <c r="C764" s="34"/>
      <c r="D764" s="28">
        <v>8.886517274E9</v>
      </c>
      <c r="E764" s="68"/>
      <c r="F764" s="34"/>
      <c r="G764" s="69" t="s">
        <v>1727</v>
      </c>
      <c r="H764" s="9" t="s">
        <v>1728</v>
      </c>
      <c r="I764" s="70" t="s">
        <v>1729</v>
      </c>
      <c r="J764" s="43"/>
      <c r="K764" s="63"/>
      <c r="L764" s="43"/>
    </row>
    <row r="765" ht="22.5" customHeight="1">
      <c r="A765" s="9"/>
      <c r="B765" s="27" t="s">
        <v>1875</v>
      </c>
      <c r="C765" s="34"/>
      <c r="D765" s="28">
        <v>9.032557395E9</v>
      </c>
      <c r="E765" s="68"/>
      <c r="F765" s="34"/>
      <c r="G765" s="69" t="s">
        <v>1727</v>
      </c>
      <c r="H765" s="9" t="s">
        <v>1728</v>
      </c>
      <c r="I765" s="70" t="s">
        <v>1729</v>
      </c>
      <c r="J765" s="43"/>
      <c r="K765" s="63"/>
      <c r="L765" s="43"/>
    </row>
    <row r="766" ht="22.5" customHeight="1">
      <c r="A766" s="9"/>
      <c r="B766" s="27" t="s">
        <v>1876</v>
      </c>
      <c r="C766" s="34"/>
      <c r="D766" s="28">
        <v>9.7049101E9</v>
      </c>
      <c r="E766" s="68"/>
      <c r="F766" s="34"/>
      <c r="G766" s="69" t="s">
        <v>1727</v>
      </c>
      <c r="H766" s="9" t="s">
        <v>1728</v>
      </c>
      <c r="I766" s="70" t="s">
        <v>1729</v>
      </c>
      <c r="J766" s="43"/>
      <c r="K766" s="63"/>
      <c r="L766" s="43"/>
    </row>
    <row r="767" ht="22.5" customHeight="1">
      <c r="A767" s="9"/>
      <c r="B767" s="27" t="s">
        <v>1877</v>
      </c>
      <c r="C767" s="34"/>
      <c r="D767" s="28">
        <v>7.022550502E9</v>
      </c>
      <c r="E767" s="68"/>
      <c r="F767" s="34"/>
      <c r="G767" s="69" t="s">
        <v>1727</v>
      </c>
      <c r="H767" s="9" t="s">
        <v>1728</v>
      </c>
      <c r="I767" s="70" t="s">
        <v>1729</v>
      </c>
      <c r="J767" s="43"/>
      <c r="K767" s="63"/>
      <c r="L767" s="43"/>
    </row>
    <row r="768" ht="22.5" customHeight="1">
      <c r="A768" s="9"/>
      <c r="B768" s="27" t="s">
        <v>1878</v>
      </c>
      <c r="C768" s="34"/>
      <c r="D768" s="28">
        <v>7.981476048E9</v>
      </c>
      <c r="E768" s="68"/>
      <c r="F768" s="34"/>
      <c r="G768" s="69" t="s">
        <v>1727</v>
      </c>
      <c r="H768" s="9" t="s">
        <v>1728</v>
      </c>
      <c r="I768" s="70" t="s">
        <v>1729</v>
      </c>
      <c r="J768" s="43"/>
      <c r="K768" s="63"/>
      <c r="L768" s="43"/>
    </row>
    <row r="769" ht="22.5" customHeight="1">
      <c r="A769" s="9"/>
      <c r="B769" s="27" t="s">
        <v>1879</v>
      </c>
      <c r="C769" s="34"/>
      <c r="D769" s="28">
        <v>6.305001336E9</v>
      </c>
      <c r="E769" s="68"/>
      <c r="F769" s="34"/>
      <c r="G769" s="69" t="s">
        <v>1727</v>
      </c>
      <c r="H769" s="9" t="s">
        <v>1728</v>
      </c>
      <c r="I769" s="70" t="s">
        <v>1731</v>
      </c>
      <c r="J769" s="43"/>
      <c r="K769" s="63"/>
      <c r="L769" s="43"/>
    </row>
    <row r="770" ht="22.5" customHeight="1">
      <c r="A770" s="9"/>
      <c r="B770" s="27" t="s">
        <v>1880</v>
      </c>
      <c r="C770" s="34"/>
      <c r="D770" s="28">
        <v>9.01033331E9</v>
      </c>
      <c r="E770" s="68"/>
      <c r="F770" s="34"/>
      <c r="G770" s="69" t="s">
        <v>1727</v>
      </c>
      <c r="H770" s="9" t="s">
        <v>1728</v>
      </c>
      <c r="I770" s="70" t="s">
        <v>1729</v>
      </c>
      <c r="J770" s="43"/>
      <c r="K770" s="63"/>
      <c r="L770" s="43"/>
    </row>
    <row r="771" ht="22.5" customHeight="1">
      <c r="A771" s="9"/>
      <c r="B771" s="27" t="s">
        <v>1881</v>
      </c>
      <c r="C771" s="34"/>
      <c r="D771" s="28">
        <v>9.948072578E9</v>
      </c>
      <c r="E771" s="68"/>
      <c r="F771" s="34"/>
      <c r="G771" s="69" t="s">
        <v>1727</v>
      </c>
      <c r="H771" s="9" t="s">
        <v>1728</v>
      </c>
      <c r="I771" s="70" t="s">
        <v>1729</v>
      </c>
      <c r="J771" s="43"/>
      <c r="K771" s="63"/>
      <c r="L771" s="43"/>
    </row>
    <row r="772" ht="22.5" customHeight="1">
      <c r="A772" s="9"/>
      <c r="B772" s="27" t="s">
        <v>1882</v>
      </c>
      <c r="C772" s="34"/>
      <c r="D772" s="28">
        <v>9.849390114E9</v>
      </c>
      <c r="E772" s="68"/>
      <c r="F772" s="34"/>
      <c r="G772" s="69" t="s">
        <v>1727</v>
      </c>
      <c r="H772" s="9" t="s">
        <v>1728</v>
      </c>
      <c r="I772" s="70" t="s">
        <v>1731</v>
      </c>
      <c r="J772" s="43"/>
      <c r="K772" s="63"/>
      <c r="L772" s="43"/>
    </row>
    <row r="773" ht="22.5" customHeight="1">
      <c r="A773" s="9"/>
      <c r="B773" s="27" t="s">
        <v>1883</v>
      </c>
      <c r="C773" s="34"/>
      <c r="D773" s="28">
        <v>9.010623681E9</v>
      </c>
      <c r="E773" s="68"/>
      <c r="F773" s="34"/>
      <c r="G773" s="69" t="s">
        <v>1727</v>
      </c>
      <c r="H773" s="9" t="s">
        <v>1728</v>
      </c>
      <c r="I773" s="70" t="s">
        <v>1729</v>
      </c>
      <c r="J773" s="43"/>
      <c r="K773" s="63"/>
      <c r="L773" s="43"/>
    </row>
    <row r="774" ht="22.5" customHeight="1">
      <c r="A774" s="9"/>
      <c r="B774" s="27" t="s">
        <v>1884</v>
      </c>
      <c r="C774" s="34"/>
      <c r="D774" s="28">
        <v>8.886500614E9</v>
      </c>
      <c r="E774" s="68"/>
      <c r="F774" s="34"/>
      <c r="G774" s="69" t="s">
        <v>1727</v>
      </c>
      <c r="H774" s="9" t="s">
        <v>1728</v>
      </c>
      <c r="I774" s="70" t="s">
        <v>1729</v>
      </c>
      <c r="J774" s="43"/>
      <c r="K774" s="63"/>
      <c r="L774" s="43"/>
    </row>
    <row r="775" ht="22.5" customHeight="1">
      <c r="A775" s="9"/>
      <c r="B775" s="27" t="s">
        <v>1885</v>
      </c>
      <c r="C775" s="34"/>
      <c r="D775" s="28">
        <v>9.849324977E9</v>
      </c>
      <c r="E775" s="68"/>
      <c r="F775" s="34"/>
      <c r="G775" s="69" t="s">
        <v>1727</v>
      </c>
      <c r="H775" s="9" t="s">
        <v>1728</v>
      </c>
      <c r="I775" s="70" t="s">
        <v>1729</v>
      </c>
      <c r="J775" s="43"/>
      <c r="K775" s="63"/>
      <c r="L775" s="43"/>
    </row>
    <row r="776" ht="22.5" customHeight="1">
      <c r="A776" s="9"/>
      <c r="B776" s="27" t="s">
        <v>1886</v>
      </c>
      <c r="C776" s="34"/>
      <c r="D776" s="28">
        <v>9.848573794E9</v>
      </c>
      <c r="E776" s="68"/>
      <c r="F776" s="34"/>
      <c r="G776" s="69" t="s">
        <v>1727</v>
      </c>
      <c r="H776" s="9" t="s">
        <v>1728</v>
      </c>
      <c r="I776" s="70" t="s">
        <v>1729</v>
      </c>
      <c r="J776" s="43"/>
      <c r="K776" s="63"/>
      <c r="L776" s="43"/>
    </row>
    <row r="777" ht="22.5" customHeight="1">
      <c r="A777" s="9"/>
      <c r="B777" s="27" t="s">
        <v>1887</v>
      </c>
      <c r="C777" s="34"/>
      <c r="D777" s="28">
        <v>9.676351494E9</v>
      </c>
      <c r="E777" s="68"/>
      <c r="F777" s="34"/>
      <c r="G777" s="69" t="s">
        <v>1727</v>
      </c>
      <c r="H777" s="9" t="s">
        <v>1728</v>
      </c>
      <c r="I777" s="70" t="s">
        <v>1729</v>
      </c>
      <c r="J777" s="43"/>
      <c r="K777" s="63"/>
      <c r="L777" s="43"/>
    </row>
    <row r="778" ht="22.5" customHeight="1">
      <c r="A778" s="9"/>
      <c r="B778" s="27" t="s">
        <v>1888</v>
      </c>
      <c r="C778" s="34"/>
      <c r="D778" s="28">
        <v>9.029635842E9</v>
      </c>
      <c r="E778" s="68"/>
      <c r="F778" s="34"/>
      <c r="G778" s="69" t="s">
        <v>1727</v>
      </c>
      <c r="H778" s="9" t="s">
        <v>1728</v>
      </c>
      <c r="I778" s="70" t="s">
        <v>1731</v>
      </c>
      <c r="J778" s="43"/>
      <c r="K778" s="63"/>
      <c r="L778" s="43"/>
    </row>
    <row r="779" ht="22.5" customHeight="1">
      <c r="A779" s="9"/>
      <c r="B779" s="27" t="s">
        <v>1889</v>
      </c>
      <c r="C779" s="34"/>
      <c r="D779" s="28">
        <v>9.989843376E9</v>
      </c>
      <c r="E779" s="68"/>
      <c r="F779" s="34"/>
      <c r="G779" s="69" t="s">
        <v>1727</v>
      </c>
      <c r="H779" s="9" t="s">
        <v>1728</v>
      </c>
      <c r="I779" s="70" t="s">
        <v>1731</v>
      </c>
      <c r="J779" s="43"/>
      <c r="K779" s="63"/>
      <c r="L779" s="43"/>
    </row>
    <row r="780" ht="22.5" customHeight="1">
      <c r="A780" s="9"/>
      <c r="B780" s="27" t="s">
        <v>1890</v>
      </c>
      <c r="C780" s="34"/>
      <c r="D780" s="28">
        <v>6.30239715E9</v>
      </c>
      <c r="E780" s="68"/>
      <c r="F780" s="34"/>
      <c r="G780" s="69" t="s">
        <v>1727</v>
      </c>
      <c r="H780" s="9" t="s">
        <v>1728</v>
      </c>
      <c r="I780" s="70" t="s">
        <v>1731</v>
      </c>
      <c r="J780" s="43"/>
      <c r="K780" s="63"/>
      <c r="L780" s="43"/>
    </row>
    <row r="781" ht="22.5" customHeight="1">
      <c r="A781" s="9"/>
      <c r="B781" s="27" t="s">
        <v>1891</v>
      </c>
      <c r="C781" s="34"/>
      <c r="D781" s="28">
        <v>8.939765851E9</v>
      </c>
      <c r="E781" s="68"/>
      <c r="F781" s="34"/>
      <c r="G781" s="69" t="s">
        <v>1727</v>
      </c>
      <c r="H781" s="9" t="s">
        <v>1728</v>
      </c>
      <c r="I781" s="70" t="s">
        <v>1729</v>
      </c>
      <c r="J781" s="43"/>
      <c r="K781" s="63"/>
      <c r="L781" s="43"/>
    </row>
    <row r="782" ht="22.5" customHeight="1">
      <c r="A782" s="9"/>
      <c r="B782" s="27" t="s">
        <v>1892</v>
      </c>
      <c r="C782" s="34"/>
      <c r="D782" s="28">
        <v>9.985252598E9</v>
      </c>
      <c r="E782" s="68"/>
      <c r="F782" s="34"/>
      <c r="G782" s="69" t="s">
        <v>1727</v>
      </c>
      <c r="H782" s="9" t="s">
        <v>1728</v>
      </c>
      <c r="I782" s="70" t="s">
        <v>1729</v>
      </c>
      <c r="J782" s="43"/>
      <c r="K782" s="63"/>
      <c r="L782" s="43"/>
    </row>
    <row r="783" ht="22.5" customHeight="1">
      <c r="A783" s="9"/>
      <c r="B783" s="27" t="s">
        <v>1893</v>
      </c>
      <c r="C783" s="34"/>
      <c r="D783" s="28">
        <v>8.686585289E9</v>
      </c>
      <c r="E783" s="68"/>
      <c r="F783" s="34"/>
      <c r="G783" s="69" t="s">
        <v>1727</v>
      </c>
      <c r="H783" s="9" t="s">
        <v>1728</v>
      </c>
      <c r="I783" s="70" t="s">
        <v>1729</v>
      </c>
      <c r="J783" s="43"/>
      <c r="K783" s="63"/>
      <c r="L783" s="43"/>
    </row>
    <row r="784" ht="22.5" customHeight="1">
      <c r="A784" s="9"/>
      <c r="B784" s="27" t="s">
        <v>1894</v>
      </c>
      <c r="C784" s="34"/>
      <c r="D784" s="28">
        <v>6.305109688E9</v>
      </c>
      <c r="E784" s="68"/>
      <c r="F784" s="34"/>
      <c r="G784" s="69" t="s">
        <v>1727</v>
      </c>
      <c r="H784" s="9" t="s">
        <v>1728</v>
      </c>
      <c r="I784" s="70" t="s">
        <v>1729</v>
      </c>
      <c r="J784" s="43"/>
      <c r="K784" s="63"/>
      <c r="L784" s="43"/>
    </row>
    <row r="785" ht="22.5" customHeight="1">
      <c r="A785" s="9"/>
      <c r="B785" s="27" t="s">
        <v>1895</v>
      </c>
      <c r="C785" s="34"/>
      <c r="D785" s="28">
        <v>8.686165805E9</v>
      </c>
      <c r="E785" s="68"/>
      <c r="F785" s="34"/>
      <c r="G785" s="69" t="s">
        <v>1727</v>
      </c>
      <c r="H785" s="9" t="s">
        <v>1728</v>
      </c>
      <c r="I785" s="70" t="s">
        <v>1729</v>
      </c>
      <c r="J785" s="43"/>
      <c r="K785" s="63"/>
      <c r="L785" s="43"/>
    </row>
    <row r="786" ht="22.5" customHeight="1">
      <c r="A786" s="9"/>
      <c r="B786" s="27" t="s">
        <v>1896</v>
      </c>
      <c r="C786" s="34"/>
      <c r="D786" s="28">
        <v>7.989318442E9</v>
      </c>
      <c r="E786" s="68"/>
      <c r="F786" s="34"/>
      <c r="G786" s="69" t="s">
        <v>1727</v>
      </c>
      <c r="H786" s="9" t="s">
        <v>1728</v>
      </c>
      <c r="I786" s="70" t="s">
        <v>1729</v>
      </c>
      <c r="J786" s="43"/>
      <c r="K786" s="63"/>
      <c r="L786" s="43"/>
    </row>
    <row r="787" ht="22.5" customHeight="1">
      <c r="A787" s="9"/>
      <c r="B787" s="27" t="s">
        <v>1897</v>
      </c>
      <c r="C787" s="34"/>
      <c r="D787" s="28">
        <v>6.302792293E9</v>
      </c>
      <c r="E787" s="68"/>
      <c r="F787" s="34"/>
      <c r="G787" s="69" t="s">
        <v>1727</v>
      </c>
      <c r="H787" s="9" t="s">
        <v>1728</v>
      </c>
      <c r="I787" s="70" t="s">
        <v>1729</v>
      </c>
      <c r="J787" s="43"/>
      <c r="K787" s="63"/>
      <c r="L787" s="43"/>
    </row>
    <row r="788" ht="22.5" customHeight="1">
      <c r="A788" s="9"/>
      <c r="B788" s="27" t="s">
        <v>1898</v>
      </c>
      <c r="C788" s="34"/>
      <c r="D788" s="28">
        <v>9.502729483E9</v>
      </c>
      <c r="E788" s="68"/>
      <c r="F788" s="34"/>
      <c r="G788" s="69" t="s">
        <v>1727</v>
      </c>
      <c r="H788" s="9" t="s">
        <v>1728</v>
      </c>
      <c r="I788" s="70" t="s">
        <v>1731</v>
      </c>
      <c r="J788" s="43"/>
      <c r="K788" s="63"/>
      <c r="L788" s="43"/>
    </row>
    <row r="789" ht="22.5" customHeight="1">
      <c r="A789" s="9"/>
      <c r="B789" s="27" t="s">
        <v>1899</v>
      </c>
      <c r="C789" s="34"/>
      <c r="D789" s="28">
        <v>8.074477221E9</v>
      </c>
      <c r="E789" s="68"/>
      <c r="F789" s="34"/>
      <c r="G789" s="69" t="s">
        <v>1727</v>
      </c>
      <c r="H789" s="9" t="s">
        <v>1728</v>
      </c>
      <c r="I789" s="70" t="s">
        <v>1731</v>
      </c>
      <c r="J789" s="43"/>
      <c r="K789" s="63"/>
      <c r="L789" s="43"/>
    </row>
    <row r="790" ht="22.5" customHeight="1">
      <c r="A790" s="9"/>
      <c r="B790" s="27" t="s">
        <v>1900</v>
      </c>
      <c r="C790" s="34"/>
      <c r="D790" s="28">
        <v>9.121264383E9</v>
      </c>
      <c r="E790" s="68"/>
      <c r="F790" s="34"/>
      <c r="G790" s="69" t="s">
        <v>1727</v>
      </c>
      <c r="H790" s="9" t="s">
        <v>1728</v>
      </c>
      <c r="I790" s="70" t="s">
        <v>1729</v>
      </c>
      <c r="J790" s="43"/>
      <c r="K790" s="63"/>
      <c r="L790" s="43"/>
    </row>
    <row r="791" ht="22.5" customHeight="1">
      <c r="A791" s="9"/>
      <c r="B791" s="27" t="s">
        <v>1901</v>
      </c>
      <c r="C791" s="34"/>
      <c r="D791" s="28">
        <v>9.676090863E9</v>
      </c>
      <c r="E791" s="68"/>
      <c r="F791" s="34"/>
      <c r="G791" s="69" t="s">
        <v>1727</v>
      </c>
      <c r="H791" s="9" t="s">
        <v>1728</v>
      </c>
      <c r="I791" s="70" t="s">
        <v>1729</v>
      </c>
      <c r="J791" s="43"/>
      <c r="K791" s="63"/>
      <c r="L791" s="43"/>
    </row>
    <row r="792" ht="22.5" customHeight="1">
      <c r="A792" s="9"/>
      <c r="B792" s="27" t="s">
        <v>1902</v>
      </c>
      <c r="C792" s="34"/>
      <c r="D792" s="28">
        <v>9.493193837E9</v>
      </c>
      <c r="E792" s="68"/>
      <c r="F792" s="34"/>
      <c r="G792" s="69" t="s">
        <v>1727</v>
      </c>
      <c r="H792" s="9" t="s">
        <v>1728</v>
      </c>
      <c r="I792" s="70" t="s">
        <v>1729</v>
      </c>
      <c r="J792" s="43"/>
      <c r="K792" s="63"/>
      <c r="L792" s="43"/>
    </row>
    <row r="793" ht="22.5" customHeight="1">
      <c r="A793" s="9"/>
      <c r="B793" s="27" t="s">
        <v>1903</v>
      </c>
      <c r="C793" s="34"/>
      <c r="D793" s="28">
        <v>9.121045071E9</v>
      </c>
      <c r="E793" s="68"/>
      <c r="F793" s="34"/>
      <c r="G793" s="69" t="s">
        <v>1727</v>
      </c>
      <c r="H793" s="9" t="s">
        <v>1728</v>
      </c>
      <c r="I793" s="70" t="s">
        <v>1731</v>
      </c>
      <c r="J793" s="43"/>
      <c r="K793" s="63"/>
      <c r="L793" s="43"/>
    </row>
    <row r="794" ht="22.5" customHeight="1">
      <c r="A794" s="9"/>
      <c r="B794" s="27" t="s">
        <v>1904</v>
      </c>
      <c r="C794" s="34"/>
      <c r="D794" s="28">
        <v>6.302345256E9</v>
      </c>
      <c r="E794" s="68"/>
      <c r="F794" s="34"/>
      <c r="G794" s="69" t="s">
        <v>1727</v>
      </c>
      <c r="H794" s="9" t="s">
        <v>1728</v>
      </c>
      <c r="I794" s="70" t="s">
        <v>1729</v>
      </c>
      <c r="J794" s="43"/>
      <c r="K794" s="63"/>
      <c r="L794" s="43"/>
    </row>
    <row r="795" ht="22.5" customHeight="1">
      <c r="A795" s="9"/>
      <c r="B795" s="27" t="s">
        <v>1905</v>
      </c>
      <c r="C795" s="34"/>
      <c r="D795" s="28">
        <v>9.160612121E9</v>
      </c>
      <c r="E795" s="68"/>
      <c r="F795" s="34"/>
      <c r="G795" s="69" t="s">
        <v>1727</v>
      </c>
      <c r="H795" s="9" t="s">
        <v>1728</v>
      </c>
      <c r="I795" s="70" t="s">
        <v>1729</v>
      </c>
      <c r="J795" s="43"/>
      <c r="K795" s="63"/>
      <c r="L795" s="43"/>
    </row>
    <row r="796" ht="22.5" customHeight="1">
      <c r="A796" s="9"/>
      <c r="B796" s="27" t="s">
        <v>1906</v>
      </c>
      <c r="C796" s="34"/>
      <c r="D796" s="28">
        <v>9.581330692E9</v>
      </c>
      <c r="E796" s="68"/>
      <c r="F796" s="34"/>
      <c r="G796" s="69" t="s">
        <v>1727</v>
      </c>
      <c r="H796" s="9" t="s">
        <v>1728</v>
      </c>
      <c r="I796" s="70" t="s">
        <v>1729</v>
      </c>
      <c r="J796" s="43"/>
      <c r="K796" s="63"/>
      <c r="L796" s="43"/>
    </row>
    <row r="797" ht="22.5" customHeight="1">
      <c r="A797" s="9"/>
      <c r="B797" s="27" t="s">
        <v>1907</v>
      </c>
      <c r="C797" s="34"/>
      <c r="D797" s="28">
        <v>9.550270442E9</v>
      </c>
      <c r="E797" s="68"/>
      <c r="F797" s="34"/>
      <c r="G797" s="69" t="s">
        <v>1727</v>
      </c>
      <c r="H797" s="9" t="s">
        <v>1728</v>
      </c>
      <c r="I797" s="70" t="s">
        <v>1729</v>
      </c>
      <c r="J797" s="43"/>
      <c r="K797" s="63"/>
      <c r="L797" s="43"/>
    </row>
    <row r="798" ht="22.5" customHeight="1">
      <c r="A798" s="9"/>
      <c r="B798" s="27" t="s">
        <v>1908</v>
      </c>
      <c r="C798" s="34"/>
      <c r="D798" s="28">
        <v>9.100467405E9</v>
      </c>
      <c r="E798" s="68"/>
      <c r="F798" s="34"/>
      <c r="G798" s="69" t="s">
        <v>1727</v>
      </c>
      <c r="H798" s="9" t="s">
        <v>1728</v>
      </c>
      <c r="I798" s="70" t="s">
        <v>1729</v>
      </c>
      <c r="J798" s="43"/>
      <c r="K798" s="63"/>
      <c r="L798" s="43"/>
    </row>
    <row r="799" ht="22.5" customHeight="1">
      <c r="A799" s="9"/>
      <c r="B799" s="27" t="s">
        <v>1909</v>
      </c>
      <c r="C799" s="34"/>
      <c r="D799" s="28">
        <v>8.074256989E9</v>
      </c>
      <c r="E799" s="68"/>
      <c r="F799" s="34"/>
      <c r="G799" s="69" t="s">
        <v>1727</v>
      </c>
      <c r="H799" s="9" t="s">
        <v>1728</v>
      </c>
      <c r="I799" s="70" t="s">
        <v>1729</v>
      </c>
      <c r="J799" s="43"/>
      <c r="K799" s="63"/>
      <c r="L799" s="43"/>
    </row>
    <row r="800" ht="22.5" customHeight="1">
      <c r="A800" s="9"/>
      <c r="B800" s="27" t="s">
        <v>1910</v>
      </c>
      <c r="C800" s="34"/>
      <c r="D800" s="28">
        <v>9.00037093E9</v>
      </c>
      <c r="E800" s="68"/>
      <c r="F800" s="34"/>
      <c r="G800" s="69" t="s">
        <v>1727</v>
      </c>
      <c r="H800" s="9" t="s">
        <v>1728</v>
      </c>
      <c r="I800" s="70" t="s">
        <v>1729</v>
      </c>
      <c r="J800" s="43"/>
      <c r="K800" s="63"/>
      <c r="L800" s="43"/>
    </row>
    <row r="801" ht="22.5" customHeight="1">
      <c r="A801" s="9"/>
      <c r="B801" s="27" t="s">
        <v>1911</v>
      </c>
      <c r="C801" s="34"/>
      <c r="D801" s="28">
        <v>9.949182892E9</v>
      </c>
      <c r="E801" s="68"/>
      <c r="F801" s="34"/>
      <c r="G801" s="69" t="s">
        <v>1727</v>
      </c>
      <c r="H801" s="9" t="s">
        <v>1728</v>
      </c>
      <c r="I801" s="70" t="s">
        <v>1729</v>
      </c>
      <c r="J801" s="43"/>
      <c r="K801" s="63"/>
      <c r="L801" s="43"/>
    </row>
    <row r="802" ht="22.5" customHeight="1">
      <c r="A802" s="9"/>
      <c r="B802" s="27" t="s">
        <v>1912</v>
      </c>
      <c r="C802" s="34"/>
      <c r="D802" s="28">
        <v>9.440755006E9</v>
      </c>
      <c r="E802" s="68"/>
      <c r="F802" s="34"/>
      <c r="G802" s="69" t="s">
        <v>1727</v>
      </c>
      <c r="H802" s="9" t="s">
        <v>1728</v>
      </c>
      <c r="I802" s="70" t="s">
        <v>1729</v>
      </c>
      <c r="J802" s="43"/>
      <c r="K802" s="63"/>
      <c r="L802" s="43"/>
    </row>
    <row r="803" ht="22.5" customHeight="1">
      <c r="A803" s="9"/>
      <c r="B803" s="27" t="s">
        <v>1913</v>
      </c>
      <c r="C803" s="34"/>
      <c r="D803" s="28">
        <v>9.392869762E9</v>
      </c>
      <c r="E803" s="68"/>
      <c r="F803" s="34"/>
      <c r="G803" s="69" t="s">
        <v>1727</v>
      </c>
      <c r="H803" s="9" t="s">
        <v>1728</v>
      </c>
      <c r="I803" s="70" t="s">
        <v>1729</v>
      </c>
      <c r="J803" s="43"/>
      <c r="K803" s="63"/>
      <c r="L803" s="43"/>
    </row>
    <row r="804" ht="22.5" customHeight="1">
      <c r="A804" s="9"/>
      <c r="B804" s="27" t="s">
        <v>1914</v>
      </c>
      <c r="C804" s="34"/>
      <c r="D804" s="28">
        <v>7.032256141E9</v>
      </c>
      <c r="E804" s="68"/>
      <c r="F804" s="34"/>
      <c r="G804" s="69" t="s">
        <v>1727</v>
      </c>
      <c r="H804" s="9" t="s">
        <v>1728</v>
      </c>
      <c r="I804" s="70" t="s">
        <v>1729</v>
      </c>
      <c r="J804" s="43"/>
      <c r="K804" s="63"/>
      <c r="L804" s="43"/>
    </row>
    <row r="805" ht="22.5" customHeight="1">
      <c r="A805" s="9"/>
      <c r="B805" s="27" t="s">
        <v>1915</v>
      </c>
      <c r="C805" s="34"/>
      <c r="D805" s="28">
        <v>9.95123546E9</v>
      </c>
      <c r="E805" s="68"/>
      <c r="F805" s="34"/>
      <c r="G805" s="69" t="s">
        <v>1727</v>
      </c>
      <c r="H805" s="9" t="s">
        <v>1728</v>
      </c>
      <c r="I805" s="70" t="s">
        <v>1729</v>
      </c>
      <c r="J805" s="43"/>
      <c r="K805" s="63"/>
      <c r="L805" s="43"/>
    </row>
    <row r="806" ht="22.5" customHeight="1">
      <c r="A806" s="9"/>
      <c r="B806" s="27" t="s">
        <v>1916</v>
      </c>
      <c r="C806" s="34"/>
      <c r="D806" s="28">
        <v>9.84958986E9</v>
      </c>
      <c r="E806" s="68"/>
      <c r="F806" s="34"/>
      <c r="G806" s="69" t="s">
        <v>1727</v>
      </c>
      <c r="H806" s="9" t="s">
        <v>1728</v>
      </c>
      <c r="I806" s="70" t="s">
        <v>1729</v>
      </c>
      <c r="J806" s="43"/>
      <c r="K806" s="63"/>
      <c r="L806" s="43"/>
    </row>
    <row r="807" ht="22.5" customHeight="1">
      <c r="A807" s="9"/>
      <c r="B807" s="27" t="s">
        <v>1917</v>
      </c>
      <c r="C807" s="34"/>
      <c r="D807" s="28">
        <v>9.699857763E9</v>
      </c>
      <c r="E807" s="68"/>
      <c r="F807" s="34"/>
      <c r="G807" s="69" t="s">
        <v>1727</v>
      </c>
      <c r="H807" s="9" t="s">
        <v>1728</v>
      </c>
      <c r="I807" s="70" t="s">
        <v>1729</v>
      </c>
      <c r="J807" s="43"/>
      <c r="K807" s="63"/>
      <c r="L807" s="43"/>
    </row>
    <row r="808" ht="22.5" customHeight="1">
      <c r="A808" s="9"/>
      <c r="B808" s="27" t="s">
        <v>1918</v>
      </c>
      <c r="C808" s="34"/>
      <c r="D808" s="28">
        <v>9.966918006E9</v>
      </c>
      <c r="E808" s="68"/>
      <c r="F808" s="34"/>
      <c r="G808" s="69" t="s">
        <v>1727</v>
      </c>
      <c r="H808" s="9" t="s">
        <v>1728</v>
      </c>
      <c r="I808" s="70" t="s">
        <v>1729</v>
      </c>
      <c r="J808" s="43"/>
      <c r="K808" s="63"/>
      <c r="L808" s="43"/>
    </row>
    <row r="809" ht="22.5" customHeight="1">
      <c r="A809" s="9"/>
      <c r="B809" s="27" t="s">
        <v>1919</v>
      </c>
      <c r="C809" s="34"/>
      <c r="D809" s="28">
        <v>8.008786429E9</v>
      </c>
      <c r="E809" s="68"/>
      <c r="F809" s="34"/>
      <c r="G809" s="69" t="s">
        <v>1727</v>
      </c>
      <c r="H809" s="9" t="s">
        <v>1728</v>
      </c>
      <c r="I809" s="70" t="s">
        <v>1729</v>
      </c>
      <c r="J809" s="43"/>
      <c r="K809" s="63"/>
      <c r="L809" s="43"/>
    </row>
    <row r="810" ht="22.5" customHeight="1">
      <c r="A810" s="9"/>
      <c r="B810" s="27" t="s">
        <v>1920</v>
      </c>
      <c r="C810" s="34"/>
      <c r="D810" s="28">
        <v>7.569495171E9</v>
      </c>
      <c r="E810" s="68"/>
      <c r="F810" s="34"/>
      <c r="G810" s="69" t="s">
        <v>1727</v>
      </c>
      <c r="H810" s="9" t="s">
        <v>1728</v>
      </c>
      <c r="I810" s="70" t="s">
        <v>1729</v>
      </c>
      <c r="J810" s="43"/>
      <c r="K810" s="63"/>
      <c r="L810" s="43"/>
    </row>
    <row r="811" ht="22.5" customHeight="1">
      <c r="A811" s="9"/>
      <c r="B811" s="27" t="s">
        <v>1921</v>
      </c>
      <c r="C811" s="34"/>
      <c r="D811" s="28">
        <v>8.978896363E9</v>
      </c>
      <c r="E811" s="68"/>
      <c r="F811" s="34"/>
      <c r="G811" s="69" t="s">
        <v>1727</v>
      </c>
      <c r="H811" s="9" t="s">
        <v>1728</v>
      </c>
      <c r="I811" s="70" t="s">
        <v>1731</v>
      </c>
      <c r="J811" s="43"/>
      <c r="K811" s="63"/>
      <c r="L811" s="43"/>
    </row>
    <row r="812" ht="22.5" customHeight="1">
      <c r="A812" s="9"/>
      <c r="B812" s="27" t="s">
        <v>1922</v>
      </c>
      <c r="C812" s="34"/>
      <c r="D812" s="28">
        <v>9.70420972E9</v>
      </c>
      <c r="E812" s="68"/>
      <c r="F812" s="34"/>
      <c r="G812" s="69" t="s">
        <v>1727</v>
      </c>
      <c r="H812" s="9" t="s">
        <v>1728</v>
      </c>
      <c r="I812" s="70" t="s">
        <v>1729</v>
      </c>
      <c r="J812" s="43"/>
      <c r="K812" s="63"/>
      <c r="L812" s="43"/>
    </row>
    <row r="813" ht="22.5" customHeight="1">
      <c r="A813" s="9"/>
      <c r="B813" s="27" t="s">
        <v>1923</v>
      </c>
      <c r="C813" s="34"/>
      <c r="D813" s="28">
        <v>7.359537521E9</v>
      </c>
      <c r="E813" s="68"/>
      <c r="F813" s="34"/>
      <c r="G813" s="69" t="s">
        <v>1727</v>
      </c>
      <c r="H813" s="9" t="s">
        <v>1728</v>
      </c>
      <c r="I813" s="70" t="s">
        <v>1729</v>
      </c>
      <c r="J813" s="43"/>
      <c r="K813" s="63"/>
      <c r="L813" s="43"/>
    </row>
    <row r="814" ht="22.5" customHeight="1">
      <c r="A814" s="9"/>
      <c r="B814" s="27" t="s">
        <v>1924</v>
      </c>
      <c r="C814" s="34"/>
      <c r="D814" s="28">
        <v>9.861910228E9</v>
      </c>
      <c r="E814" s="68"/>
      <c r="F814" s="34"/>
      <c r="G814" s="69" t="s">
        <v>1727</v>
      </c>
      <c r="H814" s="9" t="s">
        <v>1728</v>
      </c>
      <c r="I814" s="70" t="s">
        <v>1729</v>
      </c>
      <c r="J814" s="43"/>
      <c r="K814" s="63"/>
      <c r="L814" s="43"/>
    </row>
    <row r="815" ht="22.5" customHeight="1">
      <c r="A815" s="9"/>
      <c r="B815" s="27" t="s">
        <v>1925</v>
      </c>
      <c r="C815" s="34"/>
      <c r="D815" s="28">
        <v>8.527456999E9</v>
      </c>
      <c r="E815" s="68"/>
      <c r="F815" s="34"/>
      <c r="G815" s="69" t="s">
        <v>1727</v>
      </c>
      <c r="H815" s="9" t="s">
        <v>1728</v>
      </c>
      <c r="I815" s="70" t="s">
        <v>1729</v>
      </c>
      <c r="J815" s="43"/>
      <c r="K815" s="63"/>
      <c r="L815" s="43"/>
    </row>
    <row r="816" ht="22.5" customHeight="1">
      <c r="A816" s="9"/>
      <c r="B816" s="27" t="s">
        <v>1926</v>
      </c>
      <c r="C816" s="34"/>
      <c r="D816" s="28">
        <v>7.568092031E9</v>
      </c>
      <c r="E816" s="68"/>
      <c r="F816" s="34"/>
      <c r="G816" s="69" t="s">
        <v>1727</v>
      </c>
      <c r="H816" s="9" t="s">
        <v>1728</v>
      </c>
      <c r="I816" s="70" t="s">
        <v>1729</v>
      </c>
      <c r="J816" s="43"/>
      <c r="K816" s="63"/>
      <c r="L816" s="43"/>
    </row>
    <row r="817" ht="22.5" customHeight="1">
      <c r="A817" s="9"/>
      <c r="B817" s="27" t="s">
        <v>1927</v>
      </c>
      <c r="C817" s="34"/>
      <c r="D817" s="28">
        <v>9.8489144E9</v>
      </c>
      <c r="E817" s="68"/>
      <c r="F817" s="34"/>
      <c r="G817" s="69" t="s">
        <v>1727</v>
      </c>
      <c r="H817" s="9" t="s">
        <v>1728</v>
      </c>
      <c r="I817" s="70" t="s">
        <v>1729</v>
      </c>
      <c r="J817" s="43"/>
      <c r="K817" s="63"/>
      <c r="L817" s="43"/>
    </row>
    <row r="818" ht="22.5" customHeight="1">
      <c r="A818" s="9"/>
      <c r="B818" s="27" t="s">
        <v>1928</v>
      </c>
      <c r="C818" s="34"/>
      <c r="D818" s="28">
        <v>9.848056239E9</v>
      </c>
      <c r="E818" s="68"/>
      <c r="F818" s="34"/>
      <c r="G818" s="69" t="s">
        <v>1727</v>
      </c>
      <c r="H818" s="9" t="s">
        <v>1728</v>
      </c>
      <c r="I818" s="70" t="s">
        <v>1731</v>
      </c>
      <c r="J818" s="43"/>
      <c r="K818" s="63"/>
      <c r="L818" s="43"/>
    </row>
    <row r="819" ht="22.5" customHeight="1">
      <c r="A819" s="9"/>
      <c r="B819" s="27" t="s">
        <v>1929</v>
      </c>
      <c r="C819" s="34"/>
      <c r="D819" s="28">
        <v>9.603340645E9</v>
      </c>
      <c r="E819" s="68"/>
      <c r="F819" s="34"/>
      <c r="G819" s="69" t="s">
        <v>1727</v>
      </c>
      <c r="H819" s="9" t="s">
        <v>1728</v>
      </c>
      <c r="I819" s="70" t="s">
        <v>1731</v>
      </c>
      <c r="J819" s="43"/>
      <c r="K819" s="63"/>
      <c r="L819" s="43"/>
    </row>
    <row r="820" ht="22.5" customHeight="1">
      <c r="A820" s="71">
        <v>1.0</v>
      </c>
      <c r="B820" s="72" t="s">
        <v>1930</v>
      </c>
      <c r="C820" s="73"/>
      <c r="D820" s="71">
        <v>9.658945461E9</v>
      </c>
      <c r="E820" s="73"/>
      <c r="F820" s="73"/>
      <c r="G820" s="74" t="s">
        <v>1931</v>
      </c>
      <c r="H820" s="75" t="s">
        <v>1932</v>
      </c>
      <c r="I820" s="76" t="s">
        <v>1729</v>
      </c>
      <c r="J820" s="77"/>
      <c r="K820" s="78" t="s">
        <v>1933</v>
      </c>
      <c r="L820" s="79"/>
    </row>
    <row r="821" ht="22.5" customHeight="1">
      <c r="A821" s="80">
        <v>2.0</v>
      </c>
      <c r="B821" s="81" t="s">
        <v>1934</v>
      </c>
      <c r="C821" s="82"/>
      <c r="D821" s="80">
        <v>9.937298421E9</v>
      </c>
      <c r="E821" s="81" t="s">
        <v>11</v>
      </c>
      <c r="F821" s="82"/>
      <c r="G821" s="83" t="s">
        <v>1931</v>
      </c>
      <c r="H821" s="75" t="s">
        <v>1932</v>
      </c>
      <c r="I821" s="76" t="s">
        <v>1729</v>
      </c>
      <c r="J821" s="84"/>
      <c r="K821" s="78" t="s">
        <v>1933</v>
      </c>
      <c r="L821" s="79"/>
    </row>
    <row r="822" ht="22.5" customHeight="1">
      <c r="A822" s="71">
        <v>3.0</v>
      </c>
      <c r="B822" s="72" t="s">
        <v>1935</v>
      </c>
      <c r="C822" s="73"/>
      <c r="D822" s="71">
        <v>9.692712475E9</v>
      </c>
      <c r="E822" s="72" t="s">
        <v>11</v>
      </c>
      <c r="F822" s="73"/>
      <c r="G822" s="74" t="s">
        <v>1931</v>
      </c>
      <c r="H822" s="75" t="s">
        <v>1932</v>
      </c>
      <c r="I822" s="76" t="s">
        <v>1729</v>
      </c>
      <c r="J822" s="77"/>
      <c r="K822" s="78" t="s">
        <v>1933</v>
      </c>
      <c r="L822" s="79"/>
    </row>
    <row r="823" ht="22.5" customHeight="1">
      <c r="A823" s="80">
        <v>4.0</v>
      </c>
      <c r="B823" s="81" t="s">
        <v>1936</v>
      </c>
      <c r="C823" s="82"/>
      <c r="D823" s="80">
        <v>9.337194861E9</v>
      </c>
      <c r="E823" s="81" t="s">
        <v>11</v>
      </c>
      <c r="F823" s="82"/>
      <c r="G823" s="83" t="s">
        <v>1931</v>
      </c>
      <c r="H823" s="75" t="s">
        <v>1932</v>
      </c>
      <c r="I823" s="76" t="s">
        <v>1729</v>
      </c>
      <c r="J823" s="84"/>
      <c r="K823" s="78" t="s">
        <v>1933</v>
      </c>
      <c r="L823" s="79"/>
    </row>
    <row r="824" ht="22.5" customHeight="1">
      <c r="A824" s="71">
        <v>5.0</v>
      </c>
      <c r="B824" s="72" t="s">
        <v>1937</v>
      </c>
      <c r="C824" s="73"/>
      <c r="D824" s="71">
        <v>7.60802867E9</v>
      </c>
      <c r="E824" s="72" t="s">
        <v>11</v>
      </c>
      <c r="F824" s="73"/>
      <c r="G824" s="74" t="s">
        <v>1931</v>
      </c>
      <c r="H824" s="75" t="s">
        <v>1932</v>
      </c>
      <c r="I824" s="76" t="s">
        <v>1729</v>
      </c>
      <c r="J824" s="77"/>
      <c r="K824" s="78" t="s">
        <v>1933</v>
      </c>
      <c r="L824" s="79"/>
    </row>
    <row r="825" ht="22.5" customHeight="1">
      <c r="A825" s="80">
        <v>6.0</v>
      </c>
      <c r="B825" s="81" t="s">
        <v>1938</v>
      </c>
      <c r="C825" s="82"/>
      <c r="D825" s="80">
        <v>9.556084462E9</v>
      </c>
      <c r="E825" s="81" t="s">
        <v>11</v>
      </c>
      <c r="F825" s="82"/>
      <c r="G825" s="83" t="s">
        <v>1931</v>
      </c>
      <c r="H825" s="75" t="s">
        <v>1932</v>
      </c>
      <c r="I825" s="76" t="s">
        <v>1729</v>
      </c>
      <c r="J825" s="84"/>
      <c r="K825" s="78" t="s">
        <v>1933</v>
      </c>
      <c r="L825" s="79"/>
    </row>
    <row r="826" ht="22.5" customHeight="1">
      <c r="A826" s="71">
        <v>7.0</v>
      </c>
      <c r="B826" s="72" t="s">
        <v>1939</v>
      </c>
      <c r="C826" s="73"/>
      <c r="D826" s="71">
        <v>9.861941687E9</v>
      </c>
      <c r="E826" s="72" t="s">
        <v>11</v>
      </c>
      <c r="F826" s="73"/>
      <c r="G826" s="74" t="s">
        <v>1931</v>
      </c>
      <c r="H826" s="75" t="s">
        <v>1932</v>
      </c>
      <c r="I826" s="76" t="s">
        <v>1729</v>
      </c>
      <c r="J826" s="77"/>
      <c r="K826" s="78" t="s">
        <v>1933</v>
      </c>
      <c r="L826" s="79"/>
    </row>
    <row r="827" ht="22.5" customHeight="1">
      <c r="A827" s="80">
        <v>8.0</v>
      </c>
      <c r="B827" s="81" t="s">
        <v>1940</v>
      </c>
      <c r="C827" s="82"/>
      <c r="D827" s="80">
        <v>9.938121505E9</v>
      </c>
      <c r="E827" s="81" t="s">
        <v>11</v>
      </c>
      <c r="F827" s="82"/>
      <c r="G827" s="83" t="s">
        <v>1931</v>
      </c>
      <c r="H827" s="75" t="s">
        <v>1932</v>
      </c>
      <c r="I827" s="76" t="s">
        <v>1729</v>
      </c>
      <c r="J827" s="84"/>
      <c r="K827" s="78" t="s">
        <v>1933</v>
      </c>
      <c r="L827" s="79"/>
    </row>
    <row r="828" ht="22.5" customHeight="1">
      <c r="A828" s="71">
        <v>9.0</v>
      </c>
      <c r="B828" s="72" t="s">
        <v>1941</v>
      </c>
      <c r="C828" s="73"/>
      <c r="D828" s="71">
        <v>9.668458924E9</v>
      </c>
      <c r="E828" s="72" t="s">
        <v>11</v>
      </c>
      <c r="F828" s="73"/>
      <c r="G828" s="74" t="s">
        <v>1931</v>
      </c>
      <c r="H828" s="75" t="s">
        <v>1932</v>
      </c>
      <c r="I828" s="76" t="s">
        <v>1729</v>
      </c>
      <c r="J828" s="77"/>
      <c r="K828" s="78" t="s">
        <v>1933</v>
      </c>
      <c r="L828" s="79"/>
    </row>
    <row r="829" ht="22.5" customHeight="1">
      <c r="A829" s="80">
        <v>10.0</v>
      </c>
      <c r="B829" s="81" t="s">
        <v>1942</v>
      </c>
      <c r="C829" s="82"/>
      <c r="D829" s="80">
        <v>8.249396839E9</v>
      </c>
      <c r="E829" s="81" t="s">
        <v>11</v>
      </c>
      <c r="F829" s="82"/>
      <c r="G829" s="83" t="s">
        <v>1931</v>
      </c>
      <c r="H829" s="75" t="s">
        <v>1932</v>
      </c>
      <c r="I829" s="76" t="s">
        <v>1729</v>
      </c>
      <c r="J829" s="84"/>
      <c r="K829" s="78" t="s">
        <v>1933</v>
      </c>
      <c r="L829" s="79"/>
    </row>
    <row r="830" ht="22.5" customHeight="1">
      <c r="A830" s="71">
        <v>11.0</v>
      </c>
      <c r="B830" s="72" t="s">
        <v>1943</v>
      </c>
      <c r="C830" s="73"/>
      <c r="D830" s="71">
        <v>7.540932733E9</v>
      </c>
      <c r="E830" s="72" t="s">
        <v>11</v>
      </c>
      <c r="F830" s="73"/>
      <c r="G830" s="74" t="s">
        <v>1931</v>
      </c>
      <c r="H830" s="75" t="s">
        <v>1932</v>
      </c>
      <c r="I830" s="76" t="s">
        <v>1729</v>
      </c>
      <c r="J830" s="77"/>
      <c r="K830" s="78" t="s">
        <v>1933</v>
      </c>
      <c r="L830" s="79"/>
    </row>
    <row r="831" ht="22.5" customHeight="1">
      <c r="A831" s="80">
        <v>12.0</v>
      </c>
      <c r="B831" s="81" t="s">
        <v>1944</v>
      </c>
      <c r="C831" s="82"/>
      <c r="D831" s="80">
        <v>8.763982365E9</v>
      </c>
      <c r="E831" s="81" t="s">
        <v>11</v>
      </c>
      <c r="F831" s="82"/>
      <c r="G831" s="83" t="s">
        <v>1931</v>
      </c>
      <c r="H831" s="75" t="s">
        <v>1932</v>
      </c>
      <c r="I831" s="76" t="s">
        <v>1729</v>
      </c>
      <c r="J831" s="84"/>
      <c r="K831" s="78" t="s">
        <v>1933</v>
      </c>
      <c r="L831" s="79"/>
    </row>
    <row r="832" ht="22.5" customHeight="1">
      <c r="A832" s="71">
        <v>13.0</v>
      </c>
      <c r="B832" s="72" t="s">
        <v>1945</v>
      </c>
      <c r="C832" s="73"/>
      <c r="D832" s="71">
        <v>9.437001876E9</v>
      </c>
      <c r="E832" s="72" t="s">
        <v>11</v>
      </c>
      <c r="F832" s="73"/>
      <c r="G832" s="74" t="s">
        <v>1931</v>
      </c>
      <c r="H832" s="75" t="s">
        <v>1932</v>
      </c>
      <c r="I832" s="76" t="s">
        <v>1729</v>
      </c>
      <c r="J832" s="77"/>
      <c r="K832" s="78" t="s">
        <v>1933</v>
      </c>
      <c r="L832" s="79"/>
    </row>
    <row r="833" ht="22.5" customHeight="1">
      <c r="A833" s="80">
        <v>14.0</v>
      </c>
      <c r="B833" s="81" t="s">
        <v>1946</v>
      </c>
      <c r="C833" s="82"/>
      <c r="D833" s="80">
        <v>8.917430048E9</v>
      </c>
      <c r="E833" s="81" t="s">
        <v>11</v>
      </c>
      <c r="F833" s="82"/>
      <c r="G833" s="83" t="s">
        <v>1931</v>
      </c>
      <c r="H833" s="75" t="s">
        <v>1932</v>
      </c>
      <c r="I833" s="76" t="s">
        <v>1729</v>
      </c>
      <c r="J833" s="84"/>
      <c r="K833" s="78" t="s">
        <v>1933</v>
      </c>
      <c r="L833" s="79"/>
    </row>
    <row r="834" ht="22.5" customHeight="1">
      <c r="A834" s="71">
        <v>15.0</v>
      </c>
      <c r="B834" s="72" t="s">
        <v>1947</v>
      </c>
      <c r="C834" s="73"/>
      <c r="D834" s="71">
        <v>7.853983172E9</v>
      </c>
      <c r="E834" s="72" t="s">
        <v>11</v>
      </c>
      <c r="F834" s="73"/>
      <c r="G834" s="74" t="s">
        <v>1931</v>
      </c>
      <c r="H834" s="75" t="s">
        <v>1932</v>
      </c>
      <c r="I834" s="76" t="s">
        <v>1729</v>
      </c>
      <c r="J834" s="77"/>
      <c r="K834" s="78" t="s">
        <v>1933</v>
      </c>
      <c r="L834" s="79"/>
    </row>
    <row r="835" ht="22.5" customHeight="1">
      <c r="A835" s="80">
        <v>16.0</v>
      </c>
      <c r="B835" s="81" t="s">
        <v>1948</v>
      </c>
      <c r="C835" s="82"/>
      <c r="D835" s="80">
        <v>7.077341844E9</v>
      </c>
      <c r="E835" s="81" t="s">
        <v>11</v>
      </c>
      <c r="F835" s="82"/>
      <c r="G835" s="83" t="s">
        <v>1931</v>
      </c>
      <c r="H835" s="75" t="s">
        <v>1932</v>
      </c>
      <c r="I835" s="76" t="s">
        <v>1729</v>
      </c>
      <c r="J835" s="84"/>
      <c r="K835" s="78" t="s">
        <v>1933</v>
      </c>
      <c r="L835" s="79"/>
    </row>
    <row r="836" ht="22.5" customHeight="1">
      <c r="A836" s="71">
        <v>17.0</v>
      </c>
      <c r="B836" s="72" t="s">
        <v>1949</v>
      </c>
      <c r="C836" s="73"/>
      <c r="D836" s="71">
        <v>8.01821728E9</v>
      </c>
      <c r="E836" s="72" t="s">
        <v>11</v>
      </c>
      <c r="F836" s="73"/>
      <c r="G836" s="74" t="s">
        <v>1931</v>
      </c>
      <c r="H836" s="75" t="s">
        <v>1932</v>
      </c>
      <c r="I836" s="76" t="s">
        <v>1729</v>
      </c>
      <c r="J836" s="77"/>
      <c r="K836" s="78" t="s">
        <v>1933</v>
      </c>
      <c r="L836" s="79"/>
    </row>
    <row r="837" ht="22.5" customHeight="1">
      <c r="A837" s="80">
        <v>18.0</v>
      </c>
      <c r="B837" s="81" t="s">
        <v>1950</v>
      </c>
      <c r="C837" s="82"/>
      <c r="D837" s="80">
        <v>8.847885208E9</v>
      </c>
      <c r="E837" s="81" t="s">
        <v>11</v>
      </c>
      <c r="F837" s="82"/>
      <c r="G837" s="83" t="s">
        <v>1931</v>
      </c>
      <c r="H837" s="75" t="s">
        <v>1932</v>
      </c>
      <c r="I837" s="76" t="s">
        <v>1729</v>
      </c>
      <c r="J837" s="84"/>
      <c r="K837" s="78" t="s">
        <v>1933</v>
      </c>
      <c r="L837" s="79"/>
    </row>
    <row r="838" ht="22.5" customHeight="1">
      <c r="A838" s="71">
        <v>19.0</v>
      </c>
      <c r="B838" s="72" t="s">
        <v>1951</v>
      </c>
      <c r="C838" s="73"/>
      <c r="D838" s="71">
        <v>7.894543801E9</v>
      </c>
      <c r="E838" s="72" t="s">
        <v>11</v>
      </c>
      <c r="F838" s="73"/>
      <c r="G838" s="74" t="s">
        <v>1931</v>
      </c>
      <c r="H838" s="75" t="s">
        <v>1932</v>
      </c>
      <c r="I838" s="76" t="s">
        <v>1729</v>
      </c>
      <c r="J838" s="77"/>
      <c r="K838" s="78" t="s">
        <v>1933</v>
      </c>
      <c r="L838" s="79"/>
    </row>
    <row r="839" ht="22.5" customHeight="1">
      <c r="A839" s="80">
        <v>20.0</v>
      </c>
      <c r="B839" s="81" t="s">
        <v>1952</v>
      </c>
      <c r="C839" s="82"/>
      <c r="D839" s="80">
        <v>9.337483214E9</v>
      </c>
      <c r="E839" s="81" t="s">
        <v>11</v>
      </c>
      <c r="F839" s="82"/>
      <c r="G839" s="83" t="s">
        <v>1931</v>
      </c>
      <c r="H839" s="75" t="s">
        <v>1932</v>
      </c>
      <c r="I839" s="76" t="s">
        <v>1729</v>
      </c>
      <c r="J839" s="84"/>
      <c r="K839" s="78" t="s">
        <v>1933</v>
      </c>
      <c r="L839" s="79"/>
    </row>
    <row r="840" ht="22.5" customHeight="1">
      <c r="A840" s="71">
        <v>21.0</v>
      </c>
      <c r="B840" s="72" t="s">
        <v>1953</v>
      </c>
      <c r="C840" s="73"/>
      <c r="D840" s="71">
        <v>9.5567611E9</v>
      </c>
      <c r="E840" s="72" t="s">
        <v>11</v>
      </c>
      <c r="F840" s="73"/>
      <c r="G840" s="74" t="s">
        <v>1931</v>
      </c>
      <c r="H840" s="75" t="s">
        <v>1932</v>
      </c>
      <c r="I840" s="76" t="s">
        <v>1729</v>
      </c>
      <c r="J840" s="77"/>
      <c r="K840" s="78" t="s">
        <v>1933</v>
      </c>
      <c r="L840" s="79"/>
    </row>
    <row r="841" ht="22.5" customHeight="1">
      <c r="A841" s="80">
        <v>22.0</v>
      </c>
      <c r="B841" s="81" t="s">
        <v>1954</v>
      </c>
      <c r="C841" s="82"/>
      <c r="D841" s="80">
        <v>9.938628523E9</v>
      </c>
      <c r="E841" s="81" t="s">
        <v>11</v>
      </c>
      <c r="F841" s="82"/>
      <c r="G841" s="83" t="s">
        <v>1931</v>
      </c>
      <c r="H841" s="75" t="s">
        <v>1932</v>
      </c>
      <c r="I841" s="76" t="s">
        <v>1729</v>
      </c>
      <c r="J841" s="84"/>
      <c r="K841" s="78" t="s">
        <v>1933</v>
      </c>
      <c r="L841" s="79"/>
    </row>
    <row r="842" ht="22.5" customHeight="1">
      <c r="A842" s="71">
        <v>23.0</v>
      </c>
      <c r="B842" s="72" t="s">
        <v>1955</v>
      </c>
      <c r="C842" s="73"/>
      <c r="D842" s="71">
        <v>9.938445766E9</v>
      </c>
      <c r="E842" s="72" t="s">
        <v>11</v>
      </c>
      <c r="F842" s="73"/>
      <c r="G842" s="74" t="s">
        <v>1931</v>
      </c>
      <c r="H842" s="75" t="s">
        <v>1932</v>
      </c>
      <c r="I842" s="76" t="s">
        <v>1729</v>
      </c>
      <c r="J842" s="77"/>
      <c r="K842" s="78" t="s">
        <v>1933</v>
      </c>
      <c r="L842" s="79"/>
    </row>
    <row r="843" ht="22.5" customHeight="1">
      <c r="A843" s="80">
        <v>24.0</v>
      </c>
      <c r="B843" s="81" t="s">
        <v>1956</v>
      </c>
      <c r="C843" s="82"/>
      <c r="D843" s="80">
        <v>9.69202863E9</v>
      </c>
      <c r="E843" s="81" t="s">
        <v>11</v>
      </c>
      <c r="F843" s="82"/>
      <c r="G843" s="83" t="s">
        <v>1931</v>
      </c>
      <c r="H843" s="75" t="s">
        <v>1932</v>
      </c>
      <c r="I843" s="76" t="s">
        <v>1729</v>
      </c>
      <c r="J843" s="84"/>
      <c r="K843" s="78" t="s">
        <v>1933</v>
      </c>
      <c r="L843" s="79"/>
    </row>
    <row r="844" ht="22.5" customHeight="1">
      <c r="A844" s="71">
        <v>25.0</v>
      </c>
      <c r="B844" s="72" t="s">
        <v>1957</v>
      </c>
      <c r="C844" s="73"/>
      <c r="D844" s="71">
        <v>8.917553611E9</v>
      </c>
      <c r="E844" s="72" t="s">
        <v>11</v>
      </c>
      <c r="F844" s="73"/>
      <c r="G844" s="74" t="s">
        <v>1931</v>
      </c>
      <c r="H844" s="75" t="s">
        <v>1932</v>
      </c>
      <c r="I844" s="76" t="s">
        <v>1729</v>
      </c>
      <c r="J844" s="77"/>
      <c r="K844" s="78" t="s">
        <v>1933</v>
      </c>
      <c r="L844" s="79"/>
    </row>
    <row r="845" ht="22.5" customHeight="1">
      <c r="A845" s="80">
        <v>26.0</v>
      </c>
      <c r="B845" s="81" t="s">
        <v>1958</v>
      </c>
      <c r="C845" s="82"/>
      <c r="D845" s="80">
        <v>9.937898682E9</v>
      </c>
      <c r="E845" s="81" t="s">
        <v>11</v>
      </c>
      <c r="F845" s="82"/>
      <c r="G845" s="83" t="s">
        <v>1931</v>
      </c>
      <c r="H845" s="75" t="s">
        <v>1932</v>
      </c>
      <c r="I845" s="76" t="s">
        <v>1729</v>
      </c>
      <c r="J845" s="84"/>
      <c r="K845" s="78" t="s">
        <v>1933</v>
      </c>
      <c r="L845" s="79"/>
    </row>
    <row r="846" ht="22.5" customHeight="1">
      <c r="A846" s="71">
        <v>27.0</v>
      </c>
      <c r="B846" s="72" t="s">
        <v>1959</v>
      </c>
      <c r="C846" s="73"/>
      <c r="D846" s="71">
        <v>8.093417947E9</v>
      </c>
      <c r="E846" s="72" t="s">
        <v>11</v>
      </c>
      <c r="F846" s="73"/>
      <c r="G846" s="74" t="s">
        <v>1931</v>
      </c>
      <c r="H846" s="75" t="s">
        <v>1932</v>
      </c>
      <c r="I846" s="76" t="s">
        <v>1729</v>
      </c>
      <c r="J846" s="77"/>
      <c r="K846" s="78" t="s">
        <v>1933</v>
      </c>
      <c r="L846" s="79"/>
    </row>
    <row r="847" ht="22.5" customHeight="1">
      <c r="A847" s="80">
        <v>28.0</v>
      </c>
      <c r="B847" s="81" t="s">
        <v>1960</v>
      </c>
      <c r="C847" s="82"/>
      <c r="D847" s="80">
        <v>9.33766772E9</v>
      </c>
      <c r="E847" s="81" t="s">
        <v>11</v>
      </c>
      <c r="F847" s="82"/>
      <c r="G847" s="83" t="s">
        <v>1931</v>
      </c>
      <c r="H847" s="75" t="s">
        <v>1932</v>
      </c>
      <c r="I847" s="76" t="s">
        <v>1729</v>
      </c>
      <c r="J847" s="84"/>
      <c r="K847" s="78" t="s">
        <v>1933</v>
      </c>
      <c r="L847" s="79"/>
    </row>
    <row r="848" ht="22.5" customHeight="1">
      <c r="A848" s="71">
        <v>29.0</v>
      </c>
      <c r="B848" s="72" t="s">
        <v>1961</v>
      </c>
      <c r="C848" s="73"/>
      <c r="D848" s="71">
        <v>9.937936826E9</v>
      </c>
      <c r="E848" s="72" t="s">
        <v>11</v>
      </c>
      <c r="F848" s="73"/>
      <c r="G848" s="74" t="s">
        <v>1931</v>
      </c>
      <c r="H848" s="75" t="s">
        <v>1932</v>
      </c>
      <c r="I848" s="76" t="s">
        <v>1729</v>
      </c>
      <c r="J848" s="77"/>
      <c r="K848" s="78" t="s">
        <v>1933</v>
      </c>
      <c r="L848" s="79"/>
    </row>
    <row r="849" ht="22.5" customHeight="1">
      <c r="A849" s="80">
        <v>30.0</v>
      </c>
      <c r="B849" s="81" t="s">
        <v>1962</v>
      </c>
      <c r="C849" s="82"/>
      <c r="D849" s="80">
        <v>9.556958695E9</v>
      </c>
      <c r="E849" s="81" t="s">
        <v>11</v>
      </c>
      <c r="F849" s="82"/>
      <c r="G849" s="83" t="s">
        <v>1931</v>
      </c>
      <c r="H849" s="75" t="s">
        <v>1932</v>
      </c>
      <c r="I849" s="76" t="s">
        <v>1729</v>
      </c>
      <c r="J849" s="84"/>
      <c r="K849" s="78" t="s">
        <v>1933</v>
      </c>
      <c r="L849" s="79"/>
    </row>
    <row r="850" ht="22.5" customHeight="1">
      <c r="A850" s="71">
        <v>31.0</v>
      </c>
      <c r="B850" s="72" t="s">
        <v>1963</v>
      </c>
      <c r="C850" s="73"/>
      <c r="D850" s="71">
        <v>8.455889311E9</v>
      </c>
      <c r="E850" s="72" t="s">
        <v>11</v>
      </c>
      <c r="F850" s="72" t="s">
        <v>385</v>
      </c>
      <c r="G850" s="74" t="s">
        <v>1931</v>
      </c>
      <c r="H850" s="75" t="s">
        <v>1932</v>
      </c>
      <c r="I850" s="76" t="s">
        <v>1729</v>
      </c>
      <c r="J850" s="77"/>
      <c r="K850" s="78" t="s">
        <v>1933</v>
      </c>
      <c r="L850" s="79"/>
    </row>
    <row r="851" ht="22.5" customHeight="1">
      <c r="A851" s="80">
        <v>32.0</v>
      </c>
      <c r="B851" s="81" t="s">
        <v>1964</v>
      </c>
      <c r="C851" s="82"/>
      <c r="D851" s="80">
        <v>7.606074027E9</v>
      </c>
      <c r="E851" s="81" t="s">
        <v>11</v>
      </c>
      <c r="F851" s="81" t="s">
        <v>385</v>
      </c>
      <c r="G851" s="83" t="s">
        <v>1931</v>
      </c>
      <c r="H851" s="75" t="s">
        <v>1932</v>
      </c>
      <c r="I851" s="76" t="s">
        <v>1729</v>
      </c>
      <c r="J851" s="84"/>
      <c r="K851" s="78" t="s">
        <v>1933</v>
      </c>
      <c r="L851" s="79"/>
    </row>
    <row r="852" ht="22.5" customHeight="1">
      <c r="A852" s="71">
        <v>33.0</v>
      </c>
      <c r="B852" s="72" t="s">
        <v>1965</v>
      </c>
      <c r="C852" s="73"/>
      <c r="D852" s="71">
        <v>8.249221863E9</v>
      </c>
      <c r="E852" s="72" t="s">
        <v>11</v>
      </c>
      <c r="F852" s="72" t="s">
        <v>385</v>
      </c>
      <c r="G852" s="74" t="s">
        <v>1931</v>
      </c>
      <c r="H852" s="75" t="s">
        <v>1932</v>
      </c>
      <c r="I852" s="76" t="s">
        <v>1729</v>
      </c>
      <c r="J852" s="77"/>
      <c r="K852" s="78" t="s">
        <v>1933</v>
      </c>
      <c r="L852" s="79"/>
    </row>
    <row r="853" ht="22.5" customHeight="1">
      <c r="A853" s="80">
        <v>34.0</v>
      </c>
      <c r="B853" s="81" t="s">
        <v>1966</v>
      </c>
      <c r="C853" s="82"/>
      <c r="D853" s="80">
        <v>7.019595801E9</v>
      </c>
      <c r="E853" s="81" t="s">
        <v>11</v>
      </c>
      <c r="F853" s="81" t="s">
        <v>385</v>
      </c>
      <c r="G853" s="83" t="s">
        <v>1931</v>
      </c>
      <c r="H853" s="75" t="s">
        <v>1932</v>
      </c>
      <c r="I853" s="85" t="s">
        <v>1967</v>
      </c>
      <c r="J853" s="84"/>
      <c r="K853" s="78" t="s">
        <v>1933</v>
      </c>
      <c r="L853" s="79"/>
    </row>
    <row r="854" ht="22.5" customHeight="1">
      <c r="A854" s="71">
        <v>35.0</v>
      </c>
      <c r="B854" s="72" t="s">
        <v>1968</v>
      </c>
      <c r="C854" s="73"/>
      <c r="D854" s="71">
        <v>7.008485231E9</v>
      </c>
      <c r="E854" s="72" t="s">
        <v>11</v>
      </c>
      <c r="F854" s="72" t="s">
        <v>385</v>
      </c>
      <c r="G854" s="74" t="s">
        <v>1931</v>
      </c>
      <c r="H854" s="75" t="s">
        <v>1932</v>
      </c>
      <c r="I854" s="85" t="s">
        <v>1967</v>
      </c>
      <c r="J854" s="77"/>
      <c r="K854" s="78" t="s">
        <v>1933</v>
      </c>
      <c r="L854" s="79"/>
    </row>
    <row r="855" ht="22.5" customHeight="1">
      <c r="A855" s="80">
        <v>36.0</v>
      </c>
      <c r="B855" s="81" t="s">
        <v>1969</v>
      </c>
      <c r="C855" s="82"/>
      <c r="D855" s="80">
        <v>8.260427214E9</v>
      </c>
      <c r="E855" s="81" t="s">
        <v>11</v>
      </c>
      <c r="F855" s="81" t="s">
        <v>385</v>
      </c>
      <c r="G855" s="83" t="s">
        <v>1931</v>
      </c>
      <c r="H855" s="75" t="s">
        <v>1932</v>
      </c>
      <c r="I855" s="85" t="s">
        <v>1967</v>
      </c>
      <c r="J855" s="84"/>
      <c r="K855" s="78" t="s">
        <v>1933</v>
      </c>
      <c r="L855" s="79"/>
    </row>
    <row r="856" ht="22.5" customHeight="1">
      <c r="A856" s="71">
        <v>37.0</v>
      </c>
      <c r="B856" s="72" t="s">
        <v>1970</v>
      </c>
      <c r="C856" s="73"/>
      <c r="D856" s="71">
        <v>9.437647995E9</v>
      </c>
      <c r="E856" s="72" t="s">
        <v>11</v>
      </c>
      <c r="F856" s="72" t="s">
        <v>385</v>
      </c>
      <c r="G856" s="74" t="s">
        <v>1931</v>
      </c>
      <c r="H856" s="75" t="s">
        <v>1932</v>
      </c>
      <c r="I856" s="85" t="s">
        <v>1967</v>
      </c>
      <c r="J856" s="77"/>
      <c r="K856" s="78" t="s">
        <v>1933</v>
      </c>
      <c r="L856" s="79"/>
    </row>
    <row r="857" ht="22.5" customHeight="1">
      <c r="A857" s="80">
        <v>38.0</v>
      </c>
      <c r="B857" s="81" t="s">
        <v>1971</v>
      </c>
      <c r="C857" s="82"/>
      <c r="D857" s="80">
        <v>8.280261855E9</v>
      </c>
      <c r="E857" s="81" t="s">
        <v>11</v>
      </c>
      <c r="F857" s="81" t="s">
        <v>385</v>
      </c>
      <c r="G857" s="83" t="s">
        <v>1931</v>
      </c>
      <c r="H857" s="75" t="s">
        <v>1932</v>
      </c>
      <c r="I857" s="85" t="s">
        <v>1967</v>
      </c>
      <c r="J857" s="84"/>
      <c r="K857" s="78" t="s">
        <v>1933</v>
      </c>
      <c r="L857" s="79"/>
    </row>
    <row r="858" ht="22.5" customHeight="1">
      <c r="A858" s="71">
        <v>39.0</v>
      </c>
      <c r="B858" s="72" t="s">
        <v>1972</v>
      </c>
      <c r="C858" s="73"/>
      <c r="D858" s="71">
        <v>9.668207993E9</v>
      </c>
      <c r="E858" s="72" t="s">
        <v>11</v>
      </c>
      <c r="F858" s="72" t="s">
        <v>385</v>
      </c>
      <c r="G858" s="74" t="s">
        <v>1931</v>
      </c>
      <c r="H858" s="75" t="s">
        <v>1932</v>
      </c>
      <c r="I858" s="85" t="s">
        <v>1967</v>
      </c>
      <c r="J858" s="77"/>
      <c r="K858" s="78" t="s">
        <v>1933</v>
      </c>
      <c r="L858" s="79"/>
    </row>
    <row r="859" ht="22.5" customHeight="1">
      <c r="A859" s="80">
        <v>40.0</v>
      </c>
      <c r="B859" s="81" t="s">
        <v>1973</v>
      </c>
      <c r="C859" s="82"/>
      <c r="D859" s="80">
        <v>9.861093211E9</v>
      </c>
      <c r="E859" s="81" t="s">
        <v>11</v>
      </c>
      <c r="F859" s="81" t="s">
        <v>385</v>
      </c>
      <c r="G859" s="83" t="s">
        <v>1931</v>
      </c>
      <c r="H859" s="75" t="s">
        <v>1932</v>
      </c>
      <c r="I859" s="85" t="s">
        <v>1967</v>
      </c>
      <c r="J859" s="84"/>
      <c r="K859" s="78" t="s">
        <v>1933</v>
      </c>
      <c r="L859" s="79"/>
    </row>
    <row r="860" ht="22.5" customHeight="1">
      <c r="A860" s="71">
        <v>41.0</v>
      </c>
      <c r="B860" s="72" t="s">
        <v>1974</v>
      </c>
      <c r="C860" s="73"/>
      <c r="D860" s="71">
        <v>8.280014841E9</v>
      </c>
      <c r="E860" s="72" t="s">
        <v>11</v>
      </c>
      <c r="F860" s="72" t="s">
        <v>385</v>
      </c>
      <c r="G860" s="74" t="s">
        <v>1931</v>
      </c>
      <c r="H860" s="75" t="s">
        <v>1932</v>
      </c>
      <c r="I860" s="85" t="s">
        <v>1967</v>
      </c>
      <c r="J860" s="77"/>
      <c r="K860" s="78" t="s">
        <v>1933</v>
      </c>
      <c r="L860" s="79"/>
    </row>
    <row r="861" ht="22.5" customHeight="1">
      <c r="A861" s="80">
        <v>42.0</v>
      </c>
      <c r="B861" s="81" t="s">
        <v>1975</v>
      </c>
      <c r="C861" s="82"/>
      <c r="D861" s="80">
        <v>9.439371899E9</v>
      </c>
      <c r="E861" s="81" t="s">
        <v>11</v>
      </c>
      <c r="F861" s="81" t="s">
        <v>385</v>
      </c>
      <c r="G861" s="83" t="s">
        <v>1931</v>
      </c>
      <c r="H861" s="75" t="s">
        <v>1932</v>
      </c>
      <c r="I861" s="85" t="s">
        <v>1967</v>
      </c>
      <c r="J861" s="84"/>
      <c r="K861" s="78" t="s">
        <v>1933</v>
      </c>
      <c r="L861" s="79"/>
    </row>
    <row r="862" ht="22.5" customHeight="1">
      <c r="A862" s="71">
        <v>43.0</v>
      </c>
      <c r="B862" s="72" t="s">
        <v>1976</v>
      </c>
      <c r="C862" s="73"/>
      <c r="D862" s="71">
        <v>9.348725769E9</v>
      </c>
      <c r="E862" s="72" t="s">
        <v>11</v>
      </c>
      <c r="F862" s="72" t="s">
        <v>385</v>
      </c>
      <c r="G862" s="74" t="s">
        <v>1931</v>
      </c>
      <c r="H862" s="75" t="s">
        <v>1932</v>
      </c>
      <c r="I862" s="85" t="s">
        <v>1967</v>
      </c>
      <c r="J862" s="77"/>
      <c r="K862" s="78" t="s">
        <v>1933</v>
      </c>
      <c r="L862" s="79"/>
    </row>
    <row r="863" ht="22.5" customHeight="1">
      <c r="A863" s="80">
        <v>44.0</v>
      </c>
      <c r="B863" s="81" t="s">
        <v>1977</v>
      </c>
      <c r="C863" s="82"/>
      <c r="D863" s="80">
        <v>9.861256311E9</v>
      </c>
      <c r="E863" s="81" t="s">
        <v>11</v>
      </c>
      <c r="F863" s="81" t="s">
        <v>385</v>
      </c>
      <c r="G863" s="83" t="s">
        <v>1931</v>
      </c>
      <c r="H863" s="75" t="s">
        <v>1932</v>
      </c>
      <c r="I863" s="85" t="s">
        <v>1967</v>
      </c>
      <c r="J863" s="84"/>
      <c r="K863" s="78" t="s">
        <v>1933</v>
      </c>
      <c r="L863" s="79"/>
    </row>
    <row r="864" ht="22.5" customHeight="1">
      <c r="A864" s="71">
        <v>45.0</v>
      </c>
      <c r="B864" s="72" t="s">
        <v>1978</v>
      </c>
      <c r="C864" s="73"/>
      <c r="D864" s="71">
        <v>7.008256988E9</v>
      </c>
      <c r="E864" s="72" t="s">
        <v>11</v>
      </c>
      <c r="F864" s="72" t="s">
        <v>385</v>
      </c>
      <c r="G864" s="74" t="s">
        <v>1931</v>
      </c>
      <c r="H864" s="75" t="s">
        <v>1932</v>
      </c>
      <c r="I864" s="85" t="s">
        <v>1967</v>
      </c>
      <c r="J864" s="77"/>
      <c r="K864" s="78" t="s">
        <v>1933</v>
      </c>
      <c r="L864" s="79"/>
    </row>
    <row r="865" ht="22.5" customHeight="1">
      <c r="A865" s="80">
        <v>46.0</v>
      </c>
      <c r="B865" s="81" t="s">
        <v>1979</v>
      </c>
      <c r="C865" s="82"/>
      <c r="D865" s="80">
        <v>7.978621105E9</v>
      </c>
      <c r="E865" s="81" t="s">
        <v>11</v>
      </c>
      <c r="F865" s="81" t="s">
        <v>385</v>
      </c>
      <c r="G865" s="83" t="s">
        <v>1931</v>
      </c>
      <c r="H865" s="75" t="s">
        <v>1932</v>
      </c>
      <c r="I865" s="85" t="s">
        <v>1967</v>
      </c>
      <c r="J865" s="84"/>
      <c r="K865" s="78" t="s">
        <v>1933</v>
      </c>
      <c r="L865" s="79"/>
    </row>
    <row r="866" ht="22.5" customHeight="1">
      <c r="A866" s="71">
        <v>47.0</v>
      </c>
      <c r="B866" s="72" t="s">
        <v>1980</v>
      </c>
      <c r="C866" s="73"/>
      <c r="D866" s="71">
        <v>7.205188167E9</v>
      </c>
      <c r="E866" s="72" t="s">
        <v>11</v>
      </c>
      <c r="F866" s="72" t="s">
        <v>385</v>
      </c>
      <c r="G866" s="74" t="s">
        <v>1931</v>
      </c>
      <c r="H866" s="75" t="s">
        <v>1932</v>
      </c>
      <c r="I866" s="85" t="s">
        <v>1967</v>
      </c>
      <c r="J866" s="77"/>
      <c r="K866" s="78" t="s">
        <v>1933</v>
      </c>
      <c r="L866" s="79"/>
    </row>
    <row r="867" ht="22.5" customHeight="1">
      <c r="A867" s="80">
        <v>48.0</v>
      </c>
      <c r="B867" s="81" t="s">
        <v>1981</v>
      </c>
      <c r="C867" s="82"/>
      <c r="D867" s="80">
        <v>8.658672165E9</v>
      </c>
      <c r="E867" s="81" t="s">
        <v>11</v>
      </c>
      <c r="F867" s="81" t="s">
        <v>385</v>
      </c>
      <c r="G867" s="83" t="s">
        <v>1931</v>
      </c>
      <c r="H867" s="75" t="s">
        <v>1932</v>
      </c>
      <c r="I867" s="85" t="s">
        <v>1967</v>
      </c>
      <c r="J867" s="84"/>
      <c r="K867" s="78" t="s">
        <v>1933</v>
      </c>
      <c r="L867" s="79"/>
    </row>
    <row r="868" ht="22.5" customHeight="1">
      <c r="A868" s="71">
        <v>49.0</v>
      </c>
      <c r="B868" s="72" t="s">
        <v>1982</v>
      </c>
      <c r="C868" s="73"/>
      <c r="D868" s="71">
        <v>7.987556854E9</v>
      </c>
      <c r="E868" s="72" t="s">
        <v>11</v>
      </c>
      <c r="F868" s="72" t="s">
        <v>385</v>
      </c>
      <c r="G868" s="74" t="s">
        <v>1931</v>
      </c>
      <c r="H868" s="75" t="s">
        <v>1932</v>
      </c>
      <c r="I868" s="85" t="s">
        <v>1967</v>
      </c>
      <c r="J868" s="77"/>
      <c r="K868" s="78" t="s">
        <v>1933</v>
      </c>
      <c r="L868" s="79"/>
    </row>
    <row r="869" ht="22.5" customHeight="1">
      <c r="A869" s="80">
        <v>50.0</v>
      </c>
      <c r="B869" s="81" t="s">
        <v>1983</v>
      </c>
      <c r="C869" s="82"/>
      <c r="D869" s="80">
        <v>8.260650031E9</v>
      </c>
      <c r="E869" s="81" t="s">
        <v>11</v>
      </c>
      <c r="F869" s="81" t="s">
        <v>385</v>
      </c>
      <c r="G869" s="83" t="s">
        <v>1931</v>
      </c>
      <c r="H869" s="75" t="s">
        <v>1932</v>
      </c>
      <c r="I869" s="85" t="s">
        <v>1967</v>
      </c>
      <c r="J869" s="84"/>
      <c r="K869" s="78" t="s">
        <v>1933</v>
      </c>
      <c r="L869" s="79"/>
    </row>
    <row r="870" ht="22.5" customHeight="1">
      <c r="A870" s="71">
        <v>51.0</v>
      </c>
      <c r="B870" s="72" t="s">
        <v>1984</v>
      </c>
      <c r="C870" s="73"/>
      <c r="D870" s="71">
        <v>7.008321696E9</v>
      </c>
      <c r="E870" s="72" t="s">
        <v>11</v>
      </c>
      <c r="F870" s="72" t="s">
        <v>385</v>
      </c>
      <c r="G870" s="74" t="s">
        <v>1931</v>
      </c>
      <c r="H870" s="75" t="s">
        <v>1932</v>
      </c>
      <c r="I870" s="85" t="s">
        <v>1967</v>
      </c>
      <c r="J870" s="77"/>
      <c r="K870" s="78" t="s">
        <v>1933</v>
      </c>
      <c r="L870" s="79"/>
    </row>
    <row r="871" ht="22.5" customHeight="1">
      <c r="A871" s="80">
        <v>52.0</v>
      </c>
      <c r="B871" s="81" t="s">
        <v>1985</v>
      </c>
      <c r="C871" s="82"/>
      <c r="D871" s="80">
        <v>9.43801559E9</v>
      </c>
      <c r="E871" s="81" t="s">
        <v>11</v>
      </c>
      <c r="F871" s="81" t="s">
        <v>385</v>
      </c>
      <c r="G871" s="83" t="s">
        <v>1931</v>
      </c>
      <c r="H871" s="75" t="s">
        <v>1932</v>
      </c>
      <c r="I871" s="85" t="s">
        <v>1967</v>
      </c>
      <c r="J871" s="84"/>
      <c r="K871" s="78" t="s">
        <v>1933</v>
      </c>
      <c r="L871" s="79"/>
    </row>
    <row r="872" ht="22.5" customHeight="1">
      <c r="A872" s="71">
        <v>53.0</v>
      </c>
      <c r="B872" s="72" t="s">
        <v>1986</v>
      </c>
      <c r="C872" s="73"/>
      <c r="D872" s="71">
        <v>8.018605616E9</v>
      </c>
      <c r="E872" s="72" t="s">
        <v>11</v>
      </c>
      <c r="F872" s="72" t="s">
        <v>385</v>
      </c>
      <c r="G872" s="74" t="s">
        <v>1931</v>
      </c>
      <c r="H872" s="75" t="s">
        <v>1932</v>
      </c>
      <c r="I872" s="85" t="s">
        <v>1967</v>
      </c>
      <c r="J872" s="77"/>
      <c r="K872" s="78" t="s">
        <v>1933</v>
      </c>
      <c r="L872" s="79"/>
    </row>
    <row r="873" ht="22.5" customHeight="1">
      <c r="A873" s="80">
        <v>54.0</v>
      </c>
      <c r="B873" s="81" t="s">
        <v>1987</v>
      </c>
      <c r="C873" s="82"/>
      <c r="D873" s="80">
        <v>9.381169267E9</v>
      </c>
      <c r="E873" s="81" t="s">
        <v>11</v>
      </c>
      <c r="F873" s="81" t="s">
        <v>385</v>
      </c>
      <c r="G873" s="83" t="s">
        <v>1931</v>
      </c>
      <c r="H873" s="75" t="s">
        <v>1932</v>
      </c>
      <c r="I873" s="85" t="s">
        <v>1967</v>
      </c>
      <c r="J873" s="84"/>
      <c r="K873" s="78" t="s">
        <v>1933</v>
      </c>
      <c r="L873" s="79"/>
    </row>
    <row r="874" ht="22.5" customHeight="1">
      <c r="A874" s="71">
        <v>55.0</v>
      </c>
      <c r="B874" s="72" t="s">
        <v>1988</v>
      </c>
      <c r="C874" s="73"/>
      <c r="D874" s="71">
        <v>9.337310674E9</v>
      </c>
      <c r="E874" s="72" t="s">
        <v>11</v>
      </c>
      <c r="F874" s="72" t="s">
        <v>385</v>
      </c>
      <c r="G874" s="74" t="s">
        <v>1931</v>
      </c>
      <c r="H874" s="75" t="s">
        <v>1932</v>
      </c>
      <c r="I874" s="85" t="s">
        <v>1967</v>
      </c>
      <c r="J874" s="77"/>
      <c r="K874" s="78" t="s">
        <v>1933</v>
      </c>
      <c r="L874" s="79"/>
    </row>
    <row r="875" ht="22.5" customHeight="1">
      <c r="A875" s="80">
        <v>56.0</v>
      </c>
      <c r="B875" s="81" t="s">
        <v>1989</v>
      </c>
      <c r="C875" s="82"/>
      <c r="D875" s="80">
        <v>7.20513267E9</v>
      </c>
      <c r="E875" s="81" t="s">
        <v>11</v>
      </c>
      <c r="F875" s="81" t="s">
        <v>385</v>
      </c>
      <c r="G875" s="83" t="s">
        <v>1931</v>
      </c>
      <c r="H875" s="75" t="s">
        <v>1932</v>
      </c>
      <c r="I875" s="85" t="s">
        <v>1967</v>
      </c>
      <c r="J875" s="84"/>
      <c r="K875" s="78" t="s">
        <v>1933</v>
      </c>
      <c r="L875" s="79"/>
    </row>
    <row r="876" ht="22.5" customHeight="1">
      <c r="A876" s="71">
        <v>57.0</v>
      </c>
      <c r="B876" s="72" t="s">
        <v>1990</v>
      </c>
      <c r="C876" s="73"/>
      <c r="D876" s="71">
        <v>7.437035276E9</v>
      </c>
      <c r="E876" s="72" t="s">
        <v>11</v>
      </c>
      <c r="F876" s="72" t="s">
        <v>385</v>
      </c>
      <c r="G876" s="74" t="s">
        <v>1931</v>
      </c>
      <c r="H876" s="75" t="s">
        <v>1932</v>
      </c>
      <c r="I876" s="85" t="s">
        <v>1967</v>
      </c>
      <c r="J876" s="77"/>
      <c r="K876" s="78" t="s">
        <v>1933</v>
      </c>
      <c r="L876" s="79"/>
    </row>
    <row r="877" ht="22.5" customHeight="1">
      <c r="A877" s="80">
        <v>58.0</v>
      </c>
      <c r="B877" s="81" t="s">
        <v>1991</v>
      </c>
      <c r="C877" s="82"/>
      <c r="D877" s="80">
        <v>8.09328906E9</v>
      </c>
      <c r="E877" s="81" t="s">
        <v>11</v>
      </c>
      <c r="F877" s="81" t="s">
        <v>385</v>
      </c>
      <c r="G877" s="83" t="s">
        <v>1931</v>
      </c>
      <c r="H877" s="75" t="s">
        <v>1932</v>
      </c>
      <c r="I877" s="85" t="s">
        <v>1967</v>
      </c>
      <c r="J877" s="84"/>
      <c r="K877" s="78" t="s">
        <v>1933</v>
      </c>
      <c r="L877" s="79"/>
    </row>
    <row r="878" ht="22.5" customHeight="1">
      <c r="A878" s="71">
        <v>59.0</v>
      </c>
      <c r="B878" s="72" t="s">
        <v>1992</v>
      </c>
      <c r="C878" s="73"/>
      <c r="D878" s="71">
        <v>9.33736942E9</v>
      </c>
      <c r="E878" s="72" t="s">
        <v>11</v>
      </c>
      <c r="F878" s="72" t="s">
        <v>385</v>
      </c>
      <c r="G878" s="74" t="s">
        <v>1931</v>
      </c>
      <c r="H878" s="75" t="s">
        <v>1932</v>
      </c>
      <c r="I878" s="85" t="s">
        <v>1967</v>
      </c>
      <c r="J878" s="77"/>
      <c r="K878" s="78" t="s">
        <v>1933</v>
      </c>
      <c r="L878" s="79"/>
    </row>
    <row r="879" ht="22.5" customHeight="1">
      <c r="A879" s="80">
        <v>60.0</v>
      </c>
      <c r="B879" s="81" t="s">
        <v>1993</v>
      </c>
      <c r="C879" s="82"/>
      <c r="D879" s="80">
        <v>8.917433021E9</v>
      </c>
      <c r="E879" s="81" t="s">
        <v>11</v>
      </c>
      <c r="F879" s="81" t="s">
        <v>385</v>
      </c>
      <c r="G879" s="83" t="s">
        <v>1931</v>
      </c>
      <c r="H879" s="75" t="s">
        <v>1932</v>
      </c>
      <c r="I879" s="85" t="s">
        <v>1967</v>
      </c>
      <c r="J879" s="84"/>
      <c r="K879" s="78" t="s">
        <v>1933</v>
      </c>
      <c r="L879" s="79"/>
    </row>
    <row r="880" ht="22.5" customHeight="1">
      <c r="A880" s="71">
        <v>61.0</v>
      </c>
      <c r="B880" s="72" t="s">
        <v>1994</v>
      </c>
      <c r="C880" s="73"/>
      <c r="D880" s="71">
        <v>9.092882211E9</v>
      </c>
      <c r="E880" s="72" t="s">
        <v>11</v>
      </c>
      <c r="F880" s="72" t="s">
        <v>385</v>
      </c>
      <c r="G880" s="74" t="s">
        <v>1931</v>
      </c>
      <c r="H880" s="75" t="s">
        <v>1932</v>
      </c>
      <c r="I880" s="85" t="s">
        <v>1967</v>
      </c>
      <c r="J880" s="77"/>
      <c r="K880" s="78" t="s">
        <v>1933</v>
      </c>
      <c r="L880" s="79"/>
    </row>
    <row r="881" ht="22.5" customHeight="1">
      <c r="A881" s="80">
        <v>62.0</v>
      </c>
      <c r="B881" s="81" t="s">
        <v>1995</v>
      </c>
      <c r="C881" s="82"/>
      <c r="D881" s="80">
        <v>7.815079261E9</v>
      </c>
      <c r="E881" s="81" t="s">
        <v>11</v>
      </c>
      <c r="F881" s="81" t="s">
        <v>385</v>
      </c>
      <c r="G881" s="83" t="s">
        <v>1931</v>
      </c>
      <c r="H881" s="75" t="s">
        <v>1932</v>
      </c>
      <c r="I881" s="85" t="s">
        <v>1967</v>
      </c>
      <c r="J881" s="84"/>
      <c r="K881" s="78" t="s">
        <v>1933</v>
      </c>
      <c r="L881" s="79"/>
    </row>
    <row r="882" ht="22.5" customHeight="1">
      <c r="A882" s="71">
        <v>63.0</v>
      </c>
      <c r="B882" s="72" t="s">
        <v>1996</v>
      </c>
      <c r="C882" s="73"/>
      <c r="D882" s="71">
        <v>7.735592697E9</v>
      </c>
      <c r="E882" s="72" t="s">
        <v>11</v>
      </c>
      <c r="F882" s="72" t="s">
        <v>385</v>
      </c>
      <c r="G882" s="74" t="s">
        <v>1931</v>
      </c>
      <c r="H882" s="75" t="s">
        <v>1932</v>
      </c>
      <c r="I882" s="85" t="s">
        <v>1967</v>
      </c>
      <c r="J882" s="77"/>
      <c r="K882" s="78" t="s">
        <v>1933</v>
      </c>
      <c r="L882" s="79"/>
    </row>
    <row r="883" ht="22.5" customHeight="1">
      <c r="A883" s="80">
        <v>64.0</v>
      </c>
      <c r="B883" s="81" t="s">
        <v>1997</v>
      </c>
      <c r="C883" s="82"/>
      <c r="D883" s="80">
        <v>7.978167268E9</v>
      </c>
      <c r="E883" s="81" t="s">
        <v>11</v>
      </c>
      <c r="F883" s="81" t="s">
        <v>385</v>
      </c>
      <c r="G883" s="83" t="s">
        <v>1931</v>
      </c>
      <c r="H883" s="75" t="s">
        <v>1932</v>
      </c>
      <c r="I883" s="85" t="s">
        <v>1967</v>
      </c>
      <c r="J883" s="84"/>
      <c r="K883" s="78" t="s">
        <v>1933</v>
      </c>
      <c r="L883" s="79"/>
    </row>
    <row r="884" ht="22.5" customHeight="1">
      <c r="A884" s="71">
        <v>65.0</v>
      </c>
      <c r="B884" s="72" t="s">
        <v>1998</v>
      </c>
      <c r="C884" s="73"/>
      <c r="D884" s="71">
        <v>7.008411142E9</v>
      </c>
      <c r="E884" s="72" t="s">
        <v>11</v>
      </c>
      <c r="F884" s="72" t="s">
        <v>385</v>
      </c>
      <c r="G884" s="74" t="s">
        <v>1931</v>
      </c>
      <c r="H884" s="75" t="s">
        <v>1932</v>
      </c>
      <c r="I884" s="85" t="s">
        <v>1967</v>
      </c>
      <c r="J884" s="77"/>
      <c r="K884" s="78" t="s">
        <v>1933</v>
      </c>
      <c r="L884" s="79"/>
    </row>
    <row r="885" ht="22.5" customHeight="1">
      <c r="A885" s="80">
        <v>66.0</v>
      </c>
      <c r="B885" s="81" t="s">
        <v>1999</v>
      </c>
      <c r="C885" s="82"/>
      <c r="D885" s="80">
        <v>8.260561574E9</v>
      </c>
      <c r="E885" s="81" t="s">
        <v>11</v>
      </c>
      <c r="F885" s="81" t="s">
        <v>385</v>
      </c>
      <c r="G885" s="83" t="s">
        <v>1931</v>
      </c>
      <c r="H885" s="75" t="s">
        <v>1932</v>
      </c>
      <c r="I885" s="85" t="s">
        <v>1967</v>
      </c>
      <c r="J885" s="84"/>
      <c r="K885" s="78" t="s">
        <v>1933</v>
      </c>
      <c r="L885" s="79"/>
    </row>
    <row r="886" ht="22.5" customHeight="1">
      <c r="A886" s="71">
        <v>67.0</v>
      </c>
      <c r="B886" s="72" t="s">
        <v>2000</v>
      </c>
      <c r="C886" s="73"/>
      <c r="D886" s="71">
        <v>7.854025003E9</v>
      </c>
      <c r="E886" s="72" t="s">
        <v>11</v>
      </c>
      <c r="F886" s="72" t="s">
        <v>385</v>
      </c>
      <c r="G886" s="74" t="s">
        <v>1931</v>
      </c>
      <c r="H886" s="75" t="s">
        <v>1932</v>
      </c>
      <c r="I886" s="85" t="s">
        <v>1967</v>
      </c>
      <c r="J886" s="77"/>
      <c r="K886" s="78" t="s">
        <v>1933</v>
      </c>
      <c r="L886" s="79"/>
    </row>
    <row r="887" ht="22.5" customHeight="1">
      <c r="A887" s="80">
        <v>68.0</v>
      </c>
      <c r="B887" s="81" t="s">
        <v>2001</v>
      </c>
      <c r="C887" s="82"/>
      <c r="D887" s="80">
        <v>9.348717621E9</v>
      </c>
      <c r="E887" s="81" t="s">
        <v>11</v>
      </c>
      <c r="F887" s="81" t="s">
        <v>385</v>
      </c>
      <c r="G887" s="83" t="s">
        <v>1931</v>
      </c>
      <c r="H887" s="75" t="s">
        <v>1932</v>
      </c>
      <c r="I887" s="85" t="s">
        <v>1967</v>
      </c>
      <c r="J887" s="84"/>
      <c r="K887" s="78" t="s">
        <v>1933</v>
      </c>
      <c r="L887" s="79"/>
    </row>
    <row r="888" ht="22.5" customHeight="1">
      <c r="A888" s="71">
        <v>69.0</v>
      </c>
      <c r="B888" s="72" t="s">
        <v>2002</v>
      </c>
      <c r="C888" s="73"/>
      <c r="D888" s="71">
        <v>9.040245922E9</v>
      </c>
      <c r="E888" s="72" t="s">
        <v>11</v>
      </c>
      <c r="F888" s="72" t="s">
        <v>385</v>
      </c>
      <c r="G888" s="74" t="s">
        <v>1931</v>
      </c>
      <c r="H888" s="75" t="s">
        <v>1932</v>
      </c>
      <c r="I888" s="85" t="s">
        <v>1967</v>
      </c>
      <c r="J888" s="77"/>
      <c r="K888" s="78" t="s">
        <v>1933</v>
      </c>
      <c r="L888" s="79"/>
    </row>
    <row r="889" ht="22.5" customHeight="1">
      <c r="A889" s="80">
        <v>70.0</v>
      </c>
      <c r="B889" s="81" t="s">
        <v>2003</v>
      </c>
      <c r="C889" s="82"/>
      <c r="D889" s="80">
        <v>6.370073114E9</v>
      </c>
      <c r="E889" s="81" t="s">
        <v>11</v>
      </c>
      <c r="F889" s="81" t="s">
        <v>385</v>
      </c>
      <c r="G889" s="83" t="s">
        <v>1931</v>
      </c>
      <c r="H889" s="75" t="s">
        <v>1932</v>
      </c>
      <c r="I889" s="85" t="s">
        <v>1967</v>
      </c>
      <c r="J889" s="84"/>
      <c r="K889" s="78" t="s">
        <v>1933</v>
      </c>
      <c r="L889" s="79"/>
    </row>
    <row r="890" ht="22.5" customHeight="1">
      <c r="A890" s="71">
        <v>71.0</v>
      </c>
      <c r="B890" s="72" t="s">
        <v>2004</v>
      </c>
      <c r="C890" s="73"/>
      <c r="D890" s="71">
        <v>8.76387402E9</v>
      </c>
      <c r="E890" s="72" t="s">
        <v>11</v>
      </c>
      <c r="F890" s="72" t="s">
        <v>385</v>
      </c>
      <c r="G890" s="74" t="s">
        <v>1931</v>
      </c>
      <c r="H890" s="75" t="s">
        <v>1932</v>
      </c>
      <c r="I890" s="85" t="s">
        <v>1967</v>
      </c>
      <c r="J890" s="77"/>
      <c r="K890" s="78" t="s">
        <v>1933</v>
      </c>
      <c r="L890" s="79"/>
    </row>
    <row r="891" ht="22.5" customHeight="1">
      <c r="A891" s="80">
        <v>72.0</v>
      </c>
      <c r="B891" s="81" t="s">
        <v>2005</v>
      </c>
      <c r="C891" s="82"/>
      <c r="D891" s="80">
        <v>9.93850294E9</v>
      </c>
      <c r="E891" s="81" t="s">
        <v>11</v>
      </c>
      <c r="F891" s="81" t="s">
        <v>385</v>
      </c>
      <c r="G891" s="83" t="s">
        <v>1931</v>
      </c>
      <c r="H891" s="75" t="s">
        <v>1932</v>
      </c>
      <c r="I891" s="85" t="s">
        <v>1967</v>
      </c>
      <c r="J891" s="84"/>
      <c r="K891" s="78" t="s">
        <v>1933</v>
      </c>
      <c r="L891" s="79"/>
    </row>
    <row r="892" ht="22.5" customHeight="1">
      <c r="A892" s="71">
        <v>73.0</v>
      </c>
      <c r="B892" s="72" t="s">
        <v>2006</v>
      </c>
      <c r="C892" s="73"/>
      <c r="D892" s="71">
        <v>9.438271786E9</v>
      </c>
      <c r="E892" s="72" t="s">
        <v>11</v>
      </c>
      <c r="F892" s="72" t="s">
        <v>385</v>
      </c>
      <c r="G892" s="74" t="s">
        <v>1931</v>
      </c>
      <c r="H892" s="75" t="s">
        <v>1932</v>
      </c>
      <c r="I892" s="85" t="s">
        <v>1967</v>
      </c>
      <c r="J892" s="77"/>
      <c r="K892" s="78" t="s">
        <v>1933</v>
      </c>
      <c r="L892" s="79"/>
    </row>
    <row r="893" ht="22.5" customHeight="1">
      <c r="A893" s="80">
        <v>74.0</v>
      </c>
      <c r="B893" s="81" t="s">
        <v>2007</v>
      </c>
      <c r="C893" s="82"/>
      <c r="D893" s="80">
        <v>9.337370372E9</v>
      </c>
      <c r="E893" s="81" t="s">
        <v>11</v>
      </c>
      <c r="F893" s="81" t="s">
        <v>385</v>
      </c>
      <c r="G893" s="83" t="s">
        <v>1931</v>
      </c>
      <c r="H893" s="75" t="s">
        <v>1932</v>
      </c>
      <c r="I893" s="85" t="s">
        <v>1967</v>
      </c>
      <c r="J893" s="84"/>
      <c r="K893" s="78" t="s">
        <v>1933</v>
      </c>
      <c r="L893" s="79"/>
    </row>
    <row r="894" ht="22.5" customHeight="1">
      <c r="A894" s="71">
        <v>75.0</v>
      </c>
      <c r="B894" s="72" t="s">
        <v>2008</v>
      </c>
      <c r="C894" s="73"/>
      <c r="D894" s="71">
        <v>9.658057347E9</v>
      </c>
      <c r="E894" s="72" t="s">
        <v>11</v>
      </c>
      <c r="F894" s="72" t="s">
        <v>385</v>
      </c>
      <c r="G894" s="74" t="s">
        <v>1931</v>
      </c>
      <c r="H894" s="75" t="s">
        <v>1932</v>
      </c>
      <c r="I894" s="85" t="s">
        <v>1967</v>
      </c>
      <c r="J894" s="77"/>
      <c r="K894" s="78" t="s">
        <v>1933</v>
      </c>
      <c r="L894" s="79"/>
    </row>
    <row r="895" ht="22.5" customHeight="1">
      <c r="A895" s="80">
        <v>76.0</v>
      </c>
      <c r="B895" s="81" t="s">
        <v>2009</v>
      </c>
      <c r="C895" s="82"/>
      <c r="D895" s="80">
        <v>9.827822101E9</v>
      </c>
      <c r="E895" s="81" t="s">
        <v>11</v>
      </c>
      <c r="F895" s="81" t="s">
        <v>385</v>
      </c>
      <c r="G895" s="83" t="s">
        <v>1931</v>
      </c>
      <c r="H895" s="75" t="s">
        <v>1932</v>
      </c>
      <c r="I895" s="85" t="s">
        <v>1967</v>
      </c>
      <c r="J895" s="84"/>
      <c r="K895" s="78" t="s">
        <v>1933</v>
      </c>
      <c r="L895" s="79"/>
    </row>
    <row r="896" ht="22.5" customHeight="1">
      <c r="A896" s="71">
        <v>77.0</v>
      </c>
      <c r="B896" s="72" t="s">
        <v>2010</v>
      </c>
      <c r="C896" s="73"/>
      <c r="D896" s="71">
        <v>7.077373335E9</v>
      </c>
      <c r="E896" s="72" t="s">
        <v>11</v>
      </c>
      <c r="F896" s="72" t="s">
        <v>385</v>
      </c>
      <c r="G896" s="74" t="s">
        <v>1931</v>
      </c>
      <c r="H896" s="75" t="s">
        <v>1932</v>
      </c>
      <c r="I896" s="85" t="s">
        <v>1967</v>
      </c>
      <c r="J896" s="77"/>
      <c r="K896" s="78" t="s">
        <v>1933</v>
      </c>
      <c r="L896" s="79"/>
    </row>
    <row r="897" ht="22.5" customHeight="1">
      <c r="A897" s="80">
        <v>78.0</v>
      </c>
      <c r="B897" s="81" t="s">
        <v>2011</v>
      </c>
      <c r="C897" s="82"/>
      <c r="D897" s="80">
        <v>7.978686607E9</v>
      </c>
      <c r="E897" s="81" t="s">
        <v>11</v>
      </c>
      <c r="F897" s="81" t="s">
        <v>385</v>
      </c>
      <c r="G897" s="83" t="s">
        <v>1931</v>
      </c>
      <c r="H897" s="75" t="s">
        <v>1932</v>
      </c>
      <c r="I897" s="85" t="s">
        <v>1967</v>
      </c>
      <c r="J897" s="84"/>
      <c r="K897" s="78" t="s">
        <v>1933</v>
      </c>
      <c r="L897" s="79"/>
    </row>
    <row r="898" ht="22.5" customHeight="1">
      <c r="A898" s="71">
        <v>79.0</v>
      </c>
      <c r="B898" s="72" t="s">
        <v>2012</v>
      </c>
      <c r="C898" s="73"/>
      <c r="D898" s="71">
        <v>6.371143044E9</v>
      </c>
      <c r="E898" s="72" t="s">
        <v>11</v>
      </c>
      <c r="F898" s="72" t="s">
        <v>385</v>
      </c>
      <c r="G898" s="74" t="s">
        <v>1931</v>
      </c>
      <c r="H898" s="75" t="s">
        <v>1932</v>
      </c>
      <c r="I898" s="85" t="s">
        <v>1967</v>
      </c>
      <c r="J898" s="77"/>
      <c r="K898" s="78" t="s">
        <v>1933</v>
      </c>
      <c r="L898" s="79"/>
    </row>
    <row r="899" ht="22.5" customHeight="1">
      <c r="A899" s="80">
        <v>80.0</v>
      </c>
      <c r="B899" s="81" t="s">
        <v>2013</v>
      </c>
      <c r="C899" s="82"/>
      <c r="D899" s="80">
        <v>8.144318088E9</v>
      </c>
      <c r="E899" s="81" t="s">
        <v>11</v>
      </c>
      <c r="F899" s="81" t="s">
        <v>385</v>
      </c>
      <c r="G899" s="83" t="s">
        <v>1931</v>
      </c>
      <c r="H899" s="75" t="s">
        <v>1932</v>
      </c>
      <c r="I899" s="85" t="s">
        <v>1967</v>
      </c>
      <c r="J899" s="84"/>
      <c r="K899" s="78" t="s">
        <v>1933</v>
      </c>
      <c r="L899" s="79"/>
    </row>
    <row r="900" ht="22.5" customHeight="1">
      <c r="A900" s="71">
        <v>81.0</v>
      </c>
      <c r="B900" s="72" t="s">
        <v>2014</v>
      </c>
      <c r="C900" s="73"/>
      <c r="D900" s="71">
        <v>8.144394004E9</v>
      </c>
      <c r="E900" s="72" t="s">
        <v>11</v>
      </c>
      <c r="F900" s="72" t="s">
        <v>385</v>
      </c>
      <c r="G900" s="74" t="s">
        <v>1931</v>
      </c>
      <c r="H900" s="75" t="s">
        <v>1932</v>
      </c>
      <c r="I900" s="85" t="s">
        <v>1967</v>
      </c>
      <c r="J900" s="77"/>
      <c r="K900" s="78" t="s">
        <v>1933</v>
      </c>
      <c r="L900" s="79"/>
    </row>
    <row r="901" ht="22.5" customHeight="1">
      <c r="A901" s="80">
        <v>82.0</v>
      </c>
      <c r="B901" s="81" t="s">
        <v>2015</v>
      </c>
      <c r="C901" s="82"/>
      <c r="D901" s="80">
        <v>9.437806037E9</v>
      </c>
      <c r="E901" s="81" t="s">
        <v>11</v>
      </c>
      <c r="F901" s="81" t="s">
        <v>385</v>
      </c>
      <c r="G901" s="83" t="s">
        <v>1931</v>
      </c>
      <c r="H901" s="75" t="s">
        <v>1932</v>
      </c>
      <c r="I901" s="85" t="s">
        <v>1967</v>
      </c>
      <c r="J901" s="84"/>
      <c r="K901" s="78" t="s">
        <v>1933</v>
      </c>
      <c r="L901" s="79"/>
    </row>
    <row r="902" ht="22.5" customHeight="1">
      <c r="A902" s="71">
        <v>83.0</v>
      </c>
      <c r="B902" s="72" t="s">
        <v>2016</v>
      </c>
      <c r="C902" s="73"/>
      <c r="D902" s="71">
        <v>8.018111165E9</v>
      </c>
      <c r="E902" s="72" t="s">
        <v>11</v>
      </c>
      <c r="F902" s="72" t="s">
        <v>385</v>
      </c>
      <c r="G902" s="74" t="s">
        <v>1931</v>
      </c>
      <c r="H902" s="75" t="s">
        <v>1932</v>
      </c>
      <c r="I902" s="85" t="s">
        <v>1967</v>
      </c>
      <c r="J902" s="77"/>
      <c r="K902" s="78" t="s">
        <v>1933</v>
      </c>
      <c r="L902" s="79"/>
    </row>
    <row r="903" ht="22.5" customHeight="1">
      <c r="A903" s="80">
        <v>84.0</v>
      </c>
      <c r="B903" s="81" t="s">
        <v>2017</v>
      </c>
      <c r="C903" s="82"/>
      <c r="D903" s="80">
        <v>9.77746861E9</v>
      </c>
      <c r="E903" s="81" t="s">
        <v>11</v>
      </c>
      <c r="F903" s="81" t="s">
        <v>385</v>
      </c>
      <c r="G903" s="83" t="s">
        <v>1931</v>
      </c>
      <c r="H903" s="75" t="s">
        <v>1932</v>
      </c>
      <c r="I903" s="85" t="s">
        <v>1967</v>
      </c>
      <c r="J903" s="84"/>
      <c r="K903" s="78" t="s">
        <v>1933</v>
      </c>
      <c r="L903" s="79"/>
    </row>
    <row r="904" ht="22.5" customHeight="1">
      <c r="A904" s="71">
        <v>85.0</v>
      </c>
      <c r="B904" s="72" t="s">
        <v>2018</v>
      </c>
      <c r="C904" s="73"/>
      <c r="D904" s="71">
        <v>7.84703065E9</v>
      </c>
      <c r="E904" s="72" t="s">
        <v>11</v>
      </c>
      <c r="F904" s="72" t="s">
        <v>385</v>
      </c>
      <c r="G904" s="74" t="s">
        <v>1931</v>
      </c>
      <c r="H904" s="75" t="s">
        <v>1932</v>
      </c>
      <c r="I904" s="85" t="s">
        <v>1967</v>
      </c>
      <c r="J904" s="77"/>
      <c r="K904" s="78" t="s">
        <v>1933</v>
      </c>
      <c r="L904" s="79"/>
    </row>
    <row r="905" ht="22.5" customHeight="1">
      <c r="A905" s="80">
        <v>86.0</v>
      </c>
      <c r="B905" s="81" t="s">
        <v>2019</v>
      </c>
      <c r="C905" s="82"/>
      <c r="D905" s="80">
        <v>8.52947129E9</v>
      </c>
      <c r="E905" s="81" t="s">
        <v>11</v>
      </c>
      <c r="F905" s="81" t="s">
        <v>385</v>
      </c>
      <c r="G905" s="83" t="s">
        <v>1931</v>
      </c>
      <c r="H905" s="75" t="s">
        <v>1932</v>
      </c>
      <c r="I905" s="85" t="s">
        <v>1967</v>
      </c>
      <c r="J905" s="84"/>
      <c r="K905" s="78" t="s">
        <v>1933</v>
      </c>
      <c r="L905" s="79"/>
    </row>
    <row r="906" ht="22.5" customHeight="1">
      <c r="A906" s="71">
        <v>87.0</v>
      </c>
      <c r="B906" s="72" t="s">
        <v>2020</v>
      </c>
      <c r="C906" s="73"/>
      <c r="D906" s="71">
        <v>7.735080018E9</v>
      </c>
      <c r="E906" s="72" t="s">
        <v>11</v>
      </c>
      <c r="F906" s="72" t="s">
        <v>385</v>
      </c>
      <c r="G906" s="74" t="s">
        <v>1931</v>
      </c>
      <c r="H906" s="75" t="s">
        <v>1932</v>
      </c>
      <c r="I906" s="85" t="s">
        <v>1967</v>
      </c>
      <c r="J906" s="77"/>
      <c r="K906" s="78" t="s">
        <v>1933</v>
      </c>
      <c r="L906" s="79"/>
    </row>
    <row r="907" ht="22.5" customHeight="1">
      <c r="A907" s="80">
        <v>88.0</v>
      </c>
      <c r="B907" s="81" t="s">
        <v>2021</v>
      </c>
      <c r="C907" s="82"/>
      <c r="D907" s="80">
        <v>8.25017887E9</v>
      </c>
      <c r="E907" s="81" t="s">
        <v>11</v>
      </c>
      <c r="F907" s="81" t="s">
        <v>385</v>
      </c>
      <c r="G907" s="83" t="s">
        <v>1931</v>
      </c>
      <c r="H907" s="75" t="s">
        <v>1932</v>
      </c>
      <c r="I907" s="85" t="s">
        <v>1967</v>
      </c>
      <c r="J907" s="84"/>
      <c r="K907" s="78" t="s">
        <v>1933</v>
      </c>
      <c r="L907" s="79"/>
    </row>
    <row r="908" ht="22.5" customHeight="1">
      <c r="A908" s="71">
        <v>89.0</v>
      </c>
      <c r="B908" s="72" t="s">
        <v>2022</v>
      </c>
      <c r="C908" s="73"/>
      <c r="D908" s="71">
        <v>8.018441766E9</v>
      </c>
      <c r="E908" s="72" t="s">
        <v>11</v>
      </c>
      <c r="F908" s="72" t="s">
        <v>385</v>
      </c>
      <c r="G908" s="74" t="s">
        <v>1931</v>
      </c>
      <c r="H908" s="75" t="s">
        <v>1932</v>
      </c>
      <c r="I908" s="85" t="s">
        <v>1967</v>
      </c>
      <c r="J908" s="77"/>
      <c r="K908" s="78" t="s">
        <v>1933</v>
      </c>
      <c r="L908" s="79"/>
    </row>
    <row r="909" ht="22.5" customHeight="1">
      <c r="A909" s="80">
        <v>90.0</v>
      </c>
      <c r="B909" s="81" t="s">
        <v>2023</v>
      </c>
      <c r="C909" s="82"/>
      <c r="D909" s="80">
        <v>8.093170373E9</v>
      </c>
      <c r="E909" s="81" t="s">
        <v>11</v>
      </c>
      <c r="F909" s="81" t="s">
        <v>385</v>
      </c>
      <c r="G909" s="83" t="s">
        <v>1931</v>
      </c>
      <c r="H909" s="75" t="s">
        <v>1932</v>
      </c>
      <c r="I909" s="85" t="s">
        <v>1967</v>
      </c>
      <c r="J909" s="84"/>
      <c r="K909" s="78" t="s">
        <v>1933</v>
      </c>
      <c r="L909" s="79"/>
    </row>
    <row r="910" ht="22.5" customHeight="1">
      <c r="A910" s="71">
        <v>91.0</v>
      </c>
      <c r="B910" s="72" t="s">
        <v>2024</v>
      </c>
      <c r="C910" s="73"/>
      <c r="D910" s="71">
        <v>7.894131489E9</v>
      </c>
      <c r="E910" s="72" t="s">
        <v>11</v>
      </c>
      <c r="F910" s="72" t="s">
        <v>385</v>
      </c>
      <c r="G910" s="74" t="s">
        <v>1931</v>
      </c>
      <c r="H910" s="75" t="s">
        <v>1932</v>
      </c>
      <c r="I910" s="85" t="s">
        <v>1967</v>
      </c>
      <c r="J910" s="77"/>
      <c r="K910" s="78" t="s">
        <v>1933</v>
      </c>
      <c r="L910" s="79"/>
    </row>
    <row r="911" ht="22.5" customHeight="1">
      <c r="A911" s="80">
        <v>92.0</v>
      </c>
      <c r="B911" s="81" t="s">
        <v>2025</v>
      </c>
      <c r="C911" s="82"/>
      <c r="D911" s="80">
        <v>9.437225307E9</v>
      </c>
      <c r="E911" s="81" t="s">
        <v>11</v>
      </c>
      <c r="F911" s="81" t="s">
        <v>385</v>
      </c>
      <c r="G911" s="83" t="s">
        <v>1931</v>
      </c>
      <c r="H911" s="75" t="s">
        <v>1932</v>
      </c>
      <c r="I911" s="85" t="s">
        <v>1967</v>
      </c>
      <c r="J911" s="84"/>
      <c r="K911" s="78" t="s">
        <v>1933</v>
      </c>
      <c r="L911" s="79"/>
    </row>
    <row r="912" ht="22.5" customHeight="1">
      <c r="A912" s="71">
        <v>93.0</v>
      </c>
      <c r="B912" s="72" t="s">
        <v>2026</v>
      </c>
      <c r="C912" s="73"/>
      <c r="D912" s="71">
        <v>9.169946558E9</v>
      </c>
      <c r="E912" s="72" t="s">
        <v>11</v>
      </c>
      <c r="F912" s="72" t="s">
        <v>385</v>
      </c>
      <c r="G912" s="74" t="s">
        <v>1931</v>
      </c>
      <c r="H912" s="75" t="s">
        <v>1932</v>
      </c>
      <c r="I912" s="85" t="s">
        <v>1967</v>
      </c>
      <c r="J912" s="77"/>
      <c r="K912" s="78" t="s">
        <v>1933</v>
      </c>
      <c r="L912" s="79"/>
    </row>
    <row r="913" ht="22.5" customHeight="1">
      <c r="A913" s="80">
        <v>94.0</v>
      </c>
      <c r="B913" s="81" t="s">
        <v>2027</v>
      </c>
      <c r="C913" s="82"/>
      <c r="D913" s="80">
        <v>7.815003819E9</v>
      </c>
      <c r="E913" s="81" t="s">
        <v>11</v>
      </c>
      <c r="F913" s="81" t="s">
        <v>385</v>
      </c>
      <c r="G913" s="83" t="s">
        <v>1931</v>
      </c>
      <c r="H913" s="75" t="s">
        <v>1932</v>
      </c>
      <c r="I913" s="85" t="s">
        <v>1967</v>
      </c>
      <c r="J913" s="84"/>
      <c r="K913" s="78" t="s">
        <v>1933</v>
      </c>
      <c r="L913" s="79"/>
    </row>
    <row r="914" ht="22.5" customHeight="1">
      <c r="A914" s="71">
        <v>95.0</v>
      </c>
      <c r="B914" s="72" t="s">
        <v>2028</v>
      </c>
      <c r="C914" s="73"/>
      <c r="D914" s="71">
        <v>9.668866005E9</v>
      </c>
      <c r="E914" s="72" t="s">
        <v>11</v>
      </c>
      <c r="F914" s="72" t="s">
        <v>385</v>
      </c>
      <c r="G914" s="74" t="s">
        <v>1931</v>
      </c>
      <c r="H914" s="75" t="s">
        <v>1932</v>
      </c>
      <c r="I914" s="85" t="s">
        <v>1967</v>
      </c>
      <c r="J914" s="77"/>
      <c r="K914" s="78" t="s">
        <v>1933</v>
      </c>
      <c r="L914" s="79"/>
    </row>
    <row r="915" ht="22.5" customHeight="1">
      <c r="A915" s="80">
        <v>96.0</v>
      </c>
      <c r="B915" s="81" t="s">
        <v>2029</v>
      </c>
      <c r="C915" s="82"/>
      <c r="D915" s="80">
        <v>9.040900727E9</v>
      </c>
      <c r="E915" s="81" t="s">
        <v>11</v>
      </c>
      <c r="F915" s="81" t="s">
        <v>385</v>
      </c>
      <c r="G915" s="83" t="s">
        <v>1931</v>
      </c>
      <c r="H915" s="75" t="s">
        <v>1932</v>
      </c>
      <c r="I915" s="85" t="s">
        <v>1967</v>
      </c>
      <c r="J915" s="84"/>
      <c r="K915" s="78" t="s">
        <v>1933</v>
      </c>
      <c r="L915" s="79"/>
    </row>
    <row r="916" ht="22.5" customHeight="1">
      <c r="A916" s="71">
        <v>97.0</v>
      </c>
      <c r="B916" s="72" t="s">
        <v>2030</v>
      </c>
      <c r="C916" s="73"/>
      <c r="D916" s="71">
        <v>7.008804876E9</v>
      </c>
      <c r="E916" s="72" t="s">
        <v>11</v>
      </c>
      <c r="F916" s="72" t="s">
        <v>385</v>
      </c>
      <c r="G916" s="74" t="s">
        <v>1931</v>
      </c>
      <c r="H916" s="75" t="s">
        <v>1932</v>
      </c>
      <c r="I916" s="85" t="s">
        <v>1967</v>
      </c>
      <c r="J916" s="77"/>
      <c r="K916" s="78" t="s">
        <v>1933</v>
      </c>
      <c r="L916" s="79"/>
    </row>
    <row r="917" ht="22.5" customHeight="1">
      <c r="A917" s="80">
        <v>98.0</v>
      </c>
      <c r="B917" s="81" t="s">
        <v>2031</v>
      </c>
      <c r="C917" s="82"/>
      <c r="D917" s="80">
        <v>8.895788132E9</v>
      </c>
      <c r="E917" s="81" t="s">
        <v>11</v>
      </c>
      <c r="F917" s="81" t="s">
        <v>385</v>
      </c>
      <c r="G917" s="83" t="s">
        <v>1931</v>
      </c>
      <c r="H917" s="75" t="s">
        <v>1932</v>
      </c>
      <c r="I917" s="85" t="s">
        <v>1967</v>
      </c>
      <c r="J917" s="84"/>
      <c r="K917" s="78" t="s">
        <v>1933</v>
      </c>
      <c r="L917" s="79"/>
    </row>
    <row r="918" ht="22.5" customHeight="1">
      <c r="A918" s="71">
        <v>99.0</v>
      </c>
      <c r="B918" s="72" t="s">
        <v>2032</v>
      </c>
      <c r="C918" s="73"/>
      <c r="D918" s="71">
        <v>6.372092196E9</v>
      </c>
      <c r="E918" s="72" t="s">
        <v>11</v>
      </c>
      <c r="F918" s="72" t="s">
        <v>385</v>
      </c>
      <c r="G918" s="74" t="s">
        <v>1931</v>
      </c>
      <c r="H918" s="75" t="s">
        <v>1932</v>
      </c>
      <c r="I918" s="85" t="s">
        <v>1967</v>
      </c>
      <c r="J918" s="77"/>
      <c r="K918" s="78" t="s">
        <v>1933</v>
      </c>
      <c r="L918" s="79"/>
    </row>
    <row r="919" ht="22.5" customHeight="1">
      <c r="A919" s="80">
        <v>100.0</v>
      </c>
      <c r="B919" s="81" t="s">
        <v>2033</v>
      </c>
      <c r="C919" s="82"/>
      <c r="D919" s="80">
        <v>9.437100458E9</v>
      </c>
      <c r="E919" s="81" t="s">
        <v>11</v>
      </c>
      <c r="F919" s="81" t="s">
        <v>385</v>
      </c>
      <c r="G919" s="83" t="s">
        <v>1931</v>
      </c>
      <c r="H919" s="75" t="s">
        <v>1932</v>
      </c>
      <c r="I919" s="85" t="s">
        <v>1967</v>
      </c>
      <c r="J919" s="84"/>
      <c r="K919" s="78" t="s">
        <v>1933</v>
      </c>
      <c r="L919" s="79"/>
    </row>
    <row r="920" ht="22.5" customHeight="1">
      <c r="A920" s="71">
        <v>101.0</v>
      </c>
      <c r="B920" s="72" t="s">
        <v>2034</v>
      </c>
      <c r="C920" s="73"/>
      <c r="D920" s="71">
        <v>9.437195295E9</v>
      </c>
      <c r="E920" s="72" t="s">
        <v>11</v>
      </c>
      <c r="F920" s="72" t="s">
        <v>385</v>
      </c>
      <c r="G920" s="74" t="s">
        <v>1931</v>
      </c>
      <c r="H920" s="75" t="s">
        <v>1932</v>
      </c>
      <c r="I920" s="85" t="s">
        <v>1967</v>
      </c>
      <c r="J920" s="77"/>
      <c r="K920" s="78" t="s">
        <v>1933</v>
      </c>
      <c r="L920" s="79"/>
    </row>
    <row r="921" ht="22.5" customHeight="1">
      <c r="A921" s="80">
        <v>102.0</v>
      </c>
      <c r="B921" s="81" t="s">
        <v>2035</v>
      </c>
      <c r="C921" s="82"/>
      <c r="D921" s="80">
        <v>7.077795554E9</v>
      </c>
      <c r="E921" s="81" t="s">
        <v>11</v>
      </c>
      <c r="F921" s="81" t="s">
        <v>385</v>
      </c>
      <c r="G921" s="83" t="s">
        <v>1931</v>
      </c>
      <c r="H921" s="75" t="s">
        <v>1932</v>
      </c>
      <c r="I921" s="85" t="s">
        <v>1967</v>
      </c>
      <c r="J921" s="84"/>
      <c r="K921" s="78" t="s">
        <v>1933</v>
      </c>
      <c r="L921" s="79"/>
    </row>
    <row r="922" ht="22.5" customHeight="1">
      <c r="A922" s="71">
        <v>103.0</v>
      </c>
      <c r="B922" s="72" t="s">
        <v>2036</v>
      </c>
      <c r="C922" s="73"/>
      <c r="D922" s="71">
        <v>7.008491534E9</v>
      </c>
      <c r="E922" s="72" t="s">
        <v>11</v>
      </c>
      <c r="F922" s="72" t="s">
        <v>385</v>
      </c>
      <c r="G922" s="74" t="s">
        <v>1931</v>
      </c>
      <c r="H922" s="75" t="s">
        <v>1932</v>
      </c>
      <c r="I922" s="85" t="s">
        <v>1967</v>
      </c>
      <c r="J922" s="77"/>
      <c r="K922" s="78" t="s">
        <v>1933</v>
      </c>
      <c r="L922" s="79"/>
    </row>
    <row r="923" ht="22.5" customHeight="1">
      <c r="A923" s="80">
        <v>104.0</v>
      </c>
      <c r="B923" s="81" t="s">
        <v>2037</v>
      </c>
      <c r="C923" s="82"/>
      <c r="D923" s="80">
        <v>9.93759621E9</v>
      </c>
      <c r="E923" s="81" t="s">
        <v>11</v>
      </c>
      <c r="F923" s="81" t="s">
        <v>385</v>
      </c>
      <c r="G923" s="83" t="s">
        <v>1931</v>
      </c>
      <c r="H923" s="75" t="s">
        <v>1932</v>
      </c>
      <c r="I923" s="85" t="s">
        <v>1967</v>
      </c>
      <c r="J923" s="84"/>
      <c r="K923" s="78" t="s">
        <v>1933</v>
      </c>
      <c r="L923" s="79"/>
    </row>
    <row r="924" ht="22.5" customHeight="1">
      <c r="A924" s="71">
        <v>105.0</v>
      </c>
      <c r="B924" s="72" t="s">
        <v>2038</v>
      </c>
      <c r="C924" s="73"/>
      <c r="D924" s="71">
        <v>7.205365066E9</v>
      </c>
      <c r="E924" s="72" t="s">
        <v>11</v>
      </c>
      <c r="F924" s="72" t="s">
        <v>385</v>
      </c>
      <c r="G924" s="74" t="s">
        <v>1931</v>
      </c>
      <c r="H924" s="75" t="s">
        <v>1932</v>
      </c>
      <c r="I924" s="85" t="s">
        <v>1967</v>
      </c>
      <c r="J924" s="77"/>
      <c r="K924" s="78" t="s">
        <v>1933</v>
      </c>
      <c r="L924" s="79"/>
    </row>
    <row r="925" ht="22.5" customHeight="1">
      <c r="A925" s="80">
        <v>106.0</v>
      </c>
      <c r="B925" s="81" t="s">
        <v>2039</v>
      </c>
      <c r="C925" s="82"/>
      <c r="D925" s="80">
        <v>9.93737501E9</v>
      </c>
      <c r="E925" s="81" t="s">
        <v>11</v>
      </c>
      <c r="F925" s="81" t="s">
        <v>385</v>
      </c>
      <c r="G925" s="83" t="s">
        <v>1931</v>
      </c>
      <c r="H925" s="75" t="s">
        <v>1932</v>
      </c>
      <c r="I925" s="85" t="s">
        <v>1967</v>
      </c>
      <c r="J925" s="84"/>
      <c r="K925" s="78" t="s">
        <v>1933</v>
      </c>
      <c r="L925" s="79"/>
    </row>
    <row r="926" ht="22.5" customHeight="1">
      <c r="A926" s="71">
        <v>107.0</v>
      </c>
      <c r="B926" s="72" t="s">
        <v>2040</v>
      </c>
      <c r="C926" s="73"/>
      <c r="D926" s="71">
        <v>9.937329863E9</v>
      </c>
      <c r="E926" s="72" t="s">
        <v>11</v>
      </c>
      <c r="F926" s="72" t="s">
        <v>385</v>
      </c>
      <c r="G926" s="74" t="s">
        <v>1931</v>
      </c>
      <c r="H926" s="75" t="s">
        <v>1932</v>
      </c>
      <c r="I926" s="85" t="s">
        <v>1967</v>
      </c>
      <c r="J926" s="77"/>
      <c r="K926" s="78" t="s">
        <v>1933</v>
      </c>
      <c r="L926" s="79"/>
    </row>
    <row r="927" ht="22.5" customHeight="1">
      <c r="A927" s="80">
        <v>108.0</v>
      </c>
      <c r="B927" s="81" t="s">
        <v>2041</v>
      </c>
      <c r="C927" s="82"/>
      <c r="D927" s="80">
        <v>8.926148556E9</v>
      </c>
      <c r="E927" s="81" t="s">
        <v>11</v>
      </c>
      <c r="F927" s="81" t="s">
        <v>385</v>
      </c>
      <c r="G927" s="83" t="s">
        <v>1931</v>
      </c>
      <c r="H927" s="75" t="s">
        <v>1932</v>
      </c>
      <c r="I927" s="85" t="s">
        <v>1967</v>
      </c>
      <c r="J927" s="84"/>
      <c r="K927" s="78" t="s">
        <v>1933</v>
      </c>
      <c r="L927" s="79"/>
    </row>
    <row r="928" ht="22.5" customHeight="1">
      <c r="A928" s="71">
        <v>109.0</v>
      </c>
      <c r="B928" s="72" t="s">
        <v>2042</v>
      </c>
      <c r="C928" s="73"/>
      <c r="D928" s="71">
        <v>7.837837932E9</v>
      </c>
      <c r="E928" s="72" t="s">
        <v>11</v>
      </c>
      <c r="F928" s="72" t="s">
        <v>385</v>
      </c>
      <c r="G928" s="74" t="s">
        <v>1931</v>
      </c>
      <c r="H928" s="75" t="s">
        <v>1932</v>
      </c>
      <c r="I928" s="85" t="s">
        <v>1967</v>
      </c>
      <c r="J928" s="77"/>
      <c r="K928" s="78" t="s">
        <v>1933</v>
      </c>
      <c r="L928" s="79"/>
    </row>
    <row r="929" ht="22.5" customHeight="1">
      <c r="A929" s="80">
        <v>110.0</v>
      </c>
      <c r="B929" s="81" t="s">
        <v>2043</v>
      </c>
      <c r="C929" s="82"/>
      <c r="D929" s="80">
        <v>8.555045993E9</v>
      </c>
      <c r="E929" s="81" t="s">
        <v>11</v>
      </c>
      <c r="F929" s="81" t="s">
        <v>385</v>
      </c>
      <c r="G929" s="83" t="s">
        <v>1931</v>
      </c>
      <c r="H929" s="75" t="s">
        <v>1932</v>
      </c>
      <c r="I929" s="85" t="s">
        <v>1967</v>
      </c>
      <c r="J929" s="84"/>
      <c r="K929" s="78" t="s">
        <v>1933</v>
      </c>
      <c r="L929" s="79"/>
    </row>
    <row r="930" ht="22.5" customHeight="1">
      <c r="A930" s="71">
        <v>111.0</v>
      </c>
      <c r="B930" s="72" t="s">
        <v>2044</v>
      </c>
      <c r="C930" s="73"/>
      <c r="D930" s="71">
        <v>9.937642848E9</v>
      </c>
      <c r="E930" s="72" t="s">
        <v>11</v>
      </c>
      <c r="F930" s="72" t="s">
        <v>385</v>
      </c>
      <c r="G930" s="74" t="s">
        <v>1931</v>
      </c>
      <c r="H930" s="75" t="s">
        <v>1932</v>
      </c>
      <c r="I930" s="85" t="s">
        <v>1967</v>
      </c>
      <c r="J930" s="77"/>
      <c r="K930" s="78" t="s">
        <v>1933</v>
      </c>
      <c r="L930" s="79"/>
    </row>
    <row r="931" ht="22.5" customHeight="1">
      <c r="A931" s="80">
        <v>112.0</v>
      </c>
      <c r="B931" s="81" t="s">
        <v>2045</v>
      </c>
      <c r="C931" s="82"/>
      <c r="D931" s="80">
        <v>7.978855757E9</v>
      </c>
      <c r="E931" s="81" t="s">
        <v>11</v>
      </c>
      <c r="F931" s="81" t="s">
        <v>385</v>
      </c>
      <c r="G931" s="83" t="s">
        <v>1931</v>
      </c>
      <c r="H931" s="75" t="s">
        <v>1932</v>
      </c>
      <c r="I931" s="85" t="s">
        <v>1967</v>
      </c>
      <c r="J931" s="84"/>
      <c r="K931" s="78" t="s">
        <v>1933</v>
      </c>
      <c r="L931" s="79"/>
    </row>
    <row r="932" ht="22.5" customHeight="1">
      <c r="A932" s="71">
        <v>113.0</v>
      </c>
      <c r="B932" s="72" t="s">
        <v>2046</v>
      </c>
      <c r="C932" s="73"/>
      <c r="D932" s="71">
        <v>9.348549171E9</v>
      </c>
      <c r="E932" s="72" t="s">
        <v>11</v>
      </c>
      <c r="F932" s="72" t="s">
        <v>385</v>
      </c>
      <c r="G932" s="74" t="s">
        <v>1931</v>
      </c>
      <c r="H932" s="75" t="s">
        <v>1932</v>
      </c>
      <c r="I932" s="85" t="s">
        <v>1967</v>
      </c>
      <c r="J932" s="77"/>
      <c r="K932" s="78" t="s">
        <v>1933</v>
      </c>
      <c r="L932" s="79"/>
    </row>
    <row r="933" ht="22.5" customHeight="1">
      <c r="A933" s="80">
        <v>114.0</v>
      </c>
      <c r="B933" s="81" t="s">
        <v>2047</v>
      </c>
      <c r="C933" s="82"/>
      <c r="D933" s="80">
        <v>7.008823529E9</v>
      </c>
      <c r="E933" s="81" t="s">
        <v>11</v>
      </c>
      <c r="F933" s="81" t="s">
        <v>385</v>
      </c>
      <c r="G933" s="83" t="s">
        <v>1931</v>
      </c>
      <c r="H933" s="75" t="s">
        <v>1932</v>
      </c>
      <c r="I933" s="85" t="s">
        <v>1967</v>
      </c>
      <c r="J933" s="84"/>
      <c r="K933" s="78" t="s">
        <v>1933</v>
      </c>
      <c r="L933" s="79"/>
    </row>
    <row r="934" ht="22.5" customHeight="1">
      <c r="A934" s="71">
        <v>115.0</v>
      </c>
      <c r="B934" s="72" t="s">
        <v>2048</v>
      </c>
      <c r="C934" s="73"/>
      <c r="D934" s="71">
        <v>6.370710582E9</v>
      </c>
      <c r="E934" s="72" t="s">
        <v>11</v>
      </c>
      <c r="F934" s="72" t="s">
        <v>385</v>
      </c>
      <c r="G934" s="74" t="s">
        <v>1931</v>
      </c>
      <c r="H934" s="75" t="s">
        <v>1932</v>
      </c>
      <c r="I934" s="85" t="s">
        <v>1967</v>
      </c>
      <c r="J934" s="77"/>
      <c r="K934" s="78" t="s">
        <v>1933</v>
      </c>
      <c r="L934" s="79"/>
    </row>
    <row r="935" ht="22.5" customHeight="1">
      <c r="A935" s="80">
        <v>116.0</v>
      </c>
      <c r="B935" s="81" t="s">
        <v>2049</v>
      </c>
      <c r="C935" s="82"/>
      <c r="D935" s="80">
        <v>6.370487992E9</v>
      </c>
      <c r="E935" s="81" t="s">
        <v>11</v>
      </c>
      <c r="F935" s="81" t="s">
        <v>385</v>
      </c>
      <c r="G935" s="83" t="s">
        <v>1931</v>
      </c>
      <c r="H935" s="75" t="s">
        <v>1932</v>
      </c>
      <c r="I935" s="85" t="s">
        <v>1967</v>
      </c>
      <c r="J935" s="84"/>
      <c r="K935" s="78" t="s">
        <v>1933</v>
      </c>
      <c r="L935" s="79"/>
    </row>
    <row r="936" ht="22.5" customHeight="1">
      <c r="A936" s="71">
        <v>117.0</v>
      </c>
      <c r="B936" s="72" t="s">
        <v>2050</v>
      </c>
      <c r="C936" s="73"/>
      <c r="D936" s="71">
        <v>9.692120996E9</v>
      </c>
      <c r="E936" s="72" t="s">
        <v>11</v>
      </c>
      <c r="F936" s="72" t="s">
        <v>385</v>
      </c>
      <c r="G936" s="74" t="s">
        <v>1931</v>
      </c>
      <c r="H936" s="75" t="s">
        <v>1932</v>
      </c>
      <c r="I936" s="85" t="s">
        <v>1967</v>
      </c>
      <c r="J936" s="77"/>
      <c r="K936" s="78" t="s">
        <v>1933</v>
      </c>
      <c r="L936" s="79"/>
    </row>
    <row r="937" ht="22.5" customHeight="1">
      <c r="A937" s="80">
        <v>118.0</v>
      </c>
      <c r="B937" s="81" t="s">
        <v>2051</v>
      </c>
      <c r="C937" s="82"/>
      <c r="D937" s="80">
        <v>9.437202313E9</v>
      </c>
      <c r="E937" s="81" t="s">
        <v>11</v>
      </c>
      <c r="F937" s="81" t="s">
        <v>385</v>
      </c>
      <c r="G937" s="83" t="s">
        <v>1931</v>
      </c>
      <c r="H937" s="75" t="s">
        <v>1932</v>
      </c>
      <c r="I937" s="85" t="s">
        <v>1967</v>
      </c>
      <c r="J937" s="84"/>
      <c r="K937" s="78" t="s">
        <v>1933</v>
      </c>
      <c r="L937" s="79"/>
    </row>
    <row r="938" ht="22.5" customHeight="1">
      <c r="A938" s="71">
        <v>119.0</v>
      </c>
      <c r="B938" s="72" t="s">
        <v>2052</v>
      </c>
      <c r="C938" s="73"/>
      <c r="D938" s="71">
        <v>7.00835771E9</v>
      </c>
      <c r="E938" s="72" t="s">
        <v>11</v>
      </c>
      <c r="F938" s="72" t="s">
        <v>385</v>
      </c>
      <c r="G938" s="74" t="s">
        <v>1931</v>
      </c>
      <c r="H938" s="75" t="s">
        <v>1932</v>
      </c>
      <c r="I938" s="85" t="s">
        <v>1967</v>
      </c>
      <c r="J938" s="77"/>
      <c r="K938" s="78" t="s">
        <v>1933</v>
      </c>
      <c r="L938" s="79"/>
    </row>
    <row r="939" ht="22.5" customHeight="1">
      <c r="A939" s="80">
        <v>120.0</v>
      </c>
      <c r="B939" s="81" t="s">
        <v>2053</v>
      </c>
      <c r="C939" s="82"/>
      <c r="D939" s="80">
        <v>9.437004846E9</v>
      </c>
      <c r="E939" s="81" t="s">
        <v>11</v>
      </c>
      <c r="F939" s="81" t="s">
        <v>385</v>
      </c>
      <c r="G939" s="83" t="s">
        <v>1931</v>
      </c>
      <c r="H939" s="75" t="s">
        <v>1932</v>
      </c>
      <c r="I939" s="85" t="s">
        <v>1967</v>
      </c>
      <c r="J939" s="84"/>
      <c r="K939" s="78" t="s">
        <v>1933</v>
      </c>
      <c r="L939" s="79"/>
    </row>
    <row r="940" ht="22.5" customHeight="1">
      <c r="A940" s="71">
        <v>121.0</v>
      </c>
      <c r="B940" s="72" t="s">
        <v>2054</v>
      </c>
      <c r="C940" s="73"/>
      <c r="D940" s="71">
        <v>8.249646926E9</v>
      </c>
      <c r="E940" s="72" t="s">
        <v>11</v>
      </c>
      <c r="F940" s="72" t="s">
        <v>385</v>
      </c>
      <c r="G940" s="74" t="s">
        <v>1931</v>
      </c>
      <c r="H940" s="75" t="s">
        <v>1932</v>
      </c>
      <c r="I940" s="85" t="s">
        <v>1967</v>
      </c>
      <c r="J940" s="77"/>
      <c r="K940" s="78" t="s">
        <v>1933</v>
      </c>
      <c r="L940" s="79"/>
    </row>
    <row r="941" ht="22.5" customHeight="1">
      <c r="A941" s="80">
        <v>122.0</v>
      </c>
      <c r="B941" s="81" t="s">
        <v>2055</v>
      </c>
      <c r="C941" s="82"/>
      <c r="D941" s="80">
        <v>7.894567087E9</v>
      </c>
      <c r="E941" s="81" t="s">
        <v>11</v>
      </c>
      <c r="F941" s="81" t="s">
        <v>385</v>
      </c>
      <c r="G941" s="83" t="s">
        <v>1931</v>
      </c>
      <c r="H941" s="75" t="s">
        <v>1932</v>
      </c>
      <c r="I941" s="85" t="s">
        <v>1967</v>
      </c>
      <c r="J941" s="84"/>
      <c r="K941" s="78" t="s">
        <v>1933</v>
      </c>
      <c r="L941" s="79"/>
    </row>
    <row r="942" ht="22.5" customHeight="1">
      <c r="A942" s="71">
        <v>123.0</v>
      </c>
      <c r="B942" s="72" t="s">
        <v>2056</v>
      </c>
      <c r="C942" s="73"/>
      <c r="D942" s="71">
        <v>9.3486902E9</v>
      </c>
      <c r="E942" s="72" t="s">
        <v>11</v>
      </c>
      <c r="F942" s="72" t="s">
        <v>385</v>
      </c>
      <c r="G942" s="74" t="s">
        <v>1931</v>
      </c>
      <c r="H942" s="75" t="s">
        <v>1932</v>
      </c>
      <c r="I942" s="85" t="s">
        <v>1967</v>
      </c>
      <c r="J942" s="77"/>
      <c r="K942" s="78" t="s">
        <v>1933</v>
      </c>
      <c r="L942" s="79"/>
    </row>
    <row r="943" ht="22.5" customHeight="1">
      <c r="A943" s="80">
        <v>124.0</v>
      </c>
      <c r="B943" s="81" t="s">
        <v>2057</v>
      </c>
      <c r="C943" s="82"/>
      <c r="D943" s="80">
        <v>7.735375839E9</v>
      </c>
      <c r="E943" s="81" t="s">
        <v>11</v>
      </c>
      <c r="F943" s="81" t="s">
        <v>385</v>
      </c>
      <c r="G943" s="83" t="s">
        <v>1931</v>
      </c>
      <c r="H943" s="75" t="s">
        <v>1932</v>
      </c>
      <c r="I943" s="85" t="s">
        <v>1967</v>
      </c>
      <c r="J943" s="84"/>
      <c r="K943" s="78" t="s">
        <v>1933</v>
      </c>
      <c r="L943" s="79"/>
    </row>
    <row r="944" ht="22.5" customHeight="1">
      <c r="A944" s="71">
        <v>125.0</v>
      </c>
      <c r="B944" s="72" t="s">
        <v>2058</v>
      </c>
      <c r="C944" s="73"/>
      <c r="D944" s="71">
        <v>8.328882074E9</v>
      </c>
      <c r="E944" s="72" t="s">
        <v>11</v>
      </c>
      <c r="F944" s="72" t="s">
        <v>385</v>
      </c>
      <c r="G944" s="74" t="s">
        <v>1931</v>
      </c>
      <c r="H944" s="75" t="s">
        <v>1932</v>
      </c>
      <c r="I944" s="85" t="s">
        <v>1967</v>
      </c>
      <c r="J944" s="77"/>
      <c r="K944" s="78" t="s">
        <v>1933</v>
      </c>
      <c r="L944" s="79"/>
    </row>
    <row r="945" ht="22.5" customHeight="1">
      <c r="A945" s="80">
        <v>126.0</v>
      </c>
      <c r="B945" s="81" t="s">
        <v>2059</v>
      </c>
      <c r="C945" s="82"/>
      <c r="D945" s="80">
        <v>8.328828167E9</v>
      </c>
      <c r="E945" s="81" t="s">
        <v>11</v>
      </c>
      <c r="F945" s="81" t="s">
        <v>385</v>
      </c>
      <c r="G945" s="83" t="s">
        <v>1931</v>
      </c>
      <c r="H945" s="75" t="s">
        <v>1932</v>
      </c>
      <c r="I945" s="85" t="s">
        <v>1967</v>
      </c>
      <c r="J945" s="84"/>
      <c r="K945" s="78" t="s">
        <v>1933</v>
      </c>
      <c r="L945" s="79"/>
    </row>
    <row r="946" ht="22.5" customHeight="1">
      <c r="A946" s="71">
        <v>127.0</v>
      </c>
      <c r="B946" s="72" t="s">
        <v>2060</v>
      </c>
      <c r="C946" s="73"/>
      <c r="D946" s="71">
        <v>7.978623609E9</v>
      </c>
      <c r="E946" s="72" t="s">
        <v>11</v>
      </c>
      <c r="F946" s="72" t="s">
        <v>385</v>
      </c>
      <c r="G946" s="74" t="s">
        <v>1931</v>
      </c>
      <c r="H946" s="75" t="s">
        <v>1932</v>
      </c>
      <c r="I946" s="85" t="s">
        <v>1967</v>
      </c>
      <c r="J946" s="77"/>
      <c r="K946" s="78" t="s">
        <v>1933</v>
      </c>
      <c r="L946" s="79"/>
    </row>
    <row r="947" ht="22.5" customHeight="1">
      <c r="A947" s="80">
        <v>128.0</v>
      </c>
      <c r="B947" s="81" t="s">
        <v>2061</v>
      </c>
      <c r="C947" s="82"/>
      <c r="D947" s="80">
        <v>8.01879017E9</v>
      </c>
      <c r="E947" s="81" t="s">
        <v>11</v>
      </c>
      <c r="F947" s="81" t="s">
        <v>385</v>
      </c>
      <c r="G947" s="83" t="s">
        <v>1931</v>
      </c>
      <c r="H947" s="75" t="s">
        <v>1932</v>
      </c>
      <c r="I947" s="85" t="s">
        <v>1967</v>
      </c>
      <c r="J947" s="84"/>
      <c r="K947" s="78" t="s">
        <v>1933</v>
      </c>
      <c r="L947" s="79"/>
    </row>
    <row r="948" ht="22.5" customHeight="1">
      <c r="A948" s="71">
        <v>129.0</v>
      </c>
      <c r="B948" s="72" t="s">
        <v>2062</v>
      </c>
      <c r="C948" s="73"/>
      <c r="D948" s="71">
        <v>7.85485242E9</v>
      </c>
      <c r="E948" s="72" t="s">
        <v>11</v>
      </c>
      <c r="F948" s="72" t="s">
        <v>385</v>
      </c>
      <c r="G948" s="74" t="s">
        <v>1931</v>
      </c>
      <c r="H948" s="75" t="s">
        <v>1932</v>
      </c>
      <c r="I948" s="85" t="s">
        <v>1967</v>
      </c>
      <c r="J948" s="77"/>
      <c r="K948" s="78" t="s">
        <v>1933</v>
      </c>
      <c r="L948" s="79"/>
    </row>
    <row r="949" ht="22.5" customHeight="1">
      <c r="A949" s="80">
        <v>130.0</v>
      </c>
      <c r="B949" s="81" t="s">
        <v>2063</v>
      </c>
      <c r="C949" s="82"/>
      <c r="D949" s="80">
        <v>6.370467545E9</v>
      </c>
      <c r="E949" s="81" t="s">
        <v>11</v>
      </c>
      <c r="F949" s="81" t="s">
        <v>385</v>
      </c>
      <c r="G949" s="83" t="s">
        <v>1931</v>
      </c>
      <c r="H949" s="75" t="s">
        <v>1932</v>
      </c>
      <c r="I949" s="85" t="s">
        <v>1967</v>
      </c>
      <c r="J949" s="84"/>
      <c r="K949" s="78" t="s">
        <v>1933</v>
      </c>
      <c r="L949" s="79"/>
    </row>
    <row r="950" ht="22.5" customHeight="1">
      <c r="A950" s="71">
        <v>131.0</v>
      </c>
      <c r="B950" s="72" t="s">
        <v>2064</v>
      </c>
      <c r="C950" s="73"/>
      <c r="D950" s="71">
        <v>9.439921764E9</v>
      </c>
      <c r="E950" s="72" t="s">
        <v>11</v>
      </c>
      <c r="F950" s="72" t="s">
        <v>385</v>
      </c>
      <c r="G950" s="74" t="s">
        <v>1931</v>
      </c>
      <c r="H950" s="75" t="s">
        <v>1932</v>
      </c>
      <c r="I950" s="85" t="s">
        <v>1967</v>
      </c>
      <c r="J950" s="77"/>
      <c r="K950" s="78" t="s">
        <v>1933</v>
      </c>
      <c r="L950" s="79"/>
    </row>
    <row r="951" ht="22.5" customHeight="1">
      <c r="A951" s="80">
        <v>132.0</v>
      </c>
      <c r="B951" s="81" t="s">
        <v>2065</v>
      </c>
      <c r="C951" s="82"/>
      <c r="D951" s="80">
        <v>9.776320954E9</v>
      </c>
      <c r="E951" s="81" t="s">
        <v>11</v>
      </c>
      <c r="F951" s="81" t="s">
        <v>385</v>
      </c>
      <c r="G951" s="83" t="s">
        <v>1931</v>
      </c>
      <c r="H951" s="75" t="s">
        <v>1932</v>
      </c>
      <c r="I951" s="85" t="s">
        <v>1967</v>
      </c>
      <c r="J951" s="84"/>
      <c r="K951" s="78" t="s">
        <v>1933</v>
      </c>
      <c r="L951" s="79"/>
    </row>
    <row r="952" ht="22.5" customHeight="1">
      <c r="A952" s="71">
        <v>133.0</v>
      </c>
      <c r="B952" s="72" t="s">
        <v>2066</v>
      </c>
      <c r="C952" s="73"/>
      <c r="D952" s="71">
        <v>8.249714176E9</v>
      </c>
      <c r="E952" s="72" t="s">
        <v>11</v>
      </c>
      <c r="F952" s="72" t="s">
        <v>385</v>
      </c>
      <c r="G952" s="74" t="s">
        <v>1931</v>
      </c>
      <c r="H952" s="75" t="s">
        <v>1932</v>
      </c>
      <c r="I952" s="85" t="s">
        <v>1967</v>
      </c>
      <c r="J952" s="77"/>
      <c r="K952" s="78" t="s">
        <v>1933</v>
      </c>
      <c r="L952" s="79"/>
    </row>
    <row r="953" ht="22.5" customHeight="1">
      <c r="A953" s="80">
        <v>134.0</v>
      </c>
      <c r="B953" s="81" t="s">
        <v>2067</v>
      </c>
      <c r="C953" s="82"/>
      <c r="D953" s="80">
        <v>8.457841453E9</v>
      </c>
      <c r="E953" s="81" t="s">
        <v>11</v>
      </c>
      <c r="F953" s="81" t="s">
        <v>385</v>
      </c>
      <c r="G953" s="83" t="s">
        <v>1931</v>
      </c>
      <c r="H953" s="75" t="s">
        <v>1932</v>
      </c>
      <c r="I953" s="85" t="s">
        <v>1967</v>
      </c>
      <c r="J953" s="84"/>
      <c r="K953" s="78" t="s">
        <v>1933</v>
      </c>
      <c r="L953" s="79"/>
    </row>
    <row r="954" ht="22.5" customHeight="1">
      <c r="A954" s="71">
        <v>135.0</v>
      </c>
      <c r="B954" s="72" t="s">
        <v>2068</v>
      </c>
      <c r="C954" s="73"/>
      <c r="D954" s="71">
        <v>7.735714308E9</v>
      </c>
      <c r="E954" s="72" t="s">
        <v>11</v>
      </c>
      <c r="F954" s="72" t="s">
        <v>385</v>
      </c>
      <c r="G954" s="74" t="s">
        <v>1931</v>
      </c>
      <c r="H954" s="75" t="s">
        <v>1932</v>
      </c>
      <c r="I954" s="85" t="s">
        <v>1967</v>
      </c>
      <c r="J954" s="77"/>
      <c r="K954" s="78" t="s">
        <v>1933</v>
      </c>
      <c r="L954" s="79"/>
    </row>
    <row r="955" ht="22.5" customHeight="1">
      <c r="A955" s="80">
        <v>136.0</v>
      </c>
      <c r="B955" s="81" t="s">
        <v>2069</v>
      </c>
      <c r="C955" s="82"/>
      <c r="D955" s="80">
        <v>8.591541398E9</v>
      </c>
      <c r="E955" s="81" t="s">
        <v>11</v>
      </c>
      <c r="F955" s="81" t="s">
        <v>385</v>
      </c>
      <c r="G955" s="83" t="s">
        <v>1931</v>
      </c>
      <c r="H955" s="75" t="s">
        <v>1932</v>
      </c>
      <c r="I955" s="85" t="s">
        <v>1967</v>
      </c>
      <c r="J955" s="84"/>
      <c r="K955" s="78" t="s">
        <v>1933</v>
      </c>
      <c r="L955" s="79"/>
    </row>
    <row r="956" ht="22.5" customHeight="1">
      <c r="A956" s="71">
        <v>137.0</v>
      </c>
      <c r="B956" s="72" t="s">
        <v>2070</v>
      </c>
      <c r="C956" s="73"/>
      <c r="D956" s="71">
        <v>8.327762949E9</v>
      </c>
      <c r="E956" s="72" t="s">
        <v>11</v>
      </c>
      <c r="F956" s="72" t="s">
        <v>385</v>
      </c>
      <c r="G956" s="74" t="s">
        <v>1931</v>
      </c>
      <c r="H956" s="75" t="s">
        <v>1932</v>
      </c>
      <c r="I956" s="85" t="s">
        <v>1967</v>
      </c>
      <c r="J956" s="77"/>
      <c r="K956" s="78" t="s">
        <v>1933</v>
      </c>
      <c r="L956" s="79"/>
    </row>
    <row r="957" ht="22.5" customHeight="1">
      <c r="A957" s="80">
        <v>138.0</v>
      </c>
      <c r="B957" s="81" t="s">
        <v>2071</v>
      </c>
      <c r="C957" s="82"/>
      <c r="D957" s="80">
        <v>7.978371893E9</v>
      </c>
      <c r="E957" s="81" t="s">
        <v>11</v>
      </c>
      <c r="F957" s="81" t="s">
        <v>385</v>
      </c>
      <c r="G957" s="83" t="s">
        <v>1931</v>
      </c>
      <c r="H957" s="75" t="s">
        <v>1932</v>
      </c>
      <c r="I957" s="85" t="s">
        <v>1967</v>
      </c>
      <c r="J957" s="84"/>
      <c r="K957" s="78" t="s">
        <v>1933</v>
      </c>
      <c r="L957" s="79"/>
    </row>
    <row r="958" ht="22.5" customHeight="1">
      <c r="A958" s="71">
        <v>139.0</v>
      </c>
      <c r="B958" s="72" t="s">
        <v>2072</v>
      </c>
      <c r="C958" s="73"/>
      <c r="D958" s="71">
        <v>9.85352502E9</v>
      </c>
      <c r="E958" s="72" t="s">
        <v>11</v>
      </c>
      <c r="F958" s="72" t="s">
        <v>385</v>
      </c>
      <c r="G958" s="74" t="s">
        <v>1931</v>
      </c>
      <c r="H958" s="75" t="s">
        <v>1932</v>
      </c>
      <c r="I958" s="85" t="s">
        <v>1967</v>
      </c>
      <c r="J958" s="77"/>
      <c r="K958" s="78" t="s">
        <v>1933</v>
      </c>
      <c r="L958" s="79"/>
    </row>
    <row r="959" ht="22.5" customHeight="1">
      <c r="A959" s="80">
        <v>140.0</v>
      </c>
      <c r="B959" s="81" t="s">
        <v>2073</v>
      </c>
      <c r="C959" s="82"/>
      <c r="D959" s="80">
        <v>9.437226336E9</v>
      </c>
      <c r="E959" s="81" t="s">
        <v>11</v>
      </c>
      <c r="F959" s="81" t="s">
        <v>385</v>
      </c>
      <c r="G959" s="83" t="s">
        <v>1931</v>
      </c>
      <c r="H959" s="75" t="s">
        <v>1932</v>
      </c>
      <c r="I959" s="85" t="s">
        <v>1967</v>
      </c>
      <c r="J959" s="84"/>
      <c r="K959" s="78" t="s">
        <v>1933</v>
      </c>
      <c r="L959" s="79"/>
    </row>
    <row r="960" ht="22.5" customHeight="1">
      <c r="A960" s="71">
        <v>141.0</v>
      </c>
      <c r="B960" s="72" t="s">
        <v>2074</v>
      </c>
      <c r="C960" s="73"/>
      <c r="D960" s="71">
        <v>7.537014899E9</v>
      </c>
      <c r="E960" s="72" t="s">
        <v>11</v>
      </c>
      <c r="F960" s="72" t="s">
        <v>385</v>
      </c>
      <c r="G960" s="74" t="s">
        <v>1931</v>
      </c>
      <c r="H960" s="75" t="s">
        <v>1932</v>
      </c>
      <c r="I960" s="85" t="s">
        <v>1967</v>
      </c>
      <c r="J960" s="77"/>
      <c r="K960" s="78" t="s">
        <v>1933</v>
      </c>
      <c r="L960" s="79"/>
    </row>
    <row r="961" ht="22.5" customHeight="1">
      <c r="A961" s="80">
        <v>142.0</v>
      </c>
      <c r="B961" s="81" t="s">
        <v>2075</v>
      </c>
      <c r="C961" s="82"/>
      <c r="D961" s="80">
        <v>9.124756767E9</v>
      </c>
      <c r="E961" s="81" t="s">
        <v>11</v>
      </c>
      <c r="F961" s="81" t="s">
        <v>385</v>
      </c>
      <c r="G961" s="83" t="s">
        <v>1931</v>
      </c>
      <c r="H961" s="75" t="s">
        <v>1932</v>
      </c>
      <c r="I961" s="85" t="s">
        <v>1967</v>
      </c>
      <c r="J961" s="84"/>
      <c r="K961" s="78" t="s">
        <v>1933</v>
      </c>
      <c r="L961" s="79"/>
    </row>
    <row r="962" ht="22.5" customHeight="1">
      <c r="A962" s="71">
        <v>143.0</v>
      </c>
      <c r="B962" s="72" t="s">
        <v>2076</v>
      </c>
      <c r="C962" s="73"/>
      <c r="D962" s="71">
        <v>9.437318671E9</v>
      </c>
      <c r="E962" s="72" t="s">
        <v>11</v>
      </c>
      <c r="F962" s="72" t="s">
        <v>385</v>
      </c>
      <c r="G962" s="74" t="s">
        <v>1931</v>
      </c>
      <c r="H962" s="75" t="s">
        <v>1932</v>
      </c>
      <c r="I962" s="85" t="s">
        <v>1967</v>
      </c>
      <c r="J962" s="77"/>
      <c r="K962" s="78" t="s">
        <v>1933</v>
      </c>
      <c r="L962" s="79"/>
    </row>
    <row r="963" ht="22.5" customHeight="1">
      <c r="A963" s="80">
        <v>144.0</v>
      </c>
      <c r="B963" s="81" t="s">
        <v>2077</v>
      </c>
      <c r="C963" s="82"/>
      <c r="D963" s="80">
        <v>9.348639163E9</v>
      </c>
      <c r="E963" s="81" t="s">
        <v>11</v>
      </c>
      <c r="F963" s="81" t="s">
        <v>385</v>
      </c>
      <c r="G963" s="83" t="s">
        <v>1931</v>
      </c>
      <c r="H963" s="75" t="s">
        <v>1932</v>
      </c>
      <c r="I963" s="85" t="s">
        <v>1967</v>
      </c>
      <c r="J963" s="84"/>
      <c r="K963" s="78" t="s">
        <v>1933</v>
      </c>
      <c r="L963" s="79"/>
    </row>
    <row r="964" ht="22.5" customHeight="1">
      <c r="A964" s="71">
        <v>145.0</v>
      </c>
      <c r="B964" s="72" t="s">
        <v>2078</v>
      </c>
      <c r="C964" s="73"/>
      <c r="D964" s="71">
        <v>7.077240727E9</v>
      </c>
      <c r="E964" s="72" t="s">
        <v>11</v>
      </c>
      <c r="F964" s="72" t="s">
        <v>385</v>
      </c>
      <c r="G964" s="74" t="s">
        <v>1931</v>
      </c>
      <c r="H964" s="75" t="s">
        <v>1932</v>
      </c>
      <c r="I964" s="85" t="s">
        <v>1967</v>
      </c>
      <c r="J964" s="77"/>
      <c r="K964" s="78" t="s">
        <v>1933</v>
      </c>
      <c r="L964" s="79"/>
    </row>
    <row r="965" ht="22.5" customHeight="1">
      <c r="A965" s="80">
        <v>146.0</v>
      </c>
      <c r="B965" s="81" t="s">
        <v>2079</v>
      </c>
      <c r="C965" s="82"/>
      <c r="D965" s="80">
        <v>9.93761528E9</v>
      </c>
      <c r="E965" s="81" t="s">
        <v>11</v>
      </c>
      <c r="F965" s="81" t="s">
        <v>385</v>
      </c>
      <c r="G965" s="83" t="s">
        <v>1931</v>
      </c>
      <c r="H965" s="75" t="s">
        <v>1932</v>
      </c>
      <c r="I965" s="85" t="s">
        <v>1967</v>
      </c>
      <c r="J965" s="84"/>
      <c r="K965" s="78" t="s">
        <v>1933</v>
      </c>
      <c r="L965" s="79"/>
    </row>
    <row r="966" ht="22.5" customHeight="1">
      <c r="A966" s="71">
        <v>147.0</v>
      </c>
      <c r="B966" s="72" t="s">
        <v>2080</v>
      </c>
      <c r="C966" s="73"/>
      <c r="D966" s="71">
        <v>9.668750656E9</v>
      </c>
      <c r="E966" s="72" t="s">
        <v>11</v>
      </c>
      <c r="F966" s="72" t="s">
        <v>385</v>
      </c>
      <c r="G966" s="74" t="s">
        <v>1931</v>
      </c>
      <c r="H966" s="75" t="s">
        <v>1932</v>
      </c>
      <c r="I966" s="85" t="s">
        <v>1967</v>
      </c>
      <c r="J966" s="77"/>
      <c r="K966" s="78" t="s">
        <v>1933</v>
      </c>
      <c r="L966" s="79"/>
    </row>
    <row r="967" ht="22.5" customHeight="1">
      <c r="A967" s="80">
        <v>148.0</v>
      </c>
      <c r="B967" s="81" t="s">
        <v>2081</v>
      </c>
      <c r="C967" s="82"/>
      <c r="D967" s="80">
        <v>6.371493922E9</v>
      </c>
      <c r="E967" s="81" t="s">
        <v>11</v>
      </c>
      <c r="F967" s="81" t="s">
        <v>385</v>
      </c>
      <c r="G967" s="83" t="s">
        <v>1931</v>
      </c>
      <c r="H967" s="75" t="s">
        <v>1932</v>
      </c>
      <c r="I967" s="85" t="s">
        <v>1967</v>
      </c>
      <c r="J967" s="84"/>
      <c r="K967" s="78" t="s">
        <v>1933</v>
      </c>
      <c r="L967" s="79"/>
    </row>
    <row r="968" ht="22.5" customHeight="1">
      <c r="A968" s="71">
        <v>149.0</v>
      </c>
      <c r="B968" s="72" t="s">
        <v>2082</v>
      </c>
      <c r="C968" s="73"/>
      <c r="D968" s="71">
        <v>9.437028456E9</v>
      </c>
      <c r="E968" s="72" t="s">
        <v>11</v>
      </c>
      <c r="F968" s="72" t="s">
        <v>385</v>
      </c>
      <c r="G968" s="74" t="s">
        <v>1931</v>
      </c>
      <c r="H968" s="75" t="s">
        <v>1932</v>
      </c>
      <c r="I968" s="85" t="s">
        <v>1967</v>
      </c>
      <c r="J968" s="77"/>
      <c r="K968" s="78" t="s">
        <v>1933</v>
      </c>
      <c r="L968" s="79"/>
    </row>
    <row r="969" ht="22.5" customHeight="1">
      <c r="A969" s="80">
        <v>150.0</v>
      </c>
      <c r="B969" s="81" t="s">
        <v>2083</v>
      </c>
      <c r="C969" s="82"/>
      <c r="D969" s="80">
        <v>9.937318951E9</v>
      </c>
      <c r="E969" s="81" t="s">
        <v>11</v>
      </c>
      <c r="F969" s="81" t="s">
        <v>385</v>
      </c>
      <c r="G969" s="83" t="s">
        <v>1931</v>
      </c>
      <c r="H969" s="75" t="s">
        <v>1932</v>
      </c>
      <c r="I969" s="85" t="s">
        <v>1967</v>
      </c>
      <c r="J969" s="84"/>
      <c r="K969" s="78" t="s">
        <v>1933</v>
      </c>
      <c r="L969" s="79"/>
    </row>
    <row r="970" ht="22.5" customHeight="1">
      <c r="A970" s="71">
        <v>151.0</v>
      </c>
      <c r="B970" s="72" t="s">
        <v>2084</v>
      </c>
      <c r="C970" s="73"/>
      <c r="D970" s="71">
        <v>7.008325885E9</v>
      </c>
      <c r="E970" s="72" t="s">
        <v>11</v>
      </c>
      <c r="F970" s="72" t="s">
        <v>385</v>
      </c>
      <c r="G970" s="74" t="s">
        <v>1931</v>
      </c>
      <c r="H970" s="75" t="s">
        <v>1932</v>
      </c>
      <c r="I970" s="85" t="s">
        <v>1967</v>
      </c>
      <c r="J970" s="77"/>
      <c r="K970" s="78" t="s">
        <v>1933</v>
      </c>
      <c r="L970" s="79"/>
    </row>
    <row r="971" ht="22.5" customHeight="1">
      <c r="A971" s="80">
        <v>152.0</v>
      </c>
      <c r="B971" s="81" t="s">
        <v>2085</v>
      </c>
      <c r="C971" s="82"/>
      <c r="D971" s="80">
        <v>9.337753896E9</v>
      </c>
      <c r="E971" s="81" t="s">
        <v>11</v>
      </c>
      <c r="F971" s="81" t="s">
        <v>385</v>
      </c>
      <c r="G971" s="83" t="s">
        <v>1931</v>
      </c>
      <c r="H971" s="75" t="s">
        <v>1932</v>
      </c>
      <c r="I971" s="85" t="s">
        <v>1967</v>
      </c>
      <c r="J971" s="84"/>
      <c r="K971" s="78" t="s">
        <v>1933</v>
      </c>
      <c r="L971" s="79"/>
    </row>
    <row r="972" ht="22.5" customHeight="1">
      <c r="A972" s="71">
        <v>153.0</v>
      </c>
      <c r="B972" s="72" t="s">
        <v>2086</v>
      </c>
      <c r="C972" s="73"/>
      <c r="D972" s="71">
        <v>7.991012683E9</v>
      </c>
      <c r="E972" s="72" t="s">
        <v>11</v>
      </c>
      <c r="F972" s="72" t="s">
        <v>385</v>
      </c>
      <c r="G972" s="74" t="s">
        <v>1931</v>
      </c>
      <c r="H972" s="75" t="s">
        <v>1932</v>
      </c>
      <c r="I972" s="85" t="s">
        <v>1967</v>
      </c>
      <c r="J972" s="77"/>
      <c r="K972" s="78" t="s">
        <v>1933</v>
      </c>
      <c r="L972" s="79"/>
    </row>
    <row r="973" ht="22.5" customHeight="1">
      <c r="A973" s="80">
        <v>154.0</v>
      </c>
      <c r="B973" s="81" t="s">
        <v>2087</v>
      </c>
      <c r="C973" s="82"/>
      <c r="D973" s="80">
        <v>9.938608219E9</v>
      </c>
      <c r="E973" s="81" t="s">
        <v>11</v>
      </c>
      <c r="F973" s="81" t="s">
        <v>385</v>
      </c>
      <c r="G973" s="83" t="s">
        <v>1931</v>
      </c>
      <c r="H973" s="75" t="s">
        <v>1932</v>
      </c>
      <c r="I973" s="85" t="s">
        <v>1967</v>
      </c>
      <c r="J973" s="84"/>
      <c r="K973" s="78" t="s">
        <v>1933</v>
      </c>
      <c r="L973" s="79"/>
    </row>
    <row r="974" ht="22.5" customHeight="1">
      <c r="A974" s="71">
        <v>155.0</v>
      </c>
      <c r="B974" s="72" t="s">
        <v>2088</v>
      </c>
      <c r="C974" s="73"/>
      <c r="D974" s="71">
        <v>7.008241567E9</v>
      </c>
      <c r="E974" s="72" t="s">
        <v>11</v>
      </c>
      <c r="F974" s="72" t="s">
        <v>385</v>
      </c>
      <c r="G974" s="74" t="s">
        <v>1931</v>
      </c>
      <c r="H974" s="75" t="s">
        <v>1932</v>
      </c>
      <c r="I974" s="85" t="s">
        <v>1967</v>
      </c>
      <c r="J974" s="77"/>
      <c r="K974" s="78" t="s">
        <v>1933</v>
      </c>
      <c r="L974" s="79"/>
    </row>
    <row r="975" ht="22.5" customHeight="1">
      <c r="A975" s="80">
        <v>156.0</v>
      </c>
      <c r="B975" s="81" t="s">
        <v>2089</v>
      </c>
      <c r="C975" s="82"/>
      <c r="D975" s="80">
        <v>9.853459121E9</v>
      </c>
      <c r="E975" s="81" t="s">
        <v>11</v>
      </c>
      <c r="F975" s="81" t="s">
        <v>385</v>
      </c>
      <c r="G975" s="83" t="s">
        <v>1931</v>
      </c>
      <c r="H975" s="75" t="s">
        <v>1932</v>
      </c>
      <c r="I975" s="85" t="s">
        <v>1967</v>
      </c>
      <c r="J975" s="84"/>
      <c r="K975" s="78" t="s">
        <v>1933</v>
      </c>
      <c r="L975" s="79"/>
    </row>
    <row r="976" ht="22.5" customHeight="1">
      <c r="A976" s="71">
        <v>157.0</v>
      </c>
      <c r="B976" s="72" t="s">
        <v>2090</v>
      </c>
      <c r="C976" s="73"/>
      <c r="D976" s="71">
        <v>9.938339189E9</v>
      </c>
      <c r="E976" s="72" t="s">
        <v>11</v>
      </c>
      <c r="F976" s="72" t="s">
        <v>385</v>
      </c>
      <c r="G976" s="74" t="s">
        <v>1931</v>
      </c>
      <c r="H976" s="75" t="s">
        <v>1932</v>
      </c>
      <c r="I976" s="85" t="s">
        <v>1967</v>
      </c>
      <c r="J976" s="77"/>
      <c r="K976" s="78" t="s">
        <v>1933</v>
      </c>
      <c r="L976" s="79"/>
    </row>
    <row r="977" ht="22.5" customHeight="1">
      <c r="A977" s="80">
        <v>158.0</v>
      </c>
      <c r="B977" s="81" t="s">
        <v>2091</v>
      </c>
      <c r="C977" s="82"/>
      <c r="D977" s="80">
        <v>7.749027023E9</v>
      </c>
      <c r="E977" s="81" t="s">
        <v>11</v>
      </c>
      <c r="F977" s="81" t="s">
        <v>385</v>
      </c>
      <c r="G977" s="83" t="s">
        <v>1931</v>
      </c>
      <c r="H977" s="75" t="s">
        <v>1932</v>
      </c>
      <c r="I977" s="85" t="s">
        <v>1967</v>
      </c>
      <c r="J977" s="84"/>
      <c r="K977" s="78" t="s">
        <v>1933</v>
      </c>
      <c r="L977" s="79"/>
    </row>
    <row r="978" ht="22.5" customHeight="1">
      <c r="A978" s="71">
        <v>159.0</v>
      </c>
      <c r="B978" s="72" t="s">
        <v>2092</v>
      </c>
      <c r="C978" s="73"/>
      <c r="D978" s="71">
        <v>7.894005398E9</v>
      </c>
      <c r="E978" s="72" t="s">
        <v>11</v>
      </c>
      <c r="F978" s="72" t="s">
        <v>385</v>
      </c>
      <c r="G978" s="74" t="s">
        <v>1931</v>
      </c>
      <c r="H978" s="75" t="s">
        <v>1932</v>
      </c>
      <c r="I978" s="85" t="s">
        <v>1967</v>
      </c>
      <c r="J978" s="77"/>
      <c r="K978" s="78" t="s">
        <v>1933</v>
      </c>
      <c r="L978" s="79"/>
    </row>
    <row r="979" ht="22.5" customHeight="1">
      <c r="A979" s="80">
        <v>160.0</v>
      </c>
      <c r="B979" s="81" t="s">
        <v>2093</v>
      </c>
      <c r="C979" s="82"/>
      <c r="D979" s="80">
        <v>9.263635657E9</v>
      </c>
      <c r="E979" s="81" t="s">
        <v>11</v>
      </c>
      <c r="F979" s="81" t="s">
        <v>385</v>
      </c>
      <c r="G979" s="83" t="s">
        <v>1931</v>
      </c>
      <c r="H979" s="75" t="s">
        <v>1932</v>
      </c>
      <c r="I979" s="85" t="s">
        <v>1967</v>
      </c>
      <c r="J979" s="84"/>
      <c r="K979" s="78" t="s">
        <v>1933</v>
      </c>
      <c r="L979" s="79"/>
    </row>
    <row r="980" ht="22.5" customHeight="1">
      <c r="A980" s="71">
        <v>161.0</v>
      </c>
      <c r="B980" s="72" t="s">
        <v>2094</v>
      </c>
      <c r="C980" s="73"/>
      <c r="D980" s="71">
        <v>8.249199604E9</v>
      </c>
      <c r="E980" s="72" t="s">
        <v>11</v>
      </c>
      <c r="F980" s="72" t="s">
        <v>385</v>
      </c>
      <c r="G980" s="74" t="s">
        <v>1931</v>
      </c>
      <c r="H980" s="75" t="s">
        <v>1932</v>
      </c>
      <c r="I980" s="85" t="s">
        <v>1967</v>
      </c>
      <c r="J980" s="77"/>
      <c r="K980" s="78" t="s">
        <v>1933</v>
      </c>
      <c r="L980" s="79"/>
    </row>
    <row r="981" ht="22.5" customHeight="1">
      <c r="A981" s="80">
        <v>162.0</v>
      </c>
      <c r="B981" s="81" t="s">
        <v>2095</v>
      </c>
      <c r="C981" s="82"/>
      <c r="D981" s="80">
        <v>9.009661414E9</v>
      </c>
      <c r="E981" s="81" t="s">
        <v>11</v>
      </c>
      <c r="F981" s="81" t="s">
        <v>385</v>
      </c>
      <c r="G981" s="83" t="s">
        <v>1931</v>
      </c>
      <c r="H981" s="75" t="s">
        <v>1932</v>
      </c>
      <c r="I981" s="85" t="s">
        <v>1967</v>
      </c>
      <c r="J981" s="84"/>
      <c r="K981" s="78" t="s">
        <v>1933</v>
      </c>
      <c r="L981" s="79"/>
    </row>
    <row r="982" ht="22.5" customHeight="1">
      <c r="A982" s="71">
        <v>163.0</v>
      </c>
      <c r="B982" s="72" t="s">
        <v>2096</v>
      </c>
      <c r="C982" s="73"/>
      <c r="D982" s="71">
        <v>7.606099026E9</v>
      </c>
      <c r="E982" s="72" t="s">
        <v>11</v>
      </c>
      <c r="F982" s="72" t="s">
        <v>385</v>
      </c>
      <c r="G982" s="74" t="s">
        <v>1931</v>
      </c>
      <c r="H982" s="75" t="s">
        <v>1932</v>
      </c>
      <c r="I982" s="85" t="s">
        <v>1967</v>
      </c>
      <c r="J982" s="77"/>
      <c r="K982" s="78" t="s">
        <v>1933</v>
      </c>
      <c r="L982" s="79"/>
    </row>
    <row r="983" ht="22.5" customHeight="1">
      <c r="A983" s="80">
        <v>164.0</v>
      </c>
      <c r="B983" s="81" t="s">
        <v>2097</v>
      </c>
      <c r="C983" s="82"/>
      <c r="D983" s="80">
        <v>7.008715206E9</v>
      </c>
      <c r="E983" s="81" t="s">
        <v>11</v>
      </c>
      <c r="F983" s="81" t="s">
        <v>385</v>
      </c>
      <c r="G983" s="83" t="s">
        <v>1931</v>
      </c>
      <c r="H983" s="75" t="s">
        <v>1932</v>
      </c>
      <c r="I983" s="85" t="s">
        <v>1967</v>
      </c>
      <c r="J983" s="84"/>
      <c r="K983" s="78" t="s">
        <v>1933</v>
      </c>
      <c r="L983" s="79"/>
    </row>
    <row r="984" ht="22.5" customHeight="1">
      <c r="A984" s="71">
        <v>165.0</v>
      </c>
      <c r="B984" s="72" t="s">
        <v>2098</v>
      </c>
      <c r="C984" s="73"/>
      <c r="D984" s="71">
        <v>9.827216315E9</v>
      </c>
      <c r="E984" s="72" t="s">
        <v>11</v>
      </c>
      <c r="F984" s="72" t="s">
        <v>385</v>
      </c>
      <c r="G984" s="74" t="s">
        <v>1931</v>
      </c>
      <c r="H984" s="75" t="s">
        <v>1932</v>
      </c>
      <c r="I984" s="85" t="s">
        <v>1967</v>
      </c>
      <c r="J984" s="77"/>
      <c r="K984" s="78" t="s">
        <v>1933</v>
      </c>
      <c r="L984" s="79"/>
    </row>
    <row r="985" ht="22.5" customHeight="1">
      <c r="A985" s="80">
        <v>166.0</v>
      </c>
      <c r="B985" s="81" t="s">
        <v>2099</v>
      </c>
      <c r="C985" s="82"/>
      <c r="D985" s="80">
        <v>9.437219967E9</v>
      </c>
      <c r="E985" s="81" t="s">
        <v>11</v>
      </c>
      <c r="F985" s="81" t="s">
        <v>385</v>
      </c>
      <c r="G985" s="83" t="s">
        <v>1931</v>
      </c>
      <c r="H985" s="75" t="s">
        <v>1932</v>
      </c>
      <c r="I985" s="85" t="s">
        <v>1967</v>
      </c>
      <c r="J985" s="84"/>
      <c r="K985" s="78" t="s">
        <v>1933</v>
      </c>
      <c r="L985" s="79"/>
    </row>
    <row r="986" ht="22.5" customHeight="1">
      <c r="A986" s="71">
        <v>167.0</v>
      </c>
      <c r="B986" s="72" t="s">
        <v>2100</v>
      </c>
      <c r="C986" s="73"/>
      <c r="D986" s="71">
        <v>6.371383804E9</v>
      </c>
      <c r="E986" s="72" t="s">
        <v>11</v>
      </c>
      <c r="F986" s="72" t="s">
        <v>385</v>
      </c>
      <c r="G986" s="74" t="s">
        <v>1931</v>
      </c>
      <c r="H986" s="75" t="s">
        <v>1932</v>
      </c>
      <c r="I986" s="85" t="s">
        <v>1967</v>
      </c>
      <c r="J986" s="77"/>
      <c r="K986" s="78" t="s">
        <v>1933</v>
      </c>
      <c r="L986" s="79"/>
    </row>
    <row r="987" ht="22.5" customHeight="1">
      <c r="A987" s="80">
        <v>168.0</v>
      </c>
      <c r="B987" s="81" t="s">
        <v>2101</v>
      </c>
      <c r="C987" s="82"/>
      <c r="D987" s="80">
        <v>9.43783071E9</v>
      </c>
      <c r="E987" s="81" t="s">
        <v>11</v>
      </c>
      <c r="F987" s="81" t="s">
        <v>385</v>
      </c>
      <c r="G987" s="83" t="s">
        <v>1931</v>
      </c>
      <c r="H987" s="75" t="s">
        <v>1932</v>
      </c>
      <c r="I987" s="85" t="s">
        <v>1967</v>
      </c>
      <c r="J987" s="84"/>
      <c r="K987" s="78" t="s">
        <v>1933</v>
      </c>
      <c r="L987" s="79"/>
    </row>
    <row r="988" ht="22.5" customHeight="1">
      <c r="A988" s="71">
        <v>169.0</v>
      </c>
      <c r="B988" s="72" t="s">
        <v>2102</v>
      </c>
      <c r="C988" s="73"/>
      <c r="D988" s="71">
        <v>7.978767328E9</v>
      </c>
      <c r="E988" s="72" t="s">
        <v>11</v>
      </c>
      <c r="F988" s="72" t="s">
        <v>385</v>
      </c>
      <c r="G988" s="74" t="s">
        <v>1931</v>
      </c>
      <c r="H988" s="75" t="s">
        <v>1932</v>
      </c>
      <c r="I988" s="85" t="s">
        <v>1967</v>
      </c>
      <c r="J988" s="77"/>
      <c r="K988" s="78" t="s">
        <v>1933</v>
      </c>
      <c r="L988" s="79"/>
    </row>
    <row r="989" ht="22.5" customHeight="1">
      <c r="A989" s="80">
        <v>170.0</v>
      </c>
      <c r="B989" s="81" t="s">
        <v>2103</v>
      </c>
      <c r="C989" s="82"/>
      <c r="D989" s="80">
        <v>9.937413384E9</v>
      </c>
      <c r="E989" s="81" t="s">
        <v>11</v>
      </c>
      <c r="F989" s="81" t="s">
        <v>385</v>
      </c>
      <c r="G989" s="83" t="s">
        <v>1931</v>
      </c>
      <c r="H989" s="75" t="s">
        <v>1932</v>
      </c>
      <c r="I989" s="85" t="s">
        <v>1967</v>
      </c>
      <c r="J989" s="84"/>
      <c r="K989" s="78" t="s">
        <v>1933</v>
      </c>
      <c r="L989" s="79"/>
    </row>
    <row r="990" ht="22.5" customHeight="1">
      <c r="A990" s="71">
        <v>171.0</v>
      </c>
      <c r="B990" s="72" t="s">
        <v>2104</v>
      </c>
      <c r="C990" s="73"/>
      <c r="D990" s="71">
        <v>9.337254251E9</v>
      </c>
      <c r="E990" s="72" t="s">
        <v>11</v>
      </c>
      <c r="F990" s="72" t="s">
        <v>385</v>
      </c>
      <c r="G990" s="74" t="s">
        <v>1931</v>
      </c>
      <c r="H990" s="75" t="s">
        <v>1932</v>
      </c>
      <c r="I990" s="85" t="s">
        <v>1967</v>
      </c>
      <c r="J990" s="77"/>
      <c r="K990" s="78" t="s">
        <v>1933</v>
      </c>
      <c r="L990" s="79"/>
    </row>
    <row r="991" ht="22.5" customHeight="1">
      <c r="A991" s="80">
        <v>172.0</v>
      </c>
      <c r="B991" s="81" t="s">
        <v>2105</v>
      </c>
      <c r="C991" s="82"/>
      <c r="D991" s="80">
        <v>8.114702521E9</v>
      </c>
      <c r="E991" s="81" t="s">
        <v>11</v>
      </c>
      <c r="F991" s="81" t="s">
        <v>385</v>
      </c>
      <c r="G991" s="83" t="s">
        <v>1931</v>
      </c>
      <c r="H991" s="75" t="s">
        <v>1932</v>
      </c>
      <c r="I991" s="85" t="s">
        <v>1967</v>
      </c>
      <c r="J991" s="84"/>
      <c r="K991" s="78" t="s">
        <v>1933</v>
      </c>
      <c r="L991" s="79"/>
    </row>
    <row r="992" ht="22.5" customHeight="1">
      <c r="A992" s="71">
        <v>173.0</v>
      </c>
      <c r="B992" s="72" t="s">
        <v>2106</v>
      </c>
      <c r="C992" s="73"/>
      <c r="D992" s="71">
        <v>7.735862698E9</v>
      </c>
      <c r="E992" s="72" t="s">
        <v>11</v>
      </c>
      <c r="F992" s="72" t="s">
        <v>385</v>
      </c>
      <c r="G992" s="74" t="s">
        <v>1931</v>
      </c>
      <c r="H992" s="75" t="s">
        <v>1932</v>
      </c>
      <c r="I992" s="85" t="s">
        <v>1967</v>
      </c>
      <c r="J992" s="77"/>
      <c r="K992" s="78" t="s">
        <v>1933</v>
      </c>
      <c r="L992" s="79"/>
    </row>
    <row r="993" ht="22.5" customHeight="1">
      <c r="A993" s="80">
        <v>174.0</v>
      </c>
      <c r="B993" s="81" t="s">
        <v>2107</v>
      </c>
      <c r="C993" s="82"/>
      <c r="D993" s="80">
        <v>9.938230671E9</v>
      </c>
      <c r="E993" s="81" t="s">
        <v>11</v>
      </c>
      <c r="F993" s="81" t="s">
        <v>385</v>
      </c>
      <c r="G993" s="83" t="s">
        <v>1931</v>
      </c>
      <c r="H993" s="75" t="s">
        <v>1932</v>
      </c>
      <c r="I993" s="85" t="s">
        <v>1967</v>
      </c>
      <c r="J993" s="84"/>
      <c r="K993" s="78" t="s">
        <v>1933</v>
      </c>
      <c r="L993" s="79"/>
    </row>
    <row r="994" ht="22.5" customHeight="1">
      <c r="A994" s="71">
        <v>175.0</v>
      </c>
      <c r="B994" s="72" t="s">
        <v>2108</v>
      </c>
      <c r="C994" s="73"/>
      <c r="D994" s="71">
        <v>9.93764368E9</v>
      </c>
      <c r="E994" s="72" t="s">
        <v>11</v>
      </c>
      <c r="F994" s="72" t="s">
        <v>385</v>
      </c>
      <c r="G994" s="74" t="s">
        <v>1931</v>
      </c>
      <c r="H994" s="75" t="s">
        <v>1932</v>
      </c>
      <c r="I994" s="85" t="s">
        <v>1967</v>
      </c>
      <c r="J994" s="77"/>
      <c r="K994" s="78" t="s">
        <v>1933</v>
      </c>
      <c r="L994" s="79"/>
    </row>
    <row r="995" ht="22.5" customHeight="1">
      <c r="A995" s="80">
        <v>176.0</v>
      </c>
      <c r="B995" s="81" t="s">
        <v>2109</v>
      </c>
      <c r="C995" s="82"/>
      <c r="D995" s="80">
        <v>9.886249356E9</v>
      </c>
      <c r="E995" s="81" t="s">
        <v>11</v>
      </c>
      <c r="F995" s="81" t="s">
        <v>385</v>
      </c>
      <c r="G995" s="83" t="s">
        <v>1931</v>
      </c>
      <c r="H995" s="75" t="s">
        <v>1932</v>
      </c>
      <c r="I995" s="85" t="s">
        <v>1967</v>
      </c>
      <c r="J995" s="84"/>
      <c r="K995" s="78" t="s">
        <v>1933</v>
      </c>
      <c r="L995" s="79"/>
    </row>
    <row r="996" ht="22.5" customHeight="1">
      <c r="A996" s="71">
        <v>177.0</v>
      </c>
      <c r="B996" s="72" t="s">
        <v>2110</v>
      </c>
      <c r="C996" s="73"/>
      <c r="D996" s="71">
        <v>8.917324872E9</v>
      </c>
      <c r="E996" s="72" t="s">
        <v>11</v>
      </c>
      <c r="F996" s="72" t="s">
        <v>385</v>
      </c>
      <c r="G996" s="74" t="s">
        <v>1931</v>
      </c>
      <c r="H996" s="75" t="s">
        <v>1932</v>
      </c>
      <c r="I996" s="85" t="s">
        <v>1967</v>
      </c>
      <c r="J996" s="77"/>
      <c r="K996" s="78" t="s">
        <v>1933</v>
      </c>
      <c r="L996" s="79"/>
    </row>
    <row r="997" ht="22.5" customHeight="1">
      <c r="A997" s="80">
        <v>178.0</v>
      </c>
      <c r="B997" s="81" t="s">
        <v>2111</v>
      </c>
      <c r="C997" s="82"/>
      <c r="D997" s="80">
        <v>9.437228184E9</v>
      </c>
      <c r="E997" s="81" t="s">
        <v>11</v>
      </c>
      <c r="F997" s="81" t="s">
        <v>385</v>
      </c>
      <c r="G997" s="83" t="s">
        <v>1931</v>
      </c>
      <c r="H997" s="75" t="s">
        <v>1932</v>
      </c>
      <c r="I997" s="85" t="s">
        <v>1967</v>
      </c>
      <c r="J997" s="84"/>
      <c r="K997" s="78" t="s">
        <v>1933</v>
      </c>
      <c r="L997" s="79"/>
    </row>
    <row r="998" ht="22.5" customHeight="1">
      <c r="A998" s="71">
        <v>179.0</v>
      </c>
      <c r="B998" s="72" t="s">
        <v>2112</v>
      </c>
      <c r="C998" s="73"/>
      <c r="D998" s="71">
        <v>9.937429695E9</v>
      </c>
      <c r="E998" s="72" t="s">
        <v>11</v>
      </c>
      <c r="F998" s="72" t="s">
        <v>385</v>
      </c>
      <c r="G998" s="74" t="s">
        <v>1931</v>
      </c>
      <c r="H998" s="75" t="s">
        <v>1932</v>
      </c>
      <c r="I998" s="85" t="s">
        <v>1967</v>
      </c>
      <c r="J998" s="77"/>
      <c r="K998" s="78" t="s">
        <v>1933</v>
      </c>
      <c r="L998" s="79"/>
    </row>
    <row r="999" ht="22.5" customHeight="1">
      <c r="A999" s="80">
        <v>180.0</v>
      </c>
      <c r="B999" s="81" t="s">
        <v>2113</v>
      </c>
      <c r="C999" s="82"/>
      <c r="D999" s="80">
        <v>9.437212396E9</v>
      </c>
      <c r="E999" s="81" t="s">
        <v>11</v>
      </c>
      <c r="F999" s="81" t="s">
        <v>385</v>
      </c>
      <c r="G999" s="83" t="s">
        <v>1931</v>
      </c>
      <c r="H999" s="75" t="s">
        <v>1932</v>
      </c>
      <c r="I999" s="85" t="s">
        <v>1967</v>
      </c>
      <c r="J999" s="84"/>
      <c r="K999" s="78" t="s">
        <v>1933</v>
      </c>
      <c r="L999" s="79"/>
    </row>
    <row r="1000" ht="22.5" customHeight="1">
      <c r="A1000" s="71">
        <v>181.0</v>
      </c>
      <c r="B1000" s="72" t="s">
        <v>2114</v>
      </c>
      <c r="C1000" s="73"/>
      <c r="D1000" s="71">
        <v>9.348225909E9</v>
      </c>
      <c r="E1000" s="72" t="s">
        <v>11</v>
      </c>
      <c r="F1000" s="72" t="s">
        <v>385</v>
      </c>
      <c r="G1000" s="74" t="s">
        <v>1931</v>
      </c>
      <c r="H1000" s="75" t="s">
        <v>1932</v>
      </c>
      <c r="I1000" s="85" t="s">
        <v>1967</v>
      </c>
      <c r="J1000" s="77"/>
      <c r="K1000" s="78" t="s">
        <v>1933</v>
      </c>
      <c r="L1000" s="79"/>
    </row>
    <row r="1001" ht="22.5" customHeight="1">
      <c r="A1001" s="80">
        <v>182.0</v>
      </c>
      <c r="B1001" s="81" t="s">
        <v>2115</v>
      </c>
      <c r="C1001" s="82"/>
      <c r="D1001" s="80">
        <v>8.249956606E9</v>
      </c>
      <c r="E1001" s="81" t="s">
        <v>11</v>
      </c>
      <c r="F1001" s="81" t="s">
        <v>385</v>
      </c>
      <c r="G1001" s="83" t="s">
        <v>1931</v>
      </c>
      <c r="H1001" s="75" t="s">
        <v>1932</v>
      </c>
      <c r="I1001" s="85" t="s">
        <v>1967</v>
      </c>
      <c r="J1001" s="84"/>
      <c r="K1001" s="78" t="s">
        <v>1933</v>
      </c>
      <c r="L1001" s="79"/>
    </row>
    <row r="1002" ht="22.5" customHeight="1">
      <c r="A1002" s="71">
        <v>183.0</v>
      </c>
      <c r="B1002" s="72" t="s">
        <v>2116</v>
      </c>
      <c r="C1002" s="73"/>
      <c r="D1002" s="71">
        <v>9.861767192E9</v>
      </c>
      <c r="E1002" s="72" t="s">
        <v>11</v>
      </c>
      <c r="F1002" s="72" t="s">
        <v>385</v>
      </c>
      <c r="G1002" s="74" t="s">
        <v>1931</v>
      </c>
      <c r="H1002" s="75" t="s">
        <v>1932</v>
      </c>
      <c r="I1002" s="85" t="s">
        <v>1967</v>
      </c>
      <c r="J1002" s="77"/>
      <c r="K1002" s="78" t="s">
        <v>1933</v>
      </c>
      <c r="L1002" s="79"/>
    </row>
    <row r="1003" ht="22.5" customHeight="1">
      <c r="A1003" s="80">
        <v>184.0</v>
      </c>
      <c r="B1003" s="81" t="s">
        <v>2117</v>
      </c>
      <c r="C1003" s="82"/>
      <c r="D1003" s="80">
        <v>9.692565324E9</v>
      </c>
      <c r="E1003" s="81" t="s">
        <v>11</v>
      </c>
      <c r="F1003" s="81" t="s">
        <v>385</v>
      </c>
      <c r="G1003" s="83" t="s">
        <v>1931</v>
      </c>
      <c r="H1003" s="75" t="s">
        <v>1932</v>
      </c>
      <c r="I1003" s="85" t="s">
        <v>1967</v>
      </c>
      <c r="J1003" s="84"/>
      <c r="K1003" s="78" t="s">
        <v>1933</v>
      </c>
      <c r="L1003" s="79"/>
    </row>
    <row r="1004" ht="22.5" customHeight="1">
      <c r="A1004" s="71">
        <v>185.0</v>
      </c>
      <c r="B1004" s="72" t="s">
        <v>2118</v>
      </c>
      <c r="C1004" s="73"/>
      <c r="D1004" s="71">
        <v>8.260651622E9</v>
      </c>
      <c r="E1004" s="72" t="s">
        <v>11</v>
      </c>
      <c r="F1004" s="72" t="s">
        <v>385</v>
      </c>
      <c r="G1004" s="74" t="s">
        <v>1931</v>
      </c>
      <c r="H1004" s="75" t="s">
        <v>1932</v>
      </c>
      <c r="I1004" s="85" t="s">
        <v>1967</v>
      </c>
      <c r="J1004" s="77"/>
      <c r="K1004" s="78" t="s">
        <v>1933</v>
      </c>
      <c r="L1004" s="79"/>
    </row>
    <row r="1005" ht="22.5" customHeight="1">
      <c r="A1005" s="80">
        <v>186.0</v>
      </c>
      <c r="B1005" s="81" t="s">
        <v>2119</v>
      </c>
      <c r="C1005" s="82"/>
      <c r="D1005" s="80">
        <v>7.735297388E9</v>
      </c>
      <c r="E1005" s="81" t="s">
        <v>11</v>
      </c>
      <c r="F1005" s="81" t="s">
        <v>385</v>
      </c>
      <c r="G1005" s="83" t="s">
        <v>1931</v>
      </c>
      <c r="H1005" s="75" t="s">
        <v>1932</v>
      </c>
      <c r="I1005" s="85" t="s">
        <v>1967</v>
      </c>
      <c r="J1005" s="84"/>
      <c r="K1005" s="78" t="s">
        <v>1933</v>
      </c>
      <c r="L1005" s="79"/>
    </row>
    <row r="1006" ht="22.5" customHeight="1">
      <c r="A1006" s="71">
        <v>187.0</v>
      </c>
      <c r="B1006" s="72" t="s">
        <v>2120</v>
      </c>
      <c r="C1006" s="73"/>
      <c r="D1006" s="71">
        <v>8.249894369E9</v>
      </c>
      <c r="E1006" s="72" t="s">
        <v>11</v>
      </c>
      <c r="F1006" s="72" t="s">
        <v>385</v>
      </c>
      <c r="G1006" s="74" t="s">
        <v>1931</v>
      </c>
      <c r="H1006" s="75" t="s">
        <v>1932</v>
      </c>
      <c r="I1006" s="85" t="s">
        <v>1967</v>
      </c>
      <c r="J1006" s="77"/>
      <c r="K1006" s="78" t="s">
        <v>1933</v>
      </c>
      <c r="L1006" s="79"/>
    </row>
    <row r="1007" ht="22.5" customHeight="1">
      <c r="A1007" s="80">
        <v>188.0</v>
      </c>
      <c r="B1007" s="81" t="s">
        <v>2121</v>
      </c>
      <c r="C1007" s="82"/>
      <c r="D1007" s="80">
        <v>7.077496771E9</v>
      </c>
      <c r="E1007" s="81" t="s">
        <v>11</v>
      </c>
      <c r="F1007" s="81" t="s">
        <v>385</v>
      </c>
      <c r="G1007" s="83" t="s">
        <v>1931</v>
      </c>
      <c r="H1007" s="75" t="s">
        <v>1932</v>
      </c>
      <c r="I1007" s="85" t="s">
        <v>1967</v>
      </c>
      <c r="J1007" s="84"/>
      <c r="K1007" s="78" t="s">
        <v>1933</v>
      </c>
      <c r="L1007" s="79"/>
    </row>
    <row r="1008" ht="22.5" customHeight="1">
      <c r="A1008" s="71">
        <v>189.0</v>
      </c>
      <c r="B1008" s="72" t="s">
        <v>2122</v>
      </c>
      <c r="C1008" s="73"/>
      <c r="D1008" s="71">
        <v>9.337271961E9</v>
      </c>
      <c r="E1008" s="72" t="s">
        <v>11</v>
      </c>
      <c r="F1008" s="72" t="s">
        <v>385</v>
      </c>
      <c r="G1008" s="74" t="s">
        <v>1931</v>
      </c>
      <c r="H1008" s="75" t="s">
        <v>1932</v>
      </c>
      <c r="I1008" s="85" t="s">
        <v>1967</v>
      </c>
      <c r="J1008" s="77"/>
      <c r="K1008" s="78" t="s">
        <v>1933</v>
      </c>
      <c r="L1008" s="79"/>
    </row>
    <row r="1009" ht="22.5" customHeight="1">
      <c r="A1009" s="80">
        <v>190.0</v>
      </c>
      <c r="B1009" s="81" t="s">
        <v>2123</v>
      </c>
      <c r="C1009" s="82"/>
      <c r="D1009" s="80">
        <v>7.32781845E9</v>
      </c>
      <c r="E1009" s="81" t="s">
        <v>11</v>
      </c>
      <c r="F1009" s="81" t="s">
        <v>385</v>
      </c>
      <c r="G1009" s="83" t="s">
        <v>1931</v>
      </c>
      <c r="H1009" s="75" t="s">
        <v>1932</v>
      </c>
      <c r="I1009" s="85" t="s">
        <v>1967</v>
      </c>
      <c r="J1009" s="84"/>
      <c r="K1009" s="78" t="s">
        <v>1933</v>
      </c>
      <c r="L1009" s="79"/>
    </row>
    <row r="1010" ht="22.5" customHeight="1">
      <c r="A1010" s="71">
        <v>191.0</v>
      </c>
      <c r="B1010" s="72" t="s">
        <v>2124</v>
      </c>
      <c r="C1010" s="73"/>
      <c r="D1010" s="71">
        <v>7.710978252E9</v>
      </c>
      <c r="E1010" s="72" t="s">
        <v>11</v>
      </c>
      <c r="F1010" s="72" t="s">
        <v>385</v>
      </c>
      <c r="G1010" s="74" t="s">
        <v>1931</v>
      </c>
      <c r="H1010" s="75" t="s">
        <v>1932</v>
      </c>
      <c r="I1010" s="85" t="s">
        <v>1967</v>
      </c>
      <c r="J1010" s="77"/>
      <c r="K1010" s="78" t="s">
        <v>1933</v>
      </c>
      <c r="L1010" s="79"/>
    </row>
    <row r="1011" ht="22.5" customHeight="1">
      <c r="A1011" s="80">
        <v>192.0</v>
      </c>
      <c r="B1011" s="81" t="s">
        <v>2125</v>
      </c>
      <c r="C1011" s="82"/>
      <c r="D1011" s="80">
        <v>8.249469005E9</v>
      </c>
      <c r="E1011" s="81" t="s">
        <v>11</v>
      </c>
      <c r="F1011" s="81" t="s">
        <v>385</v>
      </c>
      <c r="G1011" s="83" t="s">
        <v>1931</v>
      </c>
      <c r="H1011" s="75" t="s">
        <v>1932</v>
      </c>
      <c r="I1011" s="85" t="s">
        <v>1967</v>
      </c>
      <c r="J1011" s="84"/>
      <c r="K1011" s="78" t="s">
        <v>1933</v>
      </c>
      <c r="L1011" s="79"/>
    </row>
    <row r="1012" ht="22.5" customHeight="1">
      <c r="A1012" s="71">
        <v>193.0</v>
      </c>
      <c r="B1012" s="72" t="s">
        <v>2126</v>
      </c>
      <c r="C1012" s="73"/>
      <c r="D1012" s="71">
        <v>7.735572929E9</v>
      </c>
      <c r="E1012" s="72" t="s">
        <v>11</v>
      </c>
      <c r="F1012" s="72" t="s">
        <v>385</v>
      </c>
      <c r="G1012" s="74" t="s">
        <v>1931</v>
      </c>
      <c r="H1012" s="75" t="s">
        <v>1932</v>
      </c>
      <c r="I1012" s="85" t="s">
        <v>1967</v>
      </c>
      <c r="J1012" s="77"/>
      <c r="K1012" s="78" t="s">
        <v>1933</v>
      </c>
      <c r="L1012" s="79"/>
    </row>
    <row r="1013" ht="22.5" customHeight="1">
      <c r="A1013" s="80">
        <v>194.0</v>
      </c>
      <c r="B1013" s="81" t="s">
        <v>2127</v>
      </c>
      <c r="C1013" s="82"/>
      <c r="D1013" s="80">
        <v>9.937317001E9</v>
      </c>
      <c r="E1013" s="81" t="s">
        <v>11</v>
      </c>
      <c r="F1013" s="81" t="s">
        <v>385</v>
      </c>
      <c r="G1013" s="83" t="s">
        <v>1931</v>
      </c>
      <c r="H1013" s="75" t="s">
        <v>1932</v>
      </c>
      <c r="I1013" s="85" t="s">
        <v>1967</v>
      </c>
      <c r="J1013" s="84"/>
      <c r="K1013" s="78" t="s">
        <v>1933</v>
      </c>
      <c r="L1013" s="79"/>
    </row>
    <row r="1014" ht="22.5" customHeight="1">
      <c r="A1014" s="71">
        <v>195.0</v>
      </c>
      <c r="B1014" s="72" t="s">
        <v>2128</v>
      </c>
      <c r="C1014" s="73"/>
      <c r="D1014" s="71">
        <v>8.260590235E9</v>
      </c>
      <c r="E1014" s="72" t="s">
        <v>11</v>
      </c>
      <c r="F1014" s="72" t="s">
        <v>385</v>
      </c>
      <c r="G1014" s="74" t="s">
        <v>1931</v>
      </c>
      <c r="H1014" s="75" t="s">
        <v>1932</v>
      </c>
      <c r="I1014" s="85" t="s">
        <v>1967</v>
      </c>
      <c r="J1014" s="77"/>
      <c r="K1014" s="78" t="s">
        <v>1933</v>
      </c>
      <c r="L1014" s="79"/>
    </row>
    <row r="1015" ht="22.5" customHeight="1">
      <c r="A1015" s="80">
        <v>196.0</v>
      </c>
      <c r="B1015" s="81" t="s">
        <v>2129</v>
      </c>
      <c r="C1015" s="82"/>
      <c r="D1015" s="80">
        <v>8.456896016E9</v>
      </c>
      <c r="E1015" s="81" t="s">
        <v>11</v>
      </c>
      <c r="F1015" s="81" t="s">
        <v>385</v>
      </c>
      <c r="G1015" s="83" t="s">
        <v>1931</v>
      </c>
      <c r="H1015" s="75" t="s">
        <v>1932</v>
      </c>
      <c r="I1015" s="85" t="s">
        <v>1967</v>
      </c>
      <c r="J1015" s="84"/>
      <c r="K1015" s="78" t="s">
        <v>1933</v>
      </c>
      <c r="L1015" s="79"/>
    </row>
    <row r="1016" ht="22.5" customHeight="1">
      <c r="A1016" s="71">
        <v>197.0</v>
      </c>
      <c r="B1016" s="72" t="s">
        <v>2130</v>
      </c>
      <c r="C1016" s="73"/>
      <c r="D1016" s="71">
        <v>7.846999784E9</v>
      </c>
      <c r="E1016" s="72" t="s">
        <v>11</v>
      </c>
      <c r="F1016" s="72" t="s">
        <v>385</v>
      </c>
      <c r="G1016" s="74" t="s">
        <v>1931</v>
      </c>
      <c r="H1016" s="75" t="s">
        <v>1932</v>
      </c>
      <c r="I1016" s="85" t="s">
        <v>1967</v>
      </c>
      <c r="J1016" s="77"/>
      <c r="K1016" s="78" t="s">
        <v>1933</v>
      </c>
      <c r="L1016" s="79"/>
    </row>
    <row r="1017" ht="22.5" customHeight="1">
      <c r="A1017" s="80">
        <v>198.0</v>
      </c>
      <c r="B1017" s="81" t="s">
        <v>2131</v>
      </c>
      <c r="C1017" s="82"/>
      <c r="D1017" s="80">
        <v>8.249291554E9</v>
      </c>
      <c r="E1017" s="81" t="s">
        <v>11</v>
      </c>
      <c r="F1017" s="81" t="s">
        <v>385</v>
      </c>
      <c r="G1017" s="83" t="s">
        <v>1931</v>
      </c>
      <c r="H1017" s="75" t="s">
        <v>1932</v>
      </c>
      <c r="I1017" s="85" t="s">
        <v>1967</v>
      </c>
      <c r="J1017" s="84"/>
      <c r="K1017" s="78" t="s">
        <v>1933</v>
      </c>
      <c r="L1017" s="79"/>
    </row>
    <row r="1018" ht="22.5" customHeight="1">
      <c r="A1018" s="71">
        <v>199.0</v>
      </c>
      <c r="B1018" s="72" t="s">
        <v>2132</v>
      </c>
      <c r="C1018" s="73"/>
      <c r="D1018" s="71">
        <v>9.040587097E9</v>
      </c>
      <c r="E1018" s="72" t="s">
        <v>11</v>
      </c>
      <c r="F1018" s="72" t="s">
        <v>385</v>
      </c>
      <c r="G1018" s="74" t="s">
        <v>1931</v>
      </c>
      <c r="H1018" s="75" t="s">
        <v>1932</v>
      </c>
      <c r="I1018" s="85" t="s">
        <v>1967</v>
      </c>
      <c r="J1018" s="77"/>
      <c r="K1018" s="78" t="s">
        <v>1933</v>
      </c>
      <c r="L1018" s="79"/>
    </row>
    <row r="1019" ht="22.5" customHeight="1">
      <c r="A1019" s="80">
        <v>200.0</v>
      </c>
      <c r="B1019" s="81" t="s">
        <v>2133</v>
      </c>
      <c r="C1019" s="82"/>
      <c r="D1019" s="80">
        <v>9.777681736E9</v>
      </c>
      <c r="E1019" s="81" t="s">
        <v>11</v>
      </c>
      <c r="F1019" s="81" t="s">
        <v>385</v>
      </c>
      <c r="G1019" s="83" t="s">
        <v>1931</v>
      </c>
      <c r="H1019" s="75" t="s">
        <v>1932</v>
      </c>
      <c r="I1019" s="85" t="s">
        <v>1967</v>
      </c>
      <c r="J1019" s="84"/>
      <c r="K1019" s="78" t="s">
        <v>1933</v>
      </c>
      <c r="L1019" s="79"/>
    </row>
    <row r="1020" ht="22.5" customHeight="1">
      <c r="A1020" s="71">
        <v>201.0</v>
      </c>
      <c r="B1020" s="72" t="s">
        <v>2134</v>
      </c>
      <c r="C1020" s="73"/>
      <c r="D1020" s="71">
        <v>9.439691084E9</v>
      </c>
      <c r="E1020" s="72" t="s">
        <v>11</v>
      </c>
      <c r="F1020" s="72" t="s">
        <v>385</v>
      </c>
      <c r="G1020" s="74" t="s">
        <v>1931</v>
      </c>
      <c r="H1020" s="75" t="s">
        <v>1932</v>
      </c>
      <c r="I1020" s="85" t="s">
        <v>1967</v>
      </c>
      <c r="J1020" s="77"/>
      <c r="K1020" s="78" t="s">
        <v>1933</v>
      </c>
      <c r="L1020" s="79"/>
    </row>
    <row r="1021" ht="22.5" customHeight="1">
      <c r="A1021" s="80">
        <v>202.0</v>
      </c>
      <c r="B1021" s="81" t="s">
        <v>2135</v>
      </c>
      <c r="C1021" s="82"/>
      <c r="D1021" s="80">
        <v>9.556953032E9</v>
      </c>
      <c r="E1021" s="81" t="s">
        <v>11</v>
      </c>
      <c r="F1021" s="81" t="s">
        <v>385</v>
      </c>
      <c r="G1021" s="83" t="s">
        <v>1931</v>
      </c>
      <c r="H1021" s="75" t="s">
        <v>1932</v>
      </c>
      <c r="I1021" s="85" t="s">
        <v>1967</v>
      </c>
      <c r="J1021" s="84"/>
      <c r="K1021" s="78" t="s">
        <v>1933</v>
      </c>
      <c r="L1021" s="79"/>
    </row>
    <row r="1022" ht="22.5" customHeight="1">
      <c r="A1022" s="71">
        <v>203.0</v>
      </c>
      <c r="B1022" s="72" t="s">
        <v>2136</v>
      </c>
      <c r="C1022" s="73"/>
      <c r="D1022" s="71">
        <v>9.58362957E9</v>
      </c>
      <c r="E1022" s="72" t="s">
        <v>11</v>
      </c>
      <c r="F1022" s="72" t="s">
        <v>385</v>
      </c>
      <c r="G1022" s="74" t="s">
        <v>1931</v>
      </c>
      <c r="H1022" s="75" t="s">
        <v>1932</v>
      </c>
      <c r="I1022" s="85" t="s">
        <v>1967</v>
      </c>
      <c r="J1022" s="77"/>
      <c r="K1022" s="78" t="s">
        <v>1933</v>
      </c>
      <c r="L1022" s="79"/>
    </row>
    <row r="1023" ht="22.5" customHeight="1">
      <c r="A1023" s="80">
        <v>204.0</v>
      </c>
      <c r="B1023" s="81" t="s">
        <v>2137</v>
      </c>
      <c r="C1023" s="82"/>
      <c r="D1023" s="80">
        <v>8.457930396E9</v>
      </c>
      <c r="E1023" s="81" t="s">
        <v>11</v>
      </c>
      <c r="F1023" s="81" t="s">
        <v>385</v>
      </c>
      <c r="G1023" s="83" t="s">
        <v>1931</v>
      </c>
      <c r="H1023" s="75" t="s">
        <v>1932</v>
      </c>
      <c r="I1023" s="85" t="s">
        <v>1967</v>
      </c>
      <c r="J1023" s="84"/>
      <c r="K1023" s="78" t="s">
        <v>1933</v>
      </c>
      <c r="L1023" s="79"/>
    </row>
    <row r="1024" ht="22.5" customHeight="1">
      <c r="A1024" s="71">
        <v>205.0</v>
      </c>
      <c r="B1024" s="72" t="s">
        <v>2138</v>
      </c>
      <c r="C1024" s="73"/>
      <c r="D1024" s="71">
        <v>8.09360974E9</v>
      </c>
      <c r="E1024" s="72" t="s">
        <v>11</v>
      </c>
      <c r="F1024" s="72" t="s">
        <v>385</v>
      </c>
      <c r="G1024" s="74" t="s">
        <v>1931</v>
      </c>
      <c r="H1024" s="75" t="s">
        <v>1932</v>
      </c>
      <c r="I1024" s="85" t="s">
        <v>1967</v>
      </c>
      <c r="J1024" s="77"/>
      <c r="K1024" s="78" t="s">
        <v>1933</v>
      </c>
      <c r="L1024" s="79"/>
    </row>
    <row r="1025" ht="22.5" customHeight="1">
      <c r="A1025" s="80">
        <v>206.0</v>
      </c>
      <c r="B1025" s="81" t="s">
        <v>2139</v>
      </c>
      <c r="C1025" s="82"/>
      <c r="D1025" s="80">
        <v>9.861721538E9</v>
      </c>
      <c r="E1025" s="81" t="s">
        <v>11</v>
      </c>
      <c r="F1025" s="81" t="s">
        <v>385</v>
      </c>
      <c r="G1025" s="83" t="s">
        <v>1931</v>
      </c>
      <c r="H1025" s="75" t="s">
        <v>1932</v>
      </c>
      <c r="I1025" s="85" t="s">
        <v>1967</v>
      </c>
      <c r="J1025" s="84"/>
      <c r="K1025" s="78" t="s">
        <v>1933</v>
      </c>
      <c r="L1025" s="79"/>
    </row>
    <row r="1026" ht="22.5" customHeight="1">
      <c r="A1026" s="71">
        <v>207.0</v>
      </c>
      <c r="B1026" s="72" t="s">
        <v>2140</v>
      </c>
      <c r="C1026" s="73"/>
      <c r="D1026" s="71">
        <v>6.370438789E9</v>
      </c>
      <c r="E1026" s="72" t="s">
        <v>11</v>
      </c>
      <c r="F1026" s="72" t="s">
        <v>385</v>
      </c>
      <c r="G1026" s="74" t="s">
        <v>1931</v>
      </c>
      <c r="H1026" s="75" t="s">
        <v>1932</v>
      </c>
      <c r="I1026" s="85" t="s">
        <v>1967</v>
      </c>
      <c r="J1026" s="77"/>
      <c r="K1026" s="78" t="s">
        <v>1933</v>
      </c>
      <c r="L1026" s="79"/>
    </row>
    <row r="1027" ht="22.5" customHeight="1">
      <c r="A1027" s="80">
        <v>208.0</v>
      </c>
      <c r="B1027" s="81" t="s">
        <v>2141</v>
      </c>
      <c r="C1027" s="82"/>
      <c r="D1027" s="80">
        <v>9.437764089E9</v>
      </c>
      <c r="E1027" s="81" t="s">
        <v>11</v>
      </c>
      <c r="F1027" s="81" t="s">
        <v>385</v>
      </c>
      <c r="G1027" s="83" t="s">
        <v>1931</v>
      </c>
      <c r="H1027" s="75" t="s">
        <v>1932</v>
      </c>
      <c r="I1027" s="85" t="s">
        <v>1967</v>
      </c>
      <c r="J1027" s="84"/>
      <c r="K1027" s="78" t="s">
        <v>1933</v>
      </c>
      <c r="L1027" s="79"/>
    </row>
    <row r="1028" ht="22.5" customHeight="1">
      <c r="A1028" s="71">
        <v>209.0</v>
      </c>
      <c r="B1028" s="72" t="s">
        <v>2142</v>
      </c>
      <c r="C1028" s="73"/>
      <c r="D1028" s="71">
        <v>7.735884662E9</v>
      </c>
      <c r="E1028" s="72" t="s">
        <v>11</v>
      </c>
      <c r="F1028" s="72" t="s">
        <v>385</v>
      </c>
      <c r="G1028" s="74" t="s">
        <v>1931</v>
      </c>
      <c r="H1028" s="75" t="s">
        <v>1932</v>
      </c>
      <c r="I1028" s="85" t="s">
        <v>1967</v>
      </c>
      <c r="J1028" s="77"/>
      <c r="K1028" s="78" t="s">
        <v>1933</v>
      </c>
      <c r="L1028" s="79"/>
    </row>
    <row r="1029" ht="22.5" customHeight="1">
      <c r="A1029" s="80">
        <v>210.0</v>
      </c>
      <c r="B1029" s="81" t="s">
        <v>2143</v>
      </c>
      <c r="C1029" s="82"/>
      <c r="D1029" s="80">
        <v>9.438846847E9</v>
      </c>
      <c r="E1029" s="81" t="s">
        <v>11</v>
      </c>
      <c r="F1029" s="81" t="s">
        <v>385</v>
      </c>
      <c r="G1029" s="83" t="s">
        <v>1931</v>
      </c>
      <c r="H1029" s="75" t="s">
        <v>1932</v>
      </c>
      <c r="I1029" s="85" t="s">
        <v>1967</v>
      </c>
      <c r="J1029" s="84"/>
      <c r="K1029" s="78" t="s">
        <v>1933</v>
      </c>
      <c r="L1029" s="79"/>
    </row>
    <row r="1030" ht="22.5" customHeight="1">
      <c r="A1030" s="71">
        <v>211.0</v>
      </c>
      <c r="B1030" s="72" t="s">
        <v>2144</v>
      </c>
      <c r="C1030" s="73"/>
      <c r="D1030" s="71">
        <v>9.827772182E9</v>
      </c>
      <c r="E1030" s="72" t="s">
        <v>11</v>
      </c>
      <c r="F1030" s="72" t="s">
        <v>385</v>
      </c>
      <c r="G1030" s="74" t="s">
        <v>1931</v>
      </c>
      <c r="H1030" s="75" t="s">
        <v>1932</v>
      </c>
      <c r="I1030" s="85" t="s">
        <v>1967</v>
      </c>
      <c r="J1030" s="77"/>
      <c r="K1030" s="78" t="s">
        <v>1933</v>
      </c>
      <c r="L1030" s="79"/>
    </row>
    <row r="1031" ht="22.5" customHeight="1">
      <c r="A1031" s="80">
        <v>212.0</v>
      </c>
      <c r="B1031" s="81" t="s">
        <v>2145</v>
      </c>
      <c r="C1031" s="82"/>
      <c r="D1031" s="80">
        <v>9.692577701E9</v>
      </c>
      <c r="E1031" s="81" t="s">
        <v>11</v>
      </c>
      <c r="F1031" s="81" t="s">
        <v>385</v>
      </c>
      <c r="G1031" s="83" t="s">
        <v>1931</v>
      </c>
      <c r="H1031" s="75" t="s">
        <v>1932</v>
      </c>
      <c r="I1031" s="85" t="s">
        <v>1967</v>
      </c>
      <c r="J1031" s="84"/>
      <c r="K1031" s="78" t="s">
        <v>1933</v>
      </c>
      <c r="L1031" s="79"/>
    </row>
    <row r="1032" ht="22.5" customHeight="1">
      <c r="A1032" s="71">
        <v>213.0</v>
      </c>
      <c r="B1032" s="72" t="s">
        <v>2146</v>
      </c>
      <c r="C1032" s="73"/>
      <c r="D1032" s="71">
        <v>7.008696808E9</v>
      </c>
      <c r="E1032" s="72" t="s">
        <v>11</v>
      </c>
      <c r="F1032" s="72" t="s">
        <v>385</v>
      </c>
      <c r="G1032" s="74" t="s">
        <v>1931</v>
      </c>
      <c r="H1032" s="75" t="s">
        <v>1932</v>
      </c>
      <c r="I1032" s="85" t="s">
        <v>1967</v>
      </c>
      <c r="J1032" s="77"/>
      <c r="K1032" s="78" t="s">
        <v>1933</v>
      </c>
      <c r="L1032" s="79"/>
    </row>
    <row r="1033" ht="22.5" customHeight="1">
      <c r="A1033" s="80">
        <v>214.0</v>
      </c>
      <c r="B1033" s="81" t="s">
        <v>2147</v>
      </c>
      <c r="C1033" s="82"/>
      <c r="D1033" s="80">
        <v>9.124033429E9</v>
      </c>
      <c r="E1033" s="81" t="s">
        <v>11</v>
      </c>
      <c r="F1033" s="81" t="s">
        <v>385</v>
      </c>
      <c r="G1033" s="83" t="s">
        <v>1931</v>
      </c>
      <c r="H1033" s="75" t="s">
        <v>1932</v>
      </c>
      <c r="I1033" s="85" t="s">
        <v>1967</v>
      </c>
      <c r="J1033" s="84"/>
      <c r="K1033" s="78" t="s">
        <v>1933</v>
      </c>
      <c r="L1033" s="79"/>
    </row>
    <row r="1034" ht="22.5" customHeight="1">
      <c r="A1034" s="71">
        <v>215.0</v>
      </c>
      <c r="B1034" s="72" t="s">
        <v>2148</v>
      </c>
      <c r="C1034" s="73"/>
      <c r="D1034" s="71">
        <v>7.978485715E9</v>
      </c>
      <c r="E1034" s="72" t="s">
        <v>11</v>
      </c>
      <c r="F1034" s="72" t="s">
        <v>385</v>
      </c>
      <c r="G1034" s="74" t="s">
        <v>1931</v>
      </c>
      <c r="H1034" s="75" t="s">
        <v>1932</v>
      </c>
      <c r="I1034" s="85" t="s">
        <v>1967</v>
      </c>
      <c r="J1034" s="77"/>
      <c r="K1034" s="78" t="s">
        <v>1933</v>
      </c>
      <c r="L1034" s="79"/>
    </row>
    <row r="1035" ht="22.5" customHeight="1">
      <c r="A1035" s="80">
        <v>216.0</v>
      </c>
      <c r="B1035" s="81" t="s">
        <v>2149</v>
      </c>
      <c r="C1035" s="82"/>
      <c r="D1035" s="80">
        <v>9.938994482E9</v>
      </c>
      <c r="E1035" s="81" t="s">
        <v>11</v>
      </c>
      <c r="F1035" s="81" t="s">
        <v>385</v>
      </c>
      <c r="G1035" s="83" t="s">
        <v>1931</v>
      </c>
      <c r="H1035" s="75" t="s">
        <v>1932</v>
      </c>
      <c r="I1035" s="85" t="s">
        <v>1967</v>
      </c>
      <c r="J1035" s="84"/>
      <c r="K1035" s="78" t="s">
        <v>1933</v>
      </c>
      <c r="L1035" s="79"/>
    </row>
    <row r="1036" ht="22.5" customHeight="1">
      <c r="A1036" s="71">
        <v>217.0</v>
      </c>
      <c r="B1036" s="72" t="s">
        <v>2150</v>
      </c>
      <c r="C1036" s="73"/>
      <c r="D1036" s="71">
        <v>9.33718634E9</v>
      </c>
      <c r="E1036" s="72" t="s">
        <v>11</v>
      </c>
      <c r="F1036" s="72" t="s">
        <v>385</v>
      </c>
      <c r="G1036" s="74" t="s">
        <v>1931</v>
      </c>
      <c r="H1036" s="75" t="s">
        <v>1932</v>
      </c>
      <c r="I1036" s="85" t="s">
        <v>1967</v>
      </c>
      <c r="J1036" s="77"/>
      <c r="K1036" s="78" t="s">
        <v>1933</v>
      </c>
      <c r="L1036" s="79"/>
    </row>
    <row r="1037" ht="22.5" customHeight="1">
      <c r="A1037" s="80">
        <v>218.0</v>
      </c>
      <c r="B1037" s="81" t="s">
        <v>2151</v>
      </c>
      <c r="C1037" s="82"/>
      <c r="D1037" s="80">
        <v>6.372404512E9</v>
      </c>
      <c r="E1037" s="81" t="s">
        <v>11</v>
      </c>
      <c r="F1037" s="81" t="s">
        <v>385</v>
      </c>
      <c r="G1037" s="83" t="s">
        <v>1931</v>
      </c>
      <c r="H1037" s="75" t="s">
        <v>1932</v>
      </c>
      <c r="I1037" s="85" t="s">
        <v>1967</v>
      </c>
      <c r="J1037" s="84"/>
      <c r="K1037" s="78" t="s">
        <v>1933</v>
      </c>
      <c r="L1037" s="79"/>
    </row>
    <row r="1038" ht="22.5" customHeight="1">
      <c r="A1038" s="71">
        <v>219.0</v>
      </c>
      <c r="B1038" s="72" t="s">
        <v>2152</v>
      </c>
      <c r="C1038" s="73"/>
      <c r="D1038" s="71">
        <v>9.337472465E9</v>
      </c>
      <c r="E1038" s="72" t="s">
        <v>11</v>
      </c>
      <c r="F1038" s="72" t="s">
        <v>385</v>
      </c>
      <c r="G1038" s="74" t="s">
        <v>1931</v>
      </c>
      <c r="H1038" s="75" t="s">
        <v>1932</v>
      </c>
      <c r="I1038" s="85" t="s">
        <v>1967</v>
      </c>
      <c r="J1038" s="77"/>
      <c r="K1038" s="78" t="s">
        <v>1933</v>
      </c>
      <c r="L1038" s="79"/>
    </row>
    <row r="1039" ht="22.5" customHeight="1">
      <c r="A1039" s="80">
        <v>220.0</v>
      </c>
      <c r="B1039" s="81" t="s">
        <v>2153</v>
      </c>
      <c r="C1039" s="82"/>
      <c r="D1039" s="80">
        <v>8.018636517E9</v>
      </c>
      <c r="E1039" s="81" t="s">
        <v>11</v>
      </c>
      <c r="F1039" s="81" t="s">
        <v>385</v>
      </c>
      <c r="G1039" s="83" t="s">
        <v>1931</v>
      </c>
      <c r="H1039" s="75" t="s">
        <v>1932</v>
      </c>
      <c r="I1039" s="85" t="s">
        <v>1967</v>
      </c>
      <c r="J1039" s="84"/>
      <c r="K1039" s="78" t="s">
        <v>1933</v>
      </c>
      <c r="L1039" s="79"/>
    </row>
    <row r="1040" ht="22.5" customHeight="1">
      <c r="A1040" s="71">
        <v>221.0</v>
      </c>
      <c r="B1040" s="72" t="s">
        <v>2154</v>
      </c>
      <c r="C1040" s="73"/>
      <c r="D1040" s="71">
        <v>9.861014334E9</v>
      </c>
      <c r="E1040" s="72" t="s">
        <v>11</v>
      </c>
      <c r="F1040" s="72" t="s">
        <v>385</v>
      </c>
      <c r="G1040" s="74" t="s">
        <v>1931</v>
      </c>
      <c r="H1040" s="75" t="s">
        <v>1932</v>
      </c>
      <c r="I1040" s="85" t="s">
        <v>1967</v>
      </c>
      <c r="J1040" s="77"/>
      <c r="K1040" s="78" t="s">
        <v>1933</v>
      </c>
      <c r="L1040" s="79"/>
    </row>
    <row r="1041" ht="22.5" customHeight="1">
      <c r="A1041" s="80">
        <v>222.0</v>
      </c>
      <c r="B1041" s="81" t="s">
        <v>2155</v>
      </c>
      <c r="C1041" s="82"/>
      <c r="D1041" s="80">
        <v>7.381027004E9</v>
      </c>
      <c r="E1041" s="81" t="s">
        <v>11</v>
      </c>
      <c r="F1041" s="81" t="s">
        <v>385</v>
      </c>
      <c r="G1041" s="83" t="s">
        <v>1931</v>
      </c>
      <c r="H1041" s="75" t="s">
        <v>1932</v>
      </c>
      <c r="I1041" s="85" t="s">
        <v>1967</v>
      </c>
      <c r="J1041" s="84"/>
      <c r="K1041" s="78" t="s">
        <v>1933</v>
      </c>
      <c r="L1041" s="79"/>
    </row>
    <row r="1042" ht="22.5" customHeight="1">
      <c r="A1042" s="71">
        <v>223.0</v>
      </c>
      <c r="B1042" s="72" t="s">
        <v>2156</v>
      </c>
      <c r="C1042" s="73"/>
      <c r="D1042" s="71">
        <v>8.093931173E9</v>
      </c>
      <c r="E1042" s="72" t="s">
        <v>11</v>
      </c>
      <c r="F1042" s="72" t="s">
        <v>385</v>
      </c>
      <c r="G1042" s="74" t="s">
        <v>1931</v>
      </c>
      <c r="H1042" s="75" t="s">
        <v>1932</v>
      </c>
      <c r="I1042" s="85" t="s">
        <v>1967</v>
      </c>
      <c r="J1042" s="77"/>
      <c r="K1042" s="78" t="s">
        <v>1933</v>
      </c>
      <c r="L1042" s="79"/>
    </row>
    <row r="1043" ht="22.5" customHeight="1">
      <c r="A1043" s="80">
        <v>224.0</v>
      </c>
      <c r="B1043" s="81" t="s">
        <v>2157</v>
      </c>
      <c r="C1043" s="82"/>
      <c r="D1043" s="80">
        <v>9.04053459E9</v>
      </c>
      <c r="E1043" s="81" t="s">
        <v>11</v>
      </c>
      <c r="F1043" s="81" t="s">
        <v>385</v>
      </c>
      <c r="G1043" s="83" t="s">
        <v>1931</v>
      </c>
      <c r="H1043" s="75" t="s">
        <v>1932</v>
      </c>
      <c r="I1043" s="85" t="s">
        <v>1967</v>
      </c>
      <c r="J1043" s="84"/>
      <c r="K1043" s="78" t="s">
        <v>1933</v>
      </c>
      <c r="L1043" s="79"/>
    </row>
    <row r="1044" ht="22.5" customHeight="1">
      <c r="A1044" s="71">
        <v>225.0</v>
      </c>
      <c r="B1044" s="72" t="s">
        <v>2158</v>
      </c>
      <c r="C1044" s="73"/>
      <c r="D1044" s="71">
        <v>9.040996949E9</v>
      </c>
      <c r="E1044" s="72" t="s">
        <v>11</v>
      </c>
      <c r="F1044" s="72" t="s">
        <v>385</v>
      </c>
      <c r="G1044" s="74" t="s">
        <v>1931</v>
      </c>
      <c r="H1044" s="75" t="s">
        <v>1932</v>
      </c>
      <c r="I1044" s="85" t="s">
        <v>1967</v>
      </c>
      <c r="J1044" s="77"/>
      <c r="K1044" s="78" t="s">
        <v>1933</v>
      </c>
      <c r="L1044" s="79"/>
    </row>
    <row r="1045" ht="22.5" customHeight="1">
      <c r="A1045" s="80">
        <v>226.0</v>
      </c>
      <c r="B1045" s="81" t="s">
        <v>2159</v>
      </c>
      <c r="C1045" s="82"/>
      <c r="D1045" s="80">
        <v>9.438157868E9</v>
      </c>
      <c r="E1045" s="81" t="s">
        <v>11</v>
      </c>
      <c r="F1045" s="81" t="s">
        <v>385</v>
      </c>
      <c r="G1045" s="83" t="s">
        <v>1931</v>
      </c>
      <c r="H1045" s="75" t="s">
        <v>1932</v>
      </c>
      <c r="I1045" s="85" t="s">
        <v>1967</v>
      </c>
      <c r="J1045" s="84"/>
      <c r="K1045" s="78" t="s">
        <v>1933</v>
      </c>
      <c r="L1045" s="79"/>
    </row>
    <row r="1046" ht="22.5" customHeight="1">
      <c r="A1046" s="71">
        <v>227.0</v>
      </c>
      <c r="B1046" s="72" t="s">
        <v>2160</v>
      </c>
      <c r="C1046" s="73"/>
      <c r="D1046" s="71">
        <v>7.749095602E9</v>
      </c>
      <c r="E1046" s="72" t="s">
        <v>11</v>
      </c>
      <c r="F1046" s="72" t="s">
        <v>385</v>
      </c>
      <c r="G1046" s="74" t="s">
        <v>1931</v>
      </c>
      <c r="H1046" s="75" t="s">
        <v>1932</v>
      </c>
      <c r="I1046" s="85" t="s">
        <v>1967</v>
      </c>
      <c r="J1046" s="77"/>
      <c r="K1046" s="78" t="s">
        <v>1933</v>
      </c>
      <c r="L1046" s="79"/>
    </row>
    <row r="1047" ht="22.5" customHeight="1">
      <c r="A1047" s="80">
        <v>228.0</v>
      </c>
      <c r="B1047" s="81" t="s">
        <v>2161</v>
      </c>
      <c r="C1047" s="82"/>
      <c r="D1047" s="80">
        <v>8.260713481E9</v>
      </c>
      <c r="E1047" s="81" t="s">
        <v>11</v>
      </c>
      <c r="F1047" s="81" t="s">
        <v>385</v>
      </c>
      <c r="G1047" s="83" t="s">
        <v>1931</v>
      </c>
      <c r="H1047" s="75" t="s">
        <v>1932</v>
      </c>
      <c r="I1047" s="85" t="s">
        <v>1967</v>
      </c>
      <c r="J1047" s="84"/>
      <c r="K1047" s="78" t="s">
        <v>1933</v>
      </c>
      <c r="L1047" s="79"/>
    </row>
    <row r="1048" ht="22.5" customHeight="1">
      <c r="A1048" s="71">
        <v>229.0</v>
      </c>
      <c r="B1048" s="72" t="s">
        <v>2162</v>
      </c>
      <c r="C1048" s="73"/>
      <c r="D1048" s="71">
        <v>7.894036358E9</v>
      </c>
      <c r="E1048" s="72" t="s">
        <v>11</v>
      </c>
      <c r="F1048" s="72" t="s">
        <v>385</v>
      </c>
      <c r="G1048" s="74" t="s">
        <v>1931</v>
      </c>
      <c r="H1048" s="75" t="s">
        <v>1932</v>
      </c>
      <c r="I1048" s="85" t="s">
        <v>1967</v>
      </c>
      <c r="J1048" s="77"/>
      <c r="K1048" s="78" t="s">
        <v>1933</v>
      </c>
      <c r="L1048" s="79"/>
    </row>
    <row r="1049" ht="22.5" customHeight="1">
      <c r="A1049" s="80">
        <v>230.0</v>
      </c>
      <c r="B1049" s="81" t="s">
        <v>2163</v>
      </c>
      <c r="C1049" s="82"/>
      <c r="D1049" s="80">
        <v>8.984733588E9</v>
      </c>
      <c r="E1049" s="81" t="s">
        <v>11</v>
      </c>
      <c r="F1049" s="81" t="s">
        <v>385</v>
      </c>
      <c r="G1049" s="83" t="s">
        <v>1931</v>
      </c>
      <c r="H1049" s="75" t="s">
        <v>1932</v>
      </c>
      <c r="I1049" s="85" t="s">
        <v>1967</v>
      </c>
      <c r="J1049" s="84"/>
      <c r="K1049" s="78" t="s">
        <v>1933</v>
      </c>
      <c r="L1049" s="79"/>
    </row>
    <row r="1050" ht="22.5" customHeight="1">
      <c r="A1050" s="71">
        <v>231.0</v>
      </c>
      <c r="B1050" s="72" t="s">
        <v>2164</v>
      </c>
      <c r="C1050" s="73"/>
      <c r="D1050" s="71">
        <v>7.978433421E9</v>
      </c>
      <c r="E1050" s="72" t="s">
        <v>11</v>
      </c>
      <c r="F1050" s="72" t="s">
        <v>385</v>
      </c>
      <c r="G1050" s="74" t="s">
        <v>1931</v>
      </c>
      <c r="H1050" s="75" t="s">
        <v>1932</v>
      </c>
      <c r="I1050" s="85" t="s">
        <v>1967</v>
      </c>
      <c r="J1050" s="77"/>
      <c r="K1050" s="78" t="s">
        <v>1933</v>
      </c>
      <c r="L1050" s="79"/>
    </row>
    <row r="1051" ht="22.5" customHeight="1">
      <c r="A1051" s="80">
        <v>232.0</v>
      </c>
      <c r="B1051" s="81" t="s">
        <v>2165</v>
      </c>
      <c r="C1051" s="82"/>
      <c r="D1051" s="80">
        <v>9.937224754E9</v>
      </c>
      <c r="E1051" s="81" t="s">
        <v>11</v>
      </c>
      <c r="F1051" s="81" t="s">
        <v>385</v>
      </c>
      <c r="G1051" s="83" t="s">
        <v>1931</v>
      </c>
      <c r="H1051" s="75" t="s">
        <v>1932</v>
      </c>
      <c r="I1051" s="85" t="s">
        <v>1967</v>
      </c>
      <c r="J1051" s="84"/>
      <c r="K1051" s="78" t="s">
        <v>1933</v>
      </c>
      <c r="L1051" s="79"/>
    </row>
    <row r="1052" ht="22.5" customHeight="1">
      <c r="A1052" s="71">
        <v>233.0</v>
      </c>
      <c r="B1052" s="72" t="s">
        <v>2166</v>
      </c>
      <c r="C1052" s="73"/>
      <c r="D1052" s="71">
        <v>9.090880793E9</v>
      </c>
      <c r="E1052" s="72" t="s">
        <v>11</v>
      </c>
      <c r="F1052" s="72" t="s">
        <v>385</v>
      </c>
      <c r="G1052" s="74" t="s">
        <v>1931</v>
      </c>
      <c r="H1052" s="75" t="s">
        <v>1932</v>
      </c>
      <c r="I1052" s="85" t="s">
        <v>1967</v>
      </c>
      <c r="J1052" s="77"/>
      <c r="K1052" s="78" t="s">
        <v>1933</v>
      </c>
      <c r="L1052" s="79"/>
    </row>
    <row r="1053" ht="22.5" customHeight="1">
      <c r="A1053" s="80">
        <v>234.0</v>
      </c>
      <c r="B1053" s="81" t="s">
        <v>2167</v>
      </c>
      <c r="C1053" s="82"/>
      <c r="D1053" s="80">
        <v>8.260592714E9</v>
      </c>
      <c r="E1053" s="81" t="s">
        <v>11</v>
      </c>
      <c r="F1053" s="81" t="s">
        <v>385</v>
      </c>
      <c r="G1053" s="83" t="s">
        <v>1931</v>
      </c>
      <c r="H1053" s="75" t="s">
        <v>1932</v>
      </c>
      <c r="I1053" s="85" t="s">
        <v>1967</v>
      </c>
      <c r="J1053" s="84"/>
      <c r="K1053" s="78" t="s">
        <v>1933</v>
      </c>
      <c r="L1053" s="79"/>
    </row>
    <row r="1054" ht="22.5" customHeight="1">
      <c r="A1054" s="71">
        <v>235.0</v>
      </c>
      <c r="B1054" s="72" t="s">
        <v>2168</v>
      </c>
      <c r="C1054" s="73"/>
      <c r="D1054" s="71">
        <v>8.895761343E9</v>
      </c>
      <c r="E1054" s="72" t="s">
        <v>11</v>
      </c>
      <c r="F1054" s="72" t="s">
        <v>385</v>
      </c>
      <c r="G1054" s="74" t="s">
        <v>1931</v>
      </c>
      <c r="H1054" s="75" t="s">
        <v>1932</v>
      </c>
      <c r="I1054" s="85" t="s">
        <v>1967</v>
      </c>
      <c r="J1054" s="77"/>
      <c r="K1054" s="78" t="s">
        <v>1933</v>
      </c>
      <c r="L1054" s="79"/>
    </row>
    <row r="1055" ht="22.5" customHeight="1">
      <c r="A1055" s="80">
        <v>236.0</v>
      </c>
      <c r="B1055" s="81" t="s">
        <v>2169</v>
      </c>
      <c r="C1055" s="82"/>
      <c r="D1055" s="80">
        <v>8.917309349E9</v>
      </c>
      <c r="E1055" s="81" t="s">
        <v>11</v>
      </c>
      <c r="F1055" s="81" t="s">
        <v>385</v>
      </c>
      <c r="G1055" s="83" t="s">
        <v>1931</v>
      </c>
      <c r="H1055" s="75" t="s">
        <v>1932</v>
      </c>
      <c r="I1055" s="85" t="s">
        <v>1967</v>
      </c>
      <c r="J1055" s="84"/>
      <c r="K1055" s="78" t="s">
        <v>1933</v>
      </c>
      <c r="L1055" s="79"/>
    </row>
    <row r="1056" ht="22.5" customHeight="1">
      <c r="A1056" s="71">
        <v>237.0</v>
      </c>
      <c r="B1056" s="72" t="s">
        <v>2170</v>
      </c>
      <c r="C1056" s="73"/>
      <c r="D1056" s="71">
        <v>8.455888571E9</v>
      </c>
      <c r="E1056" s="72" t="s">
        <v>11</v>
      </c>
      <c r="F1056" s="72" t="s">
        <v>385</v>
      </c>
      <c r="G1056" s="74" t="s">
        <v>1931</v>
      </c>
      <c r="H1056" s="75" t="s">
        <v>1932</v>
      </c>
      <c r="I1056" s="85" t="s">
        <v>1967</v>
      </c>
      <c r="J1056" s="77"/>
      <c r="K1056" s="78" t="s">
        <v>1933</v>
      </c>
      <c r="L1056" s="79"/>
    </row>
    <row r="1057" ht="22.5" customHeight="1">
      <c r="A1057" s="80">
        <v>238.0</v>
      </c>
      <c r="B1057" s="81" t="s">
        <v>2171</v>
      </c>
      <c r="C1057" s="82"/>
      <c r="D1057" s="80">
        <v>7.504571031E9</v>
      </c>
      <c r="E1057" s="81" t="s">
        <v>11</v>
      </c>
      <c r="F1057" s="81" t="s">
        <v>385</v>
      </c>
      <c r="G1057" s="83" t="s">
        <v>1931</v>
      </c>
      <c r="H1057" s="75" t="s">
        <v>1932</v>
      </c>
      <c r="I1057" s="85" t="s">
        <v>1967</v>
      </c>
      <c r="J1057" s="84"/>
      <c r="K1057" s="78" t="s">
        <v>1933</v>
      </c>
      <c r="L1057" s="79"/>
    </row>
    <row r="1058" ht="22.5" customHeight="1">
      <c r="A1058" s="71">
        <v>239.0</v>
      </c>
      <c r="B1058" s="72" t="s">
        <v>2172</v>
      </c>
      <c r="C1058" s="73"/>
      <c r="D1058" s="71">
        <v>7.735408157E9</v>
      </c>
      <c r="E1058" s="72" t="s">
        <v>11</v>
      </c>
      <c r="F1058" s="72" t="s">
        <v>385</v>
      </c>
      <c r="G1058" s="74" t="s">
        <v>1931</v>
      </c>
      <c r="H1058" s="75" t="s">
        <v>1932</v>
      </c>
      <c r="I1058" s="85" t="s">
        <v>1967</v>
      </c>
      <c r="J1058" s="77"/>
      <c r="K1058" s="78" t="s">
        <v>1933</v>
      </c>
      <c r="L1058" s="79"/>
    </row>
    <row r="1059" ht="22.5" customHeight="1">
      <c r="A1059" s="80">
        <v>240.0</v>
      </c>
      <c r="B1059" s="81" t="s">
        <v>2173</v>
      </c>
      <c r="C1059" s="82"/>
      <c r="D1059" s="80">
        <v>9.938625262E9</v>
      </c>
      <c r="E1059" s="81" t="s">
        <v>11</v>
      </c>
      <c r="F1059" s="81" t="s">
        <v>385</v>
      </c>
      <c r="G1059" s="83" t="s">
        <v>1931</v>
      </c>
      <c r="H1059" s="75" t="s">
        <v>1932</v>
      </c>
      <c r="I1059" s="85" t="s">
        <v>1967</v>
      </c>
      <c r="J1059" s="84"/>
      <c r="K1059" s="78" t="s">
        <v>1933</v>
      </c>
      <c r="L1059" s="79"/>
    </row>
    <row r="1060" ht="22.5" customHeight="1">
      <c r="A1060" s="71">
        <v>241.0</v>
      </c>
      <c r="B1060" s="72" t="s">
        <v>2174</v>
      </c>
      <c r="C1060" s="73"/>
      <c r="D1060" s="71">
        <v>7.682917023E9</v>
      </c>
      <c r="E1060" s="72" t="s">
        <v>11</v>
      </c>
      <c r="F1060" s="72" t="s">
        <v>385</v>
      </c>
      <c r="G1060" s="74" t="s">
        <v>1931</v>
      </c>
      <c r="H1060" s="75" t="s">
        <v>1932</v>
      </c>
      <c r="I1060" s="85" t="s">
        <v>1967</v>
      </c>
      <c r="J1060" s="77"/>
      <c r="K1060" s="78" t="s">
        <v>1933</v>
      </c>
      <c r="L1060" s="79"/>
    </row>
    <row r="1061" ht="22.5" customHeight="1">
      <c r="A1061" s="80">
        <v>242.0</v>
      </c>
      <c r="B1061" s="81" t="s">
        <v>2175</v>
      </c>
      <c r="C1061" s="82"/>
      <c r="D1061" s="80">
        <v>9.438783717E9</v>
      </c>
      <c r="E1061" s="81" t="s">
        <v>11</v>
      </c>
      <c r="F1061" s="81" t="s">
        <v>385</v>
      </c>
      <c r="G1061" s="83" t="s">
        <v>1931</v>
      </c>
      <c r="H1061" s="75" t="s">
        <v>1932</v>
      </c>
      <c r="I1061" s="85" t="s">
        <v>1967</v>
      </c>
      <c r="J1061" s="84"/>
      <c r="K1061" s="78" t="s">
        <v>1933</v>
      </c>
      <c r="L1061" s="79"/>
    </row>
    <row r="1062" ht="22.5" customHeight="1">
      <c r="A1062" s="71">
        <v>243.0</v>
      </c>
      <c r="B1062" s="72" t="s">
        <v>2176</v>
      </c>
      <c r="C1062" s="73"/>
      <c r="D1062" s="71">
        <v>7.00002819E9</v>
      </c>
      <c r="E1062" s="72" t="s">
        <v>11</v>
      </c>
      <c r="F1062" s="72" t="s">
        <v>385</v>
      </c>
      <c r="G1062" s="74" t="s">
        <v>1931</v>
      </c>
      <c r="H1062" s="75" t="s">
        <v>1932</v>
      </c>
      <c r="I1062" s="85" t="s">
        <v>1967</v>
      </c>
      <c r="J1062" s="77"/>
      <c r="K1062" s="78" t="s">
        <v>1933</v>
      </c>
      <c r="L1062" s="79"/>
    </row>
    <row r="1063" ht="22.5" customHeight="1">
      <c r="A1063" s="80">
        <v>244.0</v>
      </c>
      <c r="B1063" s="81" t="s">
        <v>2177</v>
      </c>
      <c r="C1063" s="82"/>
      <c r="D1063" s="80">
        <v>9.437833972E9</v>
      </c>
      <c r="E1063" s="81" t="s">
        <v>11</v>
      </c>
      <c r="F1063" s="81" t="s">
        <v>385</v>
      </c>
      <c r="G1063" s="83" t="s">
        <v>1931</v>
      </c>
      <c r="H1063" s="75" t="s">
        <v>1932</v>
      </c>
      <c r="I1063" s="85" t="s">
        <v>1967</v>
      </c>
      <c r="J1063" s="84"/>
      <c r="K1063" s="78" t="s">
        <v>1933</v>
      </c>
      <c r="L1063" s="79"/>
    </row>
    <row r="1064" ht="22.5" customHeight="1">
      <c r="A1064" s="71">
        <v>245.0</v>
      </c>
      <c r="B1064" s="72" t="s">
        <v>2178</v>
      </c>
      <c r="C1064" s="73"/>
      <c r="D1064" s="71">
        <v>9.86160753E9</v>
      </c>
      <c r="E1064" s="72" t="s">
        <v>11</v>
      </c>
      <c r="F1064" s="72" t="s">
        <v>385</v>
      </c>
      <c r="G1064" s="74" t="s">
        <v>1931</v>
      </c>
      <c r="H1064" s="75" t="s">
        <v>1932</v>
      </c>
      <c r="I1064" s="85" t="s">
        <v>1967</v>
      </c>
      <c r="J1064" s="77"/>
      <c r="K1064" s="78" t="s">
        <v>1933</v>
      </c>
      <c r="L1064" s="79"/>
    </row>
    <row r="1065" ht="22.5" customHeight="1">
      <c r="A1065" s="80">
        <v>246.0</v>
      </c>
      <c r="B1065" s="81" t="s">
        <v>2179</v>
      </c>
      <c r="C1065" s="82"/>
      <c r="D1065" s="80">
        <v>7.008975126E9</v>
      </c>
      <c r="E1065" s="81" t="s">
        <v>11</v>
      </c>
      <c r="F1065" s="81" t="s">
        <v>385</v>
      </c>
      <c r="G1065" s="83" t="s">
        <v>1931</v>
      </c>
      <c r="H1065" s="75" t="s">
        <v>1932</v>
      </c>
      <c r="I1065" s="85" t="s">
        <v>1967</v>
      </c>
      <c r="J1065" s="84"/>
      <c r="K1065" s="78" t="s">
        <v>1933</v>
      </c>
      <c r="L1065" s="79"/>
    </row>
    <row r="1066" ht="22.5" customHeight="1">
      <c r="A1066" s="71">
        <v>247.0</v>
      </c>
      <c r="B1066" s="72" t="s">
        <v>2180</v>
      </c>
      <c r="C1066" s="73"/>
      <c r="D1066" s="71">
        <v>9.853341313E9</v>
      </c>
      <c r="E1066" s="72" t="s">
        <v>11</v>
      </c>
      <c r="F1066" s="72" t="s">
        <v>385</v>
      </c>
      <c r="G1066" s="74" t="s">
        <v>1931</v>
      </c>
      <c r="H1066" s="75" t="s">
        <v>1932</v>
      </c>
      <c r="I1066" s="85" t="s">
        <v>1967</v>
      </c>
      <c r="J1066" s="77"/>
      <c r="K1066" s="78" t="s">
        <v>1933</v>
      </c>
      <c r="L1066" s="79"/>
    </row>
    <row r="1067" ht="22.5" customHeight="1">
      <c r="A1067" s="80">
        <v>248.0</v>
      </c>
      <c r="B1067" s="81" t="s">
        <v>2181</v>
      </c>
      <c r="C1067" s="82"/>
      <c r="D1067" s="80">
        <v>8.26060341E9</v>
      </c>
      <c r="E1067" s="81" t="s">
        <v>11</v>
      </c>
      <c r="F1067" s="81" t="s">
        <v>385</v>
      </c>
      <c r="G1067" s="83" t="s">
        <v>1931</v>
      </c>
      <c r="H1067" s="75" t="s">
        <v>1932</v>
      </c>
      <c r="I1067" s="85" t="s">
        <v>1967</v>
      </c>
      <c r="J1067" s="84"/>
      <c r="K1067" s="78" t="s">
        <v>1933</v>
      </c>
      <c r="L1067" s="79"/>
    </row>
    <row r="1068" ht="22.5" customHeight="1">
      <c r="A1068" s="71">
        <v>249.0</v>
      </c>
      <c r="B1068" s="72" t="s">
        <v>2182</v>
      </c>
      <c r="C1068" s="73"/>
      <c r="D1068" s="71">
        <v>7.655099772E9</v>
      </c>
      <c r="E1068" s="72" t="s">
        <v>11</v>
      </c>
      <c r="F1068" s="72" t="s">
        <v>385</v>
      </c>
      <c r="G1068" s="74" t="s">
        <v>1931</v>
      </c>
      <c r="H1068" s="75" t="s">
        <v>1932</v>
      </c>
      <c r="I1068" s="85" t="s">
        <v>1967</v>
      </c>
      <c r="J1068" s="77"/>
      <c r="K1068" s="78" t="s">
        <v>1933</v>
      </c>
      <c r="L1068" s="79"/>
    </row>
    <row r="1069" ht="22.5" customHeight="1">
      <c r="A1069" s="80">
        <v>250.0</v>
      </c>
      <c r="B1069" s="81" t="s">
        <v>2183</v>
      </c>
      <c r="C1069" s="82"/>
      <c r="D1069" s="80">
        <v>9.348694045E9</v>
      </c>
      <c r="E1069" s="81" t="s">
        <v>11</v>
      </c>
      <c r="F1069" s="81" t="s">
        <v>385</v>
      </c>
      <c r="G1069" s="83" t="s">
        <v>1931</v>
      </c>
      <c r="H1069" s="75" t="s">
        <v>1932</v>
      </c>
      <c r="I1069" s="85" t="s">
        <v>1967</v>
      </c>
      <c r="J1069" s="84"/>
      <c r="K1069" s="78" t="s">
        <v>1933</v>
      </c>
      <c r="L1069" s="79"/>
    </row>
    <row r="1070" ht="22.5" customHeight="1">
      <c r="A1070" s="71">
        <v>251.0</v>
      </c>
      <c r="B1070" s="72" t="s">
        <v>2184</v>
      </c>
      <c r="C1070" s="73"/>
      <c r="D1070" s="71">
        <v>7.853019049E9</v>
      </c>
      <c r="E1070" s="72" t="s">
        <v>11</v>
      </c>
      <c r="F1070" s="72" t="s">
        <v>385</v>
      </c>
      <c r="G1070" s="74" t="s">
        <v>1931</v>
      </c>
      <c r="H1070" s="75" t="s">
        <v>1932</v>
      </c>
      <c r="I1070" s="85" t="s">
        <v>1967</v>
      </c>
      <c r="J1070" s="77"/>
      <c r="K1070" s="78" t="s">
        <v>1933</v>
      </c>
      <c r="L1070" s="79"/>
    </row>
    <row r="1071" ht="22.5" customHeight="1">
      <c r="A1071" s="80">
        <v>252.0</v>
      </c>
      <c r="B1071" s="81" t="s">
        <v>2185</v>
      </c>
      <c r="C1071" s="82"/>
      <c r="D1071" s="80">
        <v>7.978900238E9</v>
      </c>
      <c r="E1071" s="81" t="s">
        <v>11</v>
      </c>
      <c r="F1071" s="81" t="s">
        <v>385</v>
      </c>
      <c r="G1071" s="83" t="s">
        <v>1931</v>
      </c>
      <c r="H1071" s="75" t="s">
        <v>1932</v>
      </c>
      <c r="I1071" s="85" t="s">
        <v>1967</v>
      </c>
      <c r="J1071" s="84"/>
      <c r="K1071" s="78" t="s">
        <v>1933</v>
      </c>
      <c r="L1071" s="79"/>
    </row>
    <row r="1072" ht="22.5" customHeight="1">
      <c r="A1072" s="71">
        <v>253.0</v>
      </c>
      <c r="B1072" s="72" t="s">
        <v>2186</v>
      </c>
      <c r="C1072" s="73"/>
      <c r="D1072" s="71">
        <v>7.97893161E9</v>
      </c>
      <c r="E1072" s="72" t="s">
        <v>11</v>
      </c>
      <c r="F1072" s="72" t="s">
        <v>385</v>
      </c>
      <c r="G1072" s="74" t="s">
        <v>1931</v>
      </c>
      <c r="H1072" s="75" t="s">
        <v>1932</v>
      </c>
      <c r="I1072" s="85" t="s">
        <v>1967</v>
      </c>
      <c r="J1072" s="77"/>
      <c r="K1072" s="78" t="s">
        <v>1933</v>
      </c>
      <c r="L1072" s="79"/>
    </row>
    <row r="1073" ht="22.5" customHeight="1">
      <c r="A1073" s="80">
        <v>254.0</v>
      </c>
      <c r="B1073" s="81" t="s">
        <v>2187</v>
      </c>
      <c r="C1073" s="82"/>
      <c r="D1073" s="80">
        <v>8.260820349E9</v>
      </c>
      <c r="E1073" s="81" t="s">
        <v>11</v>
      </c>
      <c r="F1073" s="81" t="s">
        <v>385</v>
      </c>
      <c r="G1073" s="83" t="s">
        <v>1931</v>
      </c>
      <c r="H1073" s="75" t="s">
        <v>1932</v>
      </c>
      <c r="I1073" s="85" t="s">
        <v>1967</v>
      </c>
      <c r="J1073" s="84"/>
      <c r="K1073" s="78" t="s">
        <v>1933</v>
      </c>
      <c r="L1073" s="79"/>
    </row>
    <row r="1074" ht="22.5" customHeight="1">
      <c r="A1074" s="71">
        <v>255.0</v>
      </c>
      <c r="B1074" s="72" t="s">
        <v>2188</v>
      </c>
      <c r="C1074" s="73"/>
      <c r="D1074" s="71">
        <v>9.439555145E9</v>
      </c>
      <c r="E1074" s="72" t="s">
        <v>11</v>
      </c>
      <c r="F1074" s="72" t="s">
        <v>385</v>
      </c>
      <c r="G1074" s="74" t="s">
        <v>1931</v>
      </c>
      <c r="H1074" s="75" t="s">
        <v>1932</v>
      </c>
      <c r="I1074" s="85" t="s">
        <v>1967</v>
      </c>
      <c r="J1074" s="77"/>
      <c r="K1074" s="78" t="s">
        <v>1933</v>
      </c>
      <c r="L1074" s="79"/>
    </row>
    <row r="1075" ht="22.5" customHeight="1">
      <c r="A1075" s="80">
        <v>256.0</v>
      </c>
      <c r="B1075" s="81" t="s">
        <v>2189</v>
      </c>
      <c r="C1075" s="82"/>
      <c r="D1075" s="80">
        <v>7.735579481E9</v>
      </c>
      <c r="E1075" s="81" t="s">
        <v>11</v>
      </c>
      <c r="F1075" s="81" t="s">
        <v>385</v>
      </c>
      <c r="G1075" s="83" t="s">
        <v>1931</v>
      </c>
      <c r="H1075" s="75" t="s">
        <v>1932</v>
      </c>
      <c r="I1075" s="85" t="s">
        <v>1967</v>
      </c>
      <c r="J1075" s="84"/>
      <c r="K1075" s="78" t="s">
        <v>1933</v>
      </c>
      <c r="L1075" s="79"/>
    </row>
    <row r="1076" ht="22.5" customHeight="1">
      <c r="A1076" s="71">
        <v>257.0</v>
      </c>
      <c r="B1076" s="72" t="s">
        <v>2190</v>
      </c>
      <c r="C1076" s="73"/>
      <c r="D1076" s="71">
        <v>9.861088059E9</v>
      </c>
      <c r="E1076" s="72" t="s">
        <v>11</v>
      </c>
      <c r="F1076" s="72" t="s">
        <v>385</v>
      </c>
      <c r="G1076" s="74" t="s">
        <v>1931</v>
      </c>
      <c r="H1076" s="75" t="s">
        <v>1932</v>
      </c>
      <c r="I1076" s="85" t="s">
        <v>1967</v>
      </c>
      <c r="J1076" s="77"/>
      <c r="K1076" s="78" t="s">
        <v>1933</v>
      </c>
      <c r="L1076" s="79"/>
    </row>
    <row r="1077" ht="22.5" customHeight="1">
      <c r="A1077" s="80">
        <v>258.0</v>
      </c>
      <c r="B1077" s="81" t="s">
        <v>2191</v>
      </c>
      <c r="C1077" s="82"/>
      <c r="D1077" s="80">
        <v>7.609066312E9</v>
      </c>
      <c r="E1077" s="81" t="s">
        <v>11</v>
      </c>
      <c r="F1077" s="81" t="s">
        <v>385</v>
      </c>
      <c r="G1077" s="83" t="s">
        <v>1931</v>
      </c>
      <c r="H1077" s="75" t="s">
        <v>1932</v>
      </c>
      <c r="I1077" s="85" t="s">
        <v>1967</v>
      </c>
      <c r="J1077" s="84"/>
      <c r="K1077" s="78" t="s">
        <v>1933</v>
      </c>
      <c r="L1077" s="79"/>
    </row>
    <row r="1078" ht="22.5" customHeight="1">
      <c r="A1078" s="71">
        <v>259.0</v>
      </c>
      <c r="B1078" s="72" t="s">
        <v>2192</v>
      </c>
      <c r="C1078" s="73"/>
      <c r="D1078" s="71">
        <v>8.895384622E9</v>
      </c>
      <c r="E1078" s="72" t="s">
        <v>11</v>
      </c>
      <c r="F1078" s="72" t="s">
        <v>385</v>
      </c>
      <c r="G1078" s="74" t="s">
        <v>1931</v>
      </c>
      <c r="H1078" s="75" t="s">
        <v>1932</v>
      </c>
      <c r="I1078" s="85" t="s">
        <v>1967</v>
      </c>
      <c r="J1078" s="77"/>
      <c r="K1078" s="78" t="s">
        <v>1933</v>
      </c>
      <c r="L1078" s="79"/>
    </row>
    <row r="1079" ht="22.5" customHeight="1">
      <c r="A1079" s="80">
        <v>260.0</v>
      </c>
      <c r="B1079" s="81" t="s">
        <v>2193</v>
      </c>
      <c r="C1079" s="82"/>
      <c r="D1079" s="80">
        <v>9.861575522E9</v>
      </c>
      <c r="E1079" s="81" t="s">
        <v>11</v>
      </c>
      <c r="F1079" s="81" t="s">
        <v>385</v>
      </c>
      <c r="G1079" s="83" t="s">
        <v>1931</v>
      </c>
      <c r="H1079" s="75" t="s">
        <v>1932</v>
      </c>
      <c r="I1079" s="85" t="s">
        <v>1967</v>
      </c>
      <c r="J1079" s="84"/>
      <c r="K1079" s="78" t="s">
        <v>1933</v>
      </c>
      <c r="L1079" s="79"/>
    </row>
    <row r="1080" ht="22.5" customHeight="1">
      <c r="A1080" s="71">
        <v>261.0</v>
      </c>
      <c r="B1080" s="72" t="s">
        <v>2194</v>
      </c>
      <c r="C1080" s="73"/>
      <c r="D1080" s="71">
        <v>9.778923153E9</v>
      </c>
      <c r="E1080" s="72" t="s">
        <v>11</v>
      </c>
      <c r="F1080" s="72" t="s">
        <v>385</v>
      </c>
      <c r="G1080" s="74" t="s">
        <v>1931</v>
      </c>
      <c r="H1080" s="75" t="s">
        <v>1932</v>
      </c>
      <c r="I1080" s="85" t="s">
        <v>1967</v>
      </c>
      <c r="J1080" s="77"/>
      <c r="K1080" s="78" t="s">
        <v>1933</v>
      </c>
      <c r="L1080" s="79"/>
    </row>
    <row r="1081" ht="22.5" customHeight="1">
      <c r="A1081" s="80">
        <v>262.0</v>
      </c>
      <c r="B1081" s="81" t="s">
        <v>2195</v>
      </c>
      <c r="C1081" s="82"/>
      <c r="D1081" s="80">
        <v>9.861044665E9</v>
      </c>
      <c r="E1081" s="81" t="s">
        <v>11</v>
      </c>
      <c r="F1081" s="81" t="s">
        <v>385</v>
      </c>
      <c r="G1081" s="83" t="s">
        <v>1931</v>
      </c>
      <c r="H1081" s="75" t="s">
        <v>1932</v>
      </c>
      <c r="I1081" s="85" t="s">
        <v>1967</v>
      </c>
      <c r="J1081" s="84"/>
      <c r="K1081" s="78" t="s">
        <v>1933</v>
      </c>
      <c r="L1081" s="79"/>
    </row>
    <row r="1082" ht="22.5" customHeight="1">
      <c r="A1082" s="71">
        <v>263.0</v>
      </c>
      <c r="B1082" s="72" t="s">
        <v>2196</v>
      </c>
      <c r="C1082" s="73"/>
      <c r="D1082" s="71">
        <v>9.777963718E9</v>
      </c>
      <c r="E1082" s="72" t="s">
        <v>11</v>
      </c>
      <c r="F1082" s="72" t="s">
        <v>385</v>
      </c>
      <c r="G1082" s="74" t="s">
        <v>1931</v>
      </c>
      <c r="H1082" s="75" t="s">
        <v>1932</v>
      </c>
      <c r="I1082" s="85" t="s">
        <v>1967</v>
      </c>
      <c r="J1082" s="77"/>
      <c r="K1082" s="78" t="s">
        <v>1933</v>
      </c>
      <c r="L1082" s="79"/>
    </row>
    <row r="1083" ht="22.5" customHeight="1">
      <c r="A1083" s="80">
        <v>264.0</v>
      </c>
      <c r="B1083" s="81" t="s">
        <v>2197</v>
      </c>
      <c r="C1083" s="82"/>
      <c r="D1083" s="80">
        <v>9.776192684E9</v>
      </c>
      <c r="E1083" s="81" t="s">
        <v>11</v>
      </c>
      <c r="F1083" s="81" t="s">
        <v>385</v>
      </c>
      <c r="G1083" s="83" t="s">
        <v>1931</v>
      </c>
      <c r="H1083" s="75" t="s">
        <v>1932</v>
      </c>
      <c r="I1083" s="85" t="s">
        <v>1967</v>
      </c>
      <c r="J1083" s="84"/>
      <c r="K1083" s="78" t="s">
        <v>1933</v>
      </c>
      <c r="L1083" s="79"/>
    </row>
    <row r="1084" ht="22.5" customHeight="1">
      <c r="A1084" s="71">
        <v>265.0</v>
      </c>
      <c r="B1084" s="72" t="s">
        <v>2198</v>
      </c>
      <c r="C1084" s="73"/>
      <c r="D1084" s="71">
        <v>9.437773119E9</v>
      </c>
      <c r="E1084" s="72" t="s">
        <v>11</v>
      </c>
      <c r="F1084" s="72" t="s">
        <v>385</v>
      </c>
      <c r="G1084" s="74" t="s">
        <v>1931</v>
      </c>
      <c r="H1084" s="75" t="s">
        <v>1932</v>
      </c>
      <c r="I1084" s="85" t="s">
        <v>1967</v>
      </c>
      <c r="J1084" s="77"/>
      <c r="K1084" s="78" t="s">
        <v>1933</v>
      </c>
      <c r="L1084" s="79"/>
    </row>
    <row r="1085" ht="22.5" customHeight="1">
      <c r="A1085" s="80">
        <v>266.0</v>
      </c>
      <c r="B1085" s="81" t="s">
        <v>2199</v>
      </c>
      <c r="C1085" s="82"/>
      <c r="D1085" s="80">
        <v>8.260593481E9</v>
      </c>
      <c r="E1085" s="81" t="s">
        <v>11</v>
      </c>
      <c r="F1085" s="81" t="s">
        <v>385</v>
      </c>
      <c r="G1085" s="83" t="s">
        <v>1931</v>
      </c>
      <c r="H1085" s="75" t="s">
        <v>1932</v>
      </c>
      <c r="I1085" s="85" t="s">
        <v>1967</v>
      </c>
      <c r="J1085" s="84"/>
      <c r="K1085" s="78" t="s">
        <v>1933</v>
      </c>
      <c r="L1085" s="79"/>
    </row>
    <row r="1086" ht="22.5" customHeight="1">
      <c r="A1086" s="71">
        <v>267.0</v>
      </c>
      <c r="B1086" s="72" t="s">
        <v>2200</v>
      </c>
      <c r="C1086" s="73"/>
      <c r="D1086" s="71">
        <v>9.937506983E9</v>
      </c>
      <c r="E1086" s="72" t="s">
        <v>11</v>
      </c>
      <c r="F1086" s="72" t="s">
        <v>385</v>
      </c>
      <c r="G1086" s="74" t="s">
        <v>1931</v>
      </c>
      <c r="H1086" s="75" t="s">
        <v>1932</v>
      </c>
      <c r="I1086" s="85" t="s">
        <v>1967</v>
      </c>
      <c r="J1086" s="77"/>
      <c r="K1086" s="78" t="s">
        <v>1933</v>
      </c>
      <c r="L1086" s="79"/>
    </row>
    <row r="1087" ht="22.5" customHeight="1">
      <c r="A1087" s="80">
        <v>268.0</v>
      </c>
      <c r="B1087" s="81" t="s">
        <v>2201</v>
      </c>
      <c r="C1087" s="82"/>
      <c r="D1087" s="80">
        <v>8.455889015E9</v>
      </c>
      <c r="E1087" s="81" t="s">
        <v>11</v>
      </c>
      <c r="F1087" s="81" t="s">
        <v>385</v>
      </c>
      <c r="G1087" s="83" t="s">
        <v>1931</v>
      </c>
      <c r="H1087" s="75" t="s">
        <v>1932</v>
      </c>
      <c r="I1087" s="85" t="s">
        <v>1967</v>
      </c>
      <c r="J1087" s="84"/>
      <c r="K1087" s="78" t="s">
        <v>1933</v>
      </c>
      <c r="L1087" s="79"/>
    </row>
    <row r="1088" ht="22.5" customHeight="1">
      <c r="A1088" s="71">
        <v>269.0</v>
      </c>
      <c r="B1088" s="72" t="s">
        <v>2202</v>
      </c>
      <c r="C1088" s="73"/>
      <c r="D1088" s="71">
        <v>9.078510452E9</v>
      </c>
      <c r="E1088" s="72" t="s">
        <v>11</v>
      </c>
      <c r="F1088" s="72" t="s">
        <v>385</v>
      </c>
      <c r="G1088" s="74" t="s">
        <v>1931</v>
      </c>
      <c r="H1088" s="75" t="s">
        <v>1932</v>
      </c>
      <c r="I1088" s="85" t="s">
        <v>1967</v>
      </c>
      <c r="J1088" s="77"/>
      <c r="K1088" s="78" t="s">
        <v>1933</v>
      </c>
      <c r="L1088" s="79"/>
    </row>
    <row r="1089" ht="22.5" customHeight="1">
      <c r="A1089" s="80">
        <v>270.0</v>
      </c>
      <c r="B1089" s="81" t="s">
        <v>2203</v>
      </c>
      <c r="C1089" s="82"/>
      <c r="D1089" s="80">
        <v>8.917524069E9</v>
      </c>
      <c r="E1089" s="81" t="s">
        <v>11</v>
      </c>
      <c r="F1089" s="81" t="s">
        <v>385</v>
      </c>
      <c r="G1089" s="83" t="s">
        <v>1931</v>
      </c>
      <c r="H1089" s="75" t="s">
        <v>1932</v>
      </c>
      <c r="I1089" s="85" t="s">
        <v>1967</v>
      </c>
      <c r="J1089" s="84"/>
      <c r="K1089" s="78" t="s">
        <v>1933</v>
      </c>
      <c r="L1089" s="79"/>
    </row>
    <row r="1090" ht="22.5" customHeight="1">
      <c r="A1090" s="71">
        <v>271.0</v>
      </c>
      <c r="B1090" s="72" t="s">
        <v>2204</v>
      </c>
      <c r="C1090" s="73"/>
      <c r="D1090" s="71">
        <v>9.437707199E9</v>
      </c>
      <c r="E1090" s="72" t="s">
        <v>11</v>
      </c>
      <c r="F1090" s="72" t="s">
        <v>385</v>
      </c>
      <c r="G1090" s="74" t="s">
        <v>1931</v>
      </c>
      <c r="H1090" s="75" t="s">
        <v>1932</v>
      </c>
      <c r="I1090" s="85" t="s">
        <v>1967</v>
      </c>
      <c r="J1090" s="77"/>
      <c r="K1090" s="78" t="s">
        <v>1933</v>
      </c>
      <c r="L1090" s="79"/>
    </row>
    <row r="1091" ht="22.5" customHeight="1">
      <c r="A1091" s="80">
        <v>272.0</v>
      </c>
      <c r="B1091" s="81" t="s">
        <v>2205</v>
      </c>
      <c r="C1091" s="82"/>
      <c r="D1091" s="80">
        <v>7.735450947E9</v>
      </c>
      <c r="E1091" s="81" t="s">
        <v>11</v>
      </c>
      <c r="F1091" s="81" t="s">
        <v>385</v>
      </c>
      <c r="G1091" s="83" t="s">
        <v>1931</v>
      </c>
      <c r="H1091" s="75" t="s">
        <v>1932</v>
      </c>
      <c r="I1091" s="85" t="s">
        <v>1967</v>
      </c>
      <c r="J1091" s="84"/>
      <c r="K1091" s="78" t="s">
        <v>1933</v>
      </c>
      <c r="L1091" s="79"/>
    </row>
    <row r="1092" ht="22.5" customHeight="1">
      <c r="A1092" s="71">
        <v>273.0</v>
      </c>
      <c r="B1092" s="72" t="s">
        <v>2206</v>
      </c>
      <c r="C1092" s="73"/>
      <c r="D1092" s="71">
        <v>9.556362398E9</v>
      </c>
      <c r="E1092" s="72" t="s">
        <v>11</v>
      </c>
      <c r="F1092" s="72" t="s">
        <v>385</v>
      </c>
      <c r="G1092" s="74" t="s">
        <v>1931</v>
      </c>
      <c r="H1092" s="75" t="s">
        <v>1932</v>
      </c>
      <c r="I1092" s="85" t="s">
        <v>1967</v>
      </c>
      <c r="J1092" s="77"/>
      <c r="K1092" s="78" t="s">
        <v>1933</v>
      </c>
      <c r="L1092" s="79"/>
    </row>
    <row r="1093" ht="22.5" customHeight="1">
      <c r="A1093" s="80">
        <v>274.0</v>
      </c>
      <c r="B1093" s="81" t="s">
        <v>2207</v>
      </c>
      <c r="C1093" s="82"/>
      <c r="D1093" s="80">
        <v>9.111006064E9</v>
      </c>
      <c r="E1093" s="81" t="s">
        <v>11</v>
      </c>
      <c r="F1093" s="81" t="s">
        <v>385</v>
      </c>
      <c r="G1093" s="83" t="s">
        <v>1931</v>
      </c>
      <c r="H1093" s="75" t="s">
        <v>1932</v>
      </c>
      <c r="I1093" s="85" t="s">
        <v>1967</v>
      </c>
      <c r="J1093" s="84"/>
      <c r="K1093" s="78" t="s">
        <v>1933</v>
      </c>
      <c r="L1093" s="79"/>
    </row>
    <row r="1094" ht="22.5" customHeight="1">
      <c r="A1094" s="71">
        <v>275.0</v>
      </c>
      <c r="B1094" s="72" t="s">
        <v>2208</v>
      </c>
      <c r="C1094" s="73"/>
      <c r="D1094" s="71">
        <v>7.978968022E9</v>
      </c>
      <c r="E1094" s="72" t="s">
        <v>11</v>
      </c>
      <c r="F1094" s="72" t="s">
        <v>385</v>
      </c>
      <c r="G1094" s="74" t="s">
        <v>1931</v>
      </c>
      <c r="H1094" s="75" t="s">
        <v>1932</v>
      </c>
      <c r="I1094" s="85" t="s">
        <v>1967</v>
      </c>
      <c r="J1094" s="77"/>
      <c r="K1094" s="78" t="s">
        <v>1933</v>
      </c>
      <c r="L1094" s="79"/>
    </row>
    <row r="1095" ht="22.5" customHeight="1">
      <c r="A1095" s="80">
        <v>276.0</v>
      </c>
      <c r="B1095" s="81" t="s">
        <v>2209</v>
      </c>
      <c r="C1095" s="82"/>
      <c r="D1095" s="80">
        <v>6.371805238E9</v>
      </c>
      <c r="E1095" s="81" t="s">
        <v>11</v>
      </c>
      <c r="F1095" s="81" t="s">
        <v>385</v>
      </c>
      <c r="G1095" s="83" t="s">
        <v>1931</v>
      </c>
      <c r="H1095" s="75" t="s">
        <v>1932</v>
      </c>
      <c r="I1095" s="85" t="s">
        <v>1967</v>
      </c>
      <c r="J1095" s="84"/>
      <c r="K1095" s="78" t="s">
        <v>1933</v>
      </c>
      <c r="L1095" s="79"/>
    </row>
    <row r="1096" ht="22.5" customHeight="1">
      <c r="A1096" s="71">
        <v>277.0</v>
      </c>
      <c r="B1096" s="72" t="s">
        <v>2210</v>
      </c>
      <c r="C1096" s="73"/>
      <c r="D1096" s="71">
        <v>9.496578308E9</v>
      </c>
      <c r="E1096" s="72" t="s">
        <v>11</v>
      </c>
      <c r="F1096" s="72" t="s">
        <v>385</v>
      </c>
      <c r="G1096" s="74" t="s">
        <v>1931</v>
      </c>
      <c r="H1096" s="75" t="s">
        <v>1932</v>
      </c>
      <c r="I1096" s="85" t="s">
        <v>1967</v>
      </c>
      <c r="J1096" s="77"/>
      <c r="K1096" s="78" t="s">
        <v>1933</v>
      </c>
      <c r="L1096" s="79"/>
    </row>
    <row r="1097" ht="22.5" customHeight="1">
      <c r="A1097" s="80">
        <v>278.0</v>
      </c>
      <c r="B1097" s="81" t="s">
        <v>2211</v>
      </c>
      <c r="C1097" s="82"/>
      <c r="D1097" s="80">
        <v>7.008662344E9</v>
      </c>
      <c r="E1097" s="81" t="s">
        <v>11</v>
      </c>
      <c r="F1097" s="81" t="s">
        <v>385</v>
      </c>
      <c r="G1097" s="83" t="s">
        <v>1931</v>
      </c>
      <c r="H1097" s="75" t="s">
        <v>1932</v>
      </c>
      <c r="I1097" s="85" t="s">
        <v>1967</v>
      </c>
      <c r="J1097" s="84"/>
      <c r="K1097" s="78" t="s">
        <v>1933</v>
      </c>
      <c r="L1097" s="79"/>
    </row>
    <row r="1098" ht="22.5" customHeight="1">
      <c r="A1098" s="71">
        <v>279.0</v>
      </c>
      <c r="B1098" s="72" t="s">
        <v>2212</v>
      </c>
      <c r="C1098" s="73"/>
      <c r="D1098" s="71">
        <v>7.853848097E9</v>
      </c>
      <c r="E1098" s="72" t="s">
        <v>11</v>
      </c>
      <c r="F1098" s="72" t="s">
        <v>385</v>
      </c>
      <c r="G1098" s="74" t="s">
        <v>1931</v>
      </c>
      <c r="H1098" s="75" t="s">
        <v>1932</v>
      </c>
      <c r="I1098" s="85" t="s">
        <v>1967</v>
      </c>
      <c r="J1098" s="77"/>
      <c r="K1098" s="78" t="s">
        <v>1933</v>
      </c>
      <c r="L1098" s="79"/>
    </row>
    <row r="1099" ht="22.5" customHeight="1">
      <c r="A1099" s="80">
        <v>280.0</v>
      </c>
      <c r="B1099" s="81" t="s">
        <v>2213</v>
      </c>
      <c r="C1099" s="82"/>
      <c r="D1099" s="80">
        <v>6.372776646E9</v>
      </c>
      <c r="E1099" s="81" t="s">
        <v>11</v>
      </c>
      <c r="F1099" s="81" t="s">
        <v>385</v>
      </c>
      <c r="G1099" s="83" t="s">
        <v>1931</v>
      </c>
      <c r="H1099" s="75" t="s">
        <v>1932</v>
      </c>
      <c r="I1099" s="85" t="s">
        <v>1967</v>
      </c>
      <c r="J1099" s="84"/>
      <c r="K1099" s="78" t="s">
        <v>1933</v>
      </c>
      <c r="L1099" s="79"/>
    </row>
    <row r="1100" ht="22.5" customHeight="1">
      <c r="A1100" s="71">
        <v>281.0</v>
      </c>
      <c r="B1100" s="72" t="s">
        <v>2214</v>
      </c>
      <c r="C1100" s="73"/>
      <c r="D1100" s="71">
        <v>8.24946194E9</v>
      </c>
      <c r="E1100" s="72" t="s">
        <v>11</v>
      </c>
      <c r="F1100" s="72" t="s">
        <v>385</v>
      </c>
      <c r="G1100" s="74" t="s">
        <v>1931</v>
      </c>
      <c r="H1100" s="75" t="s">
        <v>1932</v>
      </c>
      <c r="I1100" s="85" t="s">
        <v>1967</v>
      </c>
      <c r="J1100" s="77"/>
      <c r="K1100" s="78" t="s">
        <v>1933</v>
      </c>
      <c r="L1100" s="79"/>
    </row>
    <row r="1101" ht="22.5" customHeight="1">
      <c r="A1101" s="80">
        <v>282.0</v>
      </c>
      <c r="B1101" s="81" t="s">
        <v>1953</v>
      </c>
      <c r="C1101" s="82"/>
      <c r="D1101" s="80">
        <v>7.205086471E9</v>
      </c>
      <c r="E1101" s="81" t="s">
        <v>11</v>
      </c>
      <c r="F1101" s="81" t="s">
        <v>385</v>
      </c>
      <c r="G1101" s="83" t="s">
        <v>1931</v>
      </c>
      <c r="H1101" s="75" t="s">
        <v>1932</v>
      </c>
      <c r="I1101" s="85" t="s">
        <v>1967</v>
      </c>
      <c r="J1101" s="84"/>
      <c r="K1101" s="78" t="s">
        <v>1933</v>
      </c>
      <c r="L1101" s="79"/>
    </row>
    <row r="1102" ht="22.5" customHeight="1">
      <c r="A1102" s="71">
        <v>283.0</v>
      </c>
      <c r="B1102" s="72" t="s">
        <v>2215</v>
      </c>
      <c r="C1102" s="73"/>
      <c r="D1102" s="71">
        <v>9.07862563E9</v>
      </c>
      <c r="E1102" s="72" t="s">
        <v>11</v>
      </c>
      <c r="F1102" s="72" t="s">
        <v>385</v>
      </c>
      <c r="G1102" s="74" t="s">
        <v>1931</v>
      </c>
      <c r="H1102" s="75" t="s">
        <v>1932</v>
      </c>
      <c r="I1102" s="85" t="s">
        <v>1967</v>
      </c>
      <c r="J1102" s="77"/>
      <c r="K1102" s="78" t="s">
        <v>1933</v>
      </c>
      <c r="L1102" s="79"/>
    </row>
    <row r="1103" ht="22.5" customHeight="1">
      <c r="A1103" s="80">
        <v>284.0</v>
      </c>
      <c r="B1103" s="81" t="s">
        <v>2216</v>
      </c>
      <c r="C1103" s="82"/>
      <c r="D1103" s="80">
        <v>9.830648331E9</v>
      </c>
      <c r="E1103" s="81" t="s">
        <v>11</v>
      </c>
      <c r="F1103" s="81" t="s">
        <v>385</v>
      </c>
      <c r="G1103" s="83" t="s">
        <v>1931</v>
      </c>
      <c r="H1103" s="75" t="s">
        <v>1932</v>
      </c>
      <c r="I1103" s="85" t="s">
        <v>1967</v>
      </c>
      <c r="J1103" s="84"/>
      <c r="K1103" s="78" t="s">
        <v>1933</v>
      </c>
      <c r="L1103" s="79"/>
    </row>
    <row r="1104" ht="22.5" customHeight="1">
      <c r="A1104" s="71">
        <v>285.0</v>
      </c>
      <c r="B1104" s="72" t="s">
        <v>2217</v>
      </c>
      <c r="C1104" s="73"/>
      <c r="D1104" s="71">
        <v>7.205813233E9</v>
      </c>
      <c r="E1104" s="72" t="s">
        <v>11</v>
      </c>
      <c r="F1104" s="72" t="s">
        <v>385</v>
      </c>
      <c r="G1104" s="74" t="s">
        <v>1931</v>
      </c>
      <c r="H1104" s="75" t="s">
        <v>1932</v>
      </c>
      <c r="I1104" s="85" t="s">
        <v>1967</v>
      </c>
      <c r="J1104" s="77"/>
      <c r="K1104" s="78" t="s">
        <v>1933</v>
      </c>
      <c r="L1104" s="79"/>
    </row>
    <row r="1105" ht="22.5" customHeight="1">
      <c r="A1105" s="80">
        <v>286.0</v>
      </c>
      <c r="B1105" s="81" t="s">
        <v>2218</v>
      </c>
      <c r="C1105" s="82"/>
      <c r="D1105" s="80">
        <v>6.370632029E9</v>
      </c>
      <c r="E1105" s="81" t="s">
        <v>11</v>
      </c>
      <c r="F1105" s="81" t="s">
        <v>385</v>
      </c>
      <c r="G1105" s="83" t="s">
        <v>1931</v>
      </c>
      <c r="H1105" s="75" t="s">
        <v>1932</v>
      </c>
      <c r="I1105" s="85" t="s">
        <v>1967</v>
      </c>
      <c r="J1105" s="84"/>
      <c r="K1105" s="78" t="s">
        <v>1933</v>
      </c>
      <c r="L1105" s="79"/>
    </row>
    <row r="1106" ht="22.5" customHeight="1">
      <c r="A1106" s="71">
        <v>287.0</v>
      </c>
      <c r="B1106" s="72" t="s">
        <v>2219</v>
      </c>
      <c r="C1106" s="73"/>
      <c r="D1106" s="71">
        <v>7.008622063E9</v>
      </c>
      <c r="E1106" s="72" t="s">
        <v>11</v>
      </c>
      <c r="F1106" s="72" t="s">
        <v>385</v>
      </c>
      <c r="G1106" s="74" t="s">
        <v>1931</v>
      </c>
      <c r="H1106" s="75" t="s">
        <v>1932</v>
      </c>
      <c r="I1106" s="85" t="s">
        <v>1967</v>
      </c>
      <c r="J1106" s="77"/>
      <c r="K1106" s="78" t="s">
        <v>1933</v>
      </c>
      <c r="L1106" s="79"/>
    </row>
    <row r="1107" ht="22.5" customHeight="1">
      <c r="A1107" s="80">
        <v>288.0</v>
      </c>
      <c r="B1107" s="81" t="s">
        <v>2220</v>
      </c>
      <c r="C1107" s="82"/>
      <c r="D1107" s="80">
        <v>8.249815837E9</v>
      </c>
      <c r="E1107" s="81" t="s">
        <v>11</v>
      </c>
      <c r="F1107" s="81" t="s">
        <v>385</v>
      </c>
      <c r="G1107" s="83" t="s">
        <v>1931</v>
      </c>
      <c r="H1107" s="75" t="s">
        <v>1932</v>
      </c>
      <c r="I1107" s="85" t="s">
        <v>1967</v>
      </c>
      <c r="J1107" s="84"/>
      <c r="K1107" s="78" t="s">
        <v>1933</v>
      </c>
      <c r="L1107" s="79"/>
    </row>
    <row r="1108" ht="22.5" customHeight="1">
      <c r="A1108" s="71">
        <v>289.0</v>
      </c>
      <c r="B1108" s="72" t="s">
        <v>2221</v>
      </c>
      <c r="C1108" s="73"/>
      <c r="D1108" s="71">
        <v>9.692010962E9</v>
      </c>
      <c r="E1108" s="72" t="s">
        <v>11</v>
      </c>
      <c r="F1108" s="72" t="s">
        <v>385</v>
      </c>
      <c r="G1108" s="74" t="s">
        <v>1931</v>
      </c>
      <c r="H1108" s="75" t="s">
        <v>1932</v>
      </c>
      <c r="I1108" s="85" t="s">
        <v>1967</v>
      </c>
      <c r="J1108" s="77"/>
      <c r="K1108" s="78" t="s">
        <v>1933</v>
      </c>
      <c r="L1108" s="79"/>
    </row>
    <row r="1109" ht="22.5" customHeight="1">
      <c r="A1109" s="80">
        <v>290.0</v>
      </c>
      <c r="B1109" s="81" t="s">
        <v>2222</v>
      </c>
      <c r="C1109" s="82"/>
      <c r="D1109" s="80">
        <v>9.438031148E9</v>
      </c>
      <c r="E1109" s="81" t="s">
        <v>11</v>
      </c>
      <c r="F1109" s="81" t="s">
        <v>385</v>
      </c>
      <c r="G1109" s="83" t="s">
        <v>1931</v>
      </c>
      <c r="H1109" s="75" t="s">
        <v>1932</v>
      </c>
      <c r="I1109" s="85" t="s">
        <v>1967</v>
      </c>
      <c r="J1109" s="84"/>
      <c r="K1109" s="78" t="s">
        <v>1933</v>
      </c>
      <c r="L1109" s="79"/>
    </row>
    <row r="1110" ht="22.5" customHeight="1">
      <c r="A1110" s="71">
        <v>291.0</v>
      </c>
      <c r="B1110" s="72" t="s">
        <v>2223</v>
      </c>
      <c r="C1110" s="73"/>
      <c r="D1110" s="71">
        <v>7.205623839E9</v>
      </c>
      <c r="E1110" s="72" t="s">
        <v>11</v>
      </c>
      <c r="F1110" s="72" t="s">
        <v>385</v>
      </c>
      <c r="G1110" s="74" t="s">
        <v>1931</v>
      </c>
      <c r="H1110" s="75" t="s">
        <v>1932</v>
      </c>
      <c r="I1110" s="85" t="s">
        <v>1967</v>
      </c>
      <c r="J1110" s="77"/>
      <c r="K1110" s="78" t="s">
        <v>1933</v>
      </c>
      <c r="L1110" s="79"/>
    </row>
    <row r="1111" ht="22.5" customHeight="1">
      <c r="A1111" s="80">
        <v>292.0</v>
      </c>
      <c r="B1111" s="81" t="s">
        <v>2224</v>
      </c>
      <c r="C1111" s="82"/>
      <c r="D1111" s="80">
        <v>8.280603109E9</v>
      </c>
      <c r="E1111" s="81" t="s">
        <v>11</v>
      </c>
      <c r="F1111" s="81" t="s">
        <v>385</v>
      </c>
      <c r="G1111" s="83" t="s">
        <v>1931</v>
      </c>
      <c r="H1111" s="75" t="s">
        <v>1932</v>
      </c>
      <c r="I1111" s="85" t="s">
        <v>1967</v>
      </c>
      <c r="J1111" s="84"/>
      <c r="K1111" s="78" t="s">
        <v>1933</v>
      </c>
      <c r="L1111" s="79"/>
    </row>
    <row r="1112" ht="22.5" customHeight="1">
      <c r="A1112" s="71">
        <v>293.0</v>
      </c>
      <c r="B1112" s="72" t="s">
        <v>2225</v>
      </c>
      <c r="C1112" s="73"/>
      <c r="D1112" s="71">
        <v>9.86105903E9</v>
      </c>
      <c r="E1112" s="72" t="s">
        <v>11</v>
      </c>
      <c r="F1112" s="72" t="s">
        <v>385</v>
      </c>
      <c r="G1112" s="74" t="s">
        <v>1931</v>
      </c>
      <c r="H1112" s="75" t="s">
        <v>1932</v>
      </c>
      <c r="I1112" s="85" t="s">
        <v>1967</v>
      </c>
      <c r="J1112" s="77"/>
      <c r="K1112" s="78" t="s">
        <v>1933</v>
      </c>
      <c r="L1112" s="79"/>
    </row>
    <row r="1113" ht="22.5" customHeight="1">
      <c r="A1113" s="80">
        <v>294.0</v>
      </c>
      <c r="B1113" s="81" t="s">
        <v>2226</v>
      </c>
      <c r="C1113" s="82"/>
      <c r="D1113" s="80">
        <v>9.131967668E9</v>
      </c>
      <c r="E1113" s="81" t="s">
        <v>11</v>
      </c>
      <c r="F1113" s="81" t="s">
        <v>385</v>
      </c>
      <c r="G1113" s="83" t="s">
        <v>1931</v>
      </c>
      <c r="H1113" s="75" t="s">
        <v>1932</v>
      </c>
      <c r="I1113" s="85" t="s">
        <v>1967</v>
      </c>
      <c r="J1113" s="84"/>
      <c r="K1113" s="78" t="s">
        <v>1933</v>
      </c>
      <c r="L1113" s="79"/>
    </row>
    <row r="1114" ht="22.5" customHeight="1">
      <c r="A1114" s="71">
        <v>295.0</v>
      </c>
      <c r="B1114" s="72" t="s">
        <v>2227</v>
      </c>
      <c r="C1114" s="73"/>
      <c r="D1114" s="71">
        <v>6.370268502E9</v>
      </c>
      <c r="E1114" s="72" t="s">
        <v>11</v>
      </c>
      <c r="F1114" s="72" t="s">
        <v>385</v>
      </c>
      <c r="G1114" s="74" t="s">
        <v>1931</v>
      </c>
      <c r="H1114" s="75" t="s">
        <v>1932</v>
      </c>
      <c r="I1114" s="85" t="s">
        <v>1967</v>
      </c>
      <c r="J1114" s="77"/>
      <c r="K1114" s="78" t="s">
        <v>1933</v>
      </c>
      <c r="L1114" s="79"/>
    </row>
    <row r="1115" ht="22.5" customHeight="1">
      <c r="A1115" s="80">
        <v>296.0</v>
      </c>
      <c r="B1115" s="81" t="s">
        <v>2228</v>
      </c>
      <c r="C1115" s="82"/>
      <c r="D1115" s="80">
        <v>9.692106679E9</v>
      </c>
      <c r="E1115" s="81" t="s">
        <v>11</v>
      </c>
      <c r="F1115" s="81" t="s">
        <v>385</v>
      </c>
      <c r="G1115" s="83" t="s">
        <v>1931</v>
      </c>
      <c r="H1115" s="75" t="s">
        <v>1932</v>
      </c>
      <c r="I1115" s="85" t="s">
        <v>1967</v>
      </c>
      <c r="J1115" s="84"/>
      <c r="K1115" s="78" t="s">
        <v>1933</v>
      </c>
      <c r="L1115" s="79"/>
    </row>
    <row r="1116" ht="22.5" customHeight="1">
      <c r="A1116" s="71">
        <v>297.0</v>
      </c>
      <c r="B1116" s="72" t="s">
        <v>2229</v>
      </c>
      <c r="C1116" s="73"/>
      <c r="D1116" s="71">
        <v>7.328839784E9</v>
      </c>
      <c r="E1116" s="72" t="s">
        <v>11</v>
      </c>
      <c r="F1116" s="72" t="s">
        <v>385</v>
      </c>
      <c r="G1116" s="74" t="s">
        <v>1931</v>
      </c>
      <c r="H1116" s="75" t="s">
        <v>1932</v>
      </c>
      <c r="I1116" s="85" t="s">
        <v>1967</v>
      </c>
      <c r="J1116" s="77"/>
      <c r="K1116" s="78" t="s">
        <v>1933</v>
      </c>
      <c r="L1116" s="79"/>
    </row>
    <row r="1117" ht="22.5" customHeight="1">
      <c r="A1117" s="80">
        <v>298.0</v>
      </c>
      <c r="B1117" s="81" t="s">
        <v>2230</v>
      </c>
      <c r="C1117" s="82"/>
      <c r="D1117" s="80">
        <v>8.249268375E9</v>
      </c>
      <c r="E1117" s="81" t="s">
        <v>11</v>
      </c>
      <c r="F1117" s="81" t="s">
        <v>385</v>
      </c>
      <c r="G1117" s="83" t="s">
        <v>1931</v>
      </c>
      <c r="H1117" s="75" t="s">
        <v>1932</v>
      </c>
      <c r="I1117" s="85" t="s">
        <v>1967</v>
      </c>
      <c r="J1117" s="84"/>
      <c r="K1117" s="78" t="s">
        <v>1933</v>
      </c>
      <c r="L1117" s="79"/>
    </row>
    <row r="1118" ht="22.5" customHeight="1">
      <c r="A1118" s="71">
        <v>299.0</v>
      </c>
      <c r="B1118" s="72" t="s">
        <v>2231</v>
      </c>
      <c r="C1118" s="73"/>
      <c r="D1118" s="71">
        <v>7.846955792E9</v>
      </c>
      <c r="E1118" s="72" t="s">
        <v>11</v>
      </c>
      <c r="F1118" s="72" t="s">
        <v>385</v>
      </c>
      <c r="G1118" s="74" t="s">
        <v>1931</v>
      </c>
      <c r="H1118" s="75" t="s">
        <v>1932</v>
      </c>
      <c r="I1118" s="85" t="s">
        <v>1967</v>
      </c>
      <c r="J1118" s="77"/>
      <c r="K1118" s="78" t="s">
        <v>1933</v>
      </c>
      <c r="L1118" s="79"/>
    </row>
    <row r="1119" ht="22.5" customHeight="1">
      <c r="A1119" s="80">
        <v>300.0</v>
      </c>
      <c r="B1119" s="81" t="s">
        <v>2232</v>
      </c>
      <c r="C1119" s="82"/>
      <c r="D1119" s="80">
        <v>8.08320904E9</v>
      </c>
      <c r="E1119" s="81" t="s">
        <v>11</v>
      </c>
      <c r="F1119" s="81" t="s">
        <v>385</v>
      </c>
      <c r="G1119" s="83" t="s">
        <v>1931</v>
      </c>
      <c r="H1119" s="75" t="s">
        <v>1932</v>
      </c>
      <c r="I1119" s="85" t="s">
        <v>1967</v>
      </c>
      <c r="J1119" s="84"/>
      <c r="K1119" s="78" t="s">
        <v>1933</v>
      </c>
      <c r="L1119" s="79"/>
    </row>
    <row r="1120" ht="22.5" customHeight="1">
      <c r="A1120" s="71">
        <v>301.0</v>
      </c>
      <c r="B1120" s="72" t="s">
        <v>2233</v>
      </c>
      <c r="C1120" s="73"/>
      <c r="D1120" s="71">
        <v>7.077300729E9</v>
      </c>
      <c r="E1120" s="72" t="s">
        <v>11</v>
      </c>
      <c r="F1120" s="72" t="s">
        <v>385</v>
      </c>
      <c r="G1120" s="74" t="s">
        <v>1931</v>
      </c>
      <c r="H1120" s="75" t="s">
        <v>1932</v>
      </c>
      <c r="I1120" s="85" t="s">
        <v>1967</v>
      </c>
      <c r="J1120" s="77"/>
      <c r="K1120" s="78" t="s">
        <v>1933</v>
      </c>
      <c r="L1120" s="79"/>
    </row>
    <row r="1121" ht="22.5" customHeight="1">
      <c r="A1121" s="80">
        <v>302.0</v>
      </c>
      <c r="B1121" s="81" t="s">
        <v>2234</v>
      </c>
      <c r="C1121" s="82"/>
      <c r="D1121" s="80">
        <v>9.437003384E9</v>
      </c>
      <c r="E1121" s="81" t="s">
        <v>11</v>
      </c>
      <c r="F1121" s="81" t="s">
        <v>385</v>
      </c>
      <c r="G1121" s="83" t="s">
        <v>1931</v>
      </c>
      <c r="H1121" s="75" t="s">
        <v>1932</v>
      </c>
      <c r="I1121" s="85" t="s">
        <v>1967</v>
      </c>
      <c r="J1121" s="84"/>
      <c r="K1121" s="78" t="s">
        <v>1933</v>
      </c>
      <c r="L1121" s="79"/>
    </row>
    <row r="1122" ht="22.5" customHeight="1">
      <c r="A1122" s="71">
        <v>303.0</v>
      </c>
      <c r="B1122" s="72" t="s">
        <v>2235</v>
      </c>
      <c r="C1122" s="73"/>
      <c r="D1122" s="71">
        <v>8.456022099E9</v>
      </c>
      <c r="E1122" s="72" t="s">
        <v>11</v>
      </c>
      <c r="F1122" s="72" t="s">
        <v>385</v>
      </c>
      <c r="G1122" s="74" t="s">
        <v>1931</v>
      </c>
      <c r="H1122" s="75" t="s">
        <v>1932</v>
      </c>
      <c r="I1122" s="85" t="s">
        <v>1967</v>
      </c>
      <c r="J1122" s="77"/>
      <c r="K1122" s="78" t="s">
        <v>1933</v>
      </c>
      <c r="L1122" s="79"/>
    </row>
    <row r="1123" ht="22.5" customHeight="1">
      <c r="A1123" s="80">
        <v>304.0</v>
      </c>
      <c r="B1123" s="81" t="s">
        <v>2236</v>
      </c>
      <c r="C1123" s="82"/>
      <c r="D1123" s="80">
        <v>7.008459768E9</v>
      </c>
      <c r="E1123" s="81" t="s">
        <v>11</v>
      </c>
      <c r="F1123" s="81" t="s">
        <v>385</v>
      </c>
      <c r="G1123" s="83" t="s">
        <v>1931</v>
      </c>
      <c r="H1123" s="75" t="s">
        <v>1932</v>
      </c>
      <c r="I1123" s="85" t="s">
        <v>1967</v>
      </c>
      <c r="J1123" s="84"/>
      <c r="K1123" s="78" t="s">
        <v>1933</v>
      </c>
      <c r="L1123" s="79"/>
    </row>
    <row r="1124" ht="22.5" customHeight="1">
      <c r="A1124" s="71">
        <v>305.0</v>
      </c>
      <c r="B1124" s="72" t="s">
        <v>2237</v>
      </c>
      <c r="C1124" s="73"/>
      <c r="D1124" s="71">
        <v>7.00851631E9</v>
      </c>
      <c r="E1124" s="72" t="s">
        <v>11</v>
      </c>
      <c r="F1124" s="72" t="s">
        <v>385</v>
      </c>
      <c r="G1124" s="74" t="s">
        <v>1931</v>
      </c>
      <c r="H1124" s="75" t="s">
        <v>1932</v>
      </c>
      <c r="I1124" s="85" t="s">
        <v>1967</v>
      </c>
      <c r="J1124" s="77"/>
      <c r="K1124" s="78" t="s">
        <v>1933</v>
      </c>
      <c r="L1124" s="79"/>
    </row>
    <row r="1125" ht="22.5" customHeight="1">
      <c r="A1125" s="80">
        <v>306.0</v>
      </c>
      <c r="B1125" s="81" t="s">
        <v>2238</v>
      </c>
      <c r="C1125" s="82"/>
      <c r="D1125" s="80">
        <v>8.249965299E9</v>
      </c>
      <c r="E1125" s="81" t="s">
        <v>11</v>
      </c>
      <c r="F1125" s="81" t="s">
        <v>385</v>
      </c>
      <c r="G1125" s="83" t="s">
        <v>1931</v>
      </c>
      <c r="H1125" s="75" t="s">
        <v>1932</v>
      </c>
      <c r="I1125" s="85" t="s">
        <v>1967</v>
      </c>
      <c r="J1125" s="84"/>
      <c r="K1125" s="78" t="s">
        <v>1933</v>
      </c>
      <c r="L1125" s="79"/>
    </row>
    <row r="1126" ht="22.5" customHeight="1">
      <c r="A1126" s="71">
        <v>307.0</v>
      </c>
      <c r="B1126" s="72" t="s">
        <v>2239</v>
      </c>
      <c r="C1126" s="73"/>
      <c r="D1126" s="71">
        <v>9.33730683E9</v>
      </c>
      <c r="E1126" s="72" t="s">
        <v>11</v>
      </c>
      <c r="F1126" s="72" t="s">
        <v>385</v>
      </c>
      <c r="G1126" s="74" t="s">
        <v>1931</v>
      </c>
      <c r="H1126" s="75" t="s">
        <v>1932</v>
      </c>
      <c r="I1126" s="85" t="s">
        <v>1967</v>
      </c>
      <c r="J1126" s="77"/>
      <c r="K1126" s="78" t="s">
        <v>1933</v>
      </c>
      <c r="L1126" s="79"/>
    </row>
    <row r="1127" ht="22.5" customHeight="1">
      <c r="A1127" s="80">
        <v>308.0</v>
      </c>
      <c r="B1127" s="81" t="s">
        <v>2240</v>
      </c>
      <c r="C1127" s="82"/>
      <c r="D1127" s="80">
        <v>8.260722883E9</v>
      </c>
      <c r="E1127" s="81" t="s">
        <v>11</v>
      </c>
      <c r="F1127" s="81" t="s">
        <v>385</v>
      </c>
      <c r="G1127" s="83" t="s">
        <v>1931</v>
      </c>
      <c r="H1127" s="75" t="s">
        <v>1932</v>
      </c>
      <c r="I1127" s="85" t="s">
        <v>1967</v>
      </c>
      <c r="J1127" s="84"/>
      <c r="K1127" s="78" t="s">
        <v>1933</v>
      </c>
      <c r="L1127" s="79"/>
    </row>
    <row r="1128" ht="22.5" customHeight="1">
      <c r="A1128" s="71">
        <v>309.0</v>
      </c>
      <c r="B1128" s="72" t="s">
        <v>2241</v>
      </c>
      <c r="C1128" s="73"/>
      <c r="D1128" s="71">
        <v>8.24937996E9</v>
      </c>
      <c r="E1128" s="72" t="s">
        <v>11</v>
      </c>
      <c r="F1128" s="72" t="s">
        <v>385</v>
      </c>
      <c r="G1128" s="74" t="s">
        <v>1931</v>
      </c>
      <c r="H1128" s="75" t="s">
        <v>1932</v>
      </c>
      <c r="I1128" s="85" t="s">
        <v>1967</v>
      </c>
      <c r="J1128" s="77"/>
      <c r="K1128" s="78" t="s">
        <v>1933</v>
      </c>
      <c r="L1128" s="79"/>
    </row>
    <row r="1129" ht="22.5" customHeight="1">
      <c r="A1129" s="80">
        <v>310.0</v>
      </c>
      <c r="B1129" s="81" t="s">
        <v>2242</v>
      </c>
      <c r="C1129" s="82"/>
      <c r="D1129" s="80">
        <v>9.777898353E9</v>
      </c>
      <c r="E1129" s="81" t="s">
        <v>11</v>
      </c>
      <c r="F1129" s="81" t="s">
        <v>385</v>
      </c>
      <c r="G1129" s="83" t="s">
        <v>1931</v>
      </c>
      <c r="H1129" s="75" t="s">
        <v>1932</v>
      </c>
      <c r="I1129" s="85" t="s">
        <v>1967</v>
      </c>
      <c r="J1129" s="84"/>
      <c r="K1129" s="78" t="s">
        <v>1933</v>
      </c>
      <c r="L1129" s="79"/>
    </row>
    <row r="1130" ht="22.5" customHeight="1">
      <c r="A1130" s="71">
        <v>311.0</v>
      </c>
      <c r="B1130" s="72" t="s">
        <v>2243</v>
      </c>
      <c r="C1130" s="73"/>
      <c r="D1130" s="71">
        <v>9.776899321E9</v>
      </c>
      <c r="E1130" s="72" t="s">
        <v>11</v>
      </c>
      <c r="F1130" s="72" t="s">
        <v>385</v>
      </c>
      <c r="G1130" s="74" t="s">
        <v>1931</v>
      </c>
      <c r="H1130" s="75" t="s">
        <v>1932</v>
      </c>
      <c r="I1130" s="85" t="s">
        <v>1967</v>
      </c>
      <c r="J1130" s="77"/>
      <c r="K1130" s="78" t="s">
        <v>1933</v>
      </c>
      <c r="L1130" s="79"/>
    </row>
    <row r="1131" ht="22.5" customHeight="1">
      <c r="A1131" s="80">
        <v>312.0</v>
      </c>
      <c r="B1131" s="81" t="s">
        <v>2244</v>
      </c>
      <c r="C1131" s="82"/>
      <c r="D1131" s="80">
        <v>7.383024896E9</v>
      </c>
      <c r="E1131" s="81" t="s">
        <v>11</v>
      </c>
      <c r="F1131" s="81" t="s">
        <v>385</v>
      </c>
      <c r="G1131" s="83" t="s">
        <v>1931</v>
      </c>
      <c r="H1131" s="75" t="s">
        <v>1932</v>
      </c>
      <c r="I1131" s="85" t="s">
        <v>1967</v>
      </c>
      <c r="J1131" s="84"/>
      <c r="K1131" s="78" t="s">
        <v>1933</v>
      </c>
      <c r="L1131" s="79"/>
    </row>
    <row r="1132" ht="22.5" customHeight="1">
      <c r="A1132" s="71">
        <v>313.0</v>
      </c>
      <c r="B1132" s="72" t="s">
        <v>2245</v>
      </c>
      <c r="C1132" s="73"/>
      <c r="D1132" s="71">
        <v>9.434245906E9</v>
      </c>
      <c r="E1132" s="72" t="s">
        <v>11</v>
      </c>
      <c r="F1132" s="72" t="s">
        <v>385</v>
      </c>
      <c r="G1132" s="74" t="s">
        <v>1931</v>
      </c>
      <c r="H1132" s="75" t="s">
        <v>1932</v>
      </c>
      <c r="I1132" s="85" t="s">
        <v>1967</v>
      </c>
      <c r="J1132" s="77"/>
      <c r="K1132" s="78" t="s">
        <v>1933</v>
      </c>
      <c r="L1132" s="79"/>
    </row>
    <row r="1133" ht="22.5" customHeight="1">
      <c r="A1133" s="80">
        <v>314.0</v>
      </c>
      <c r="B1133" s="81" t="s">
        <v>2246</v>
      </c>
      <c r="C1133" s="82"/>
      <c r="D1133" s="80">
        <v>6.371514844E9</v>
      </c>
      <c r="E1133" s="81" t="s">
        <v>11</v>
      </c>
      <c r="F1133" s="81" t="s">
        <v>385</v>
      </c>
      <c r="G1133" s="83" t="s">
        <v>1931</v>
      </c>
      <c r="H1133" s="75" t="s">
        <v>1932</v>
      </c>
      <c r="I1133" s="85" t="s">
        <v>1967</v>
      </c>
      <c r="J1133" s="84"/>
      <c r="K1133" s="78" t="s">
        <v>1933</v>
      </c>
      <c r="L1133" s="79"/>
    </row>
    <row r="1134" ht="22.5" customHeight="1">
      <c r="A1134" s="71">
        <v>315.0</v>
      </c>
      <c r="B1134" s="72" t="s">
        <v>2247</v>
      </c>
      <c r="C1134" s="73"/>
      <c r="D1134" s="71">
        <v>8.249929785E9</v>
      </c>
      <c r="E1134" s="72" t="s">
        <v>11</v>
      </c>
      <c r="F1134" s="72" t="s">
        <v>385</v>
      </c>
      <c r="G1134" s="74" t="s">
        <v>1931</v>
      </c>
      <c r="H1134" s="75" t="s">
        <v>1932</v>
      </c>
      <c r="I1134" s="85" t="s">
        <v>1967</v>
      </c>
      <c r="J1134" s="77"/>
      <c r="K1134" s="78" t="s">
        <v>1933</v>
      </c>
      <c r="L1134" s="79"/>
    </row>
    <row r="1135" ht="22.5" customHeight="1">
      <c r="A1135" s="80">
        <v>316.0</v>
      </c>
      <c r="B1135" s="81" t="s">
        <v>2248</v>
      </c>
      <c r="C1135" s="82"/>
      <c r="D1135" s="80">
        <v>9.692155353E9</v>
      </c>
      <c r="E1135" s="81" t="s">
        <v>11</v>
      </c>
      <c r="F1135" s="81" t="s">
        <v>385</v>
      </c>
      <c r="G1135" s="83" t="s">
        <v>1931</v>
      </c>
      <c r="H1135" s="75" t="s">
        <v>1932</v>
      </c>
      <c r="I1135" s="85" t="s">
        <v>1967</v>
      </c>
      <c r="J1135" s="84"/>
      <c r="K1135" s="78" t="s">
        <v>1933</v>
      </c>
      <c r="L1135" s="79"/>
    </row>
    <row r="1136" ht="22.5" customHeight="1">
      <c r="A1136" s="71">
        <v>317.0</v>
      </c>
      <c r="B1136" s="72" t="s">
        <v>2249</v>
      </c>
      <c r="C1136" s="73"/>
      <c r="D1136" s="71">
        <v>7.978481904E9</v>
      </c>
      <c r="E1136" s="72" t="s">
        <v>11</v>
      </c>
      <c r="F1136" s="72" t="s">
        <v>385</v>
      </c>
      <c r="G1136" s="74" t="s">
        <v>1931</v>
      </c>
      <c r="H1136" s="75" t="s">
        <v>1932</v>
      </c>
      <c r="I1136" s="85" t="s">
        <v>1967</v>
      </c>
      <c r="J1136" s="77"/>
      <c r="K1136" s="78" t="s">
        <v>1933</v>
      </c>
      <c r="L1136" s="79"/>
    </row>
    <row r="1137" ht="22.5" customHeight="1">
      <c r="A1137" s="80">
        <v>318.0</v>
      </c>
      <c r="B1137" s="81" t="s">
        <v>2250</v>
      </c>
      <c r="C1137" s="82"/>
      <c r="D1137" s="80">
        <v>7.327989192E9</v>
      </c>
      <c r="E1137" s="81" t="s">
        <v>11</v>
      </c>
      <c r="F1137" s="81" t="s">
        <v>385</v>
      </c>
      <c r="G1137" s="83" t="s">
        <v>1931</v>
      </c>
      <c r="H1137" s="75" t="s">
        <v>1932</v>
      </c>
      <c r="I1137" s="85" t="s">
        <v>1967</v>
      </c>
      <c r="J1137" s="84"/>
      <c r="K1137" s="78" t="s">
        <v>1933</v>
      </c>
      <c r="L1137" s="79"/>
    </row>
    <row r="1138" ht="22.5" customHeight="1">
      <c r="A1138" s="71">
        <v>319.0</v>
      </c>
      <c r="B1138" s="72" t="s">
        <v>2251</v>
      </c>
      <c r="C1138" s="73"/>
      <c r="D1138" s="71">
        <v>8.117011641E9</v>
      </c>
      <c r="E1138" s="72" t="s">
        <v>11</v>
      </c>
      <c r="F1138" s="72" t="s">
        <v>385</v>
      </c>
      <c r="G1138" s="74" t="s">
        <v>1931</v>
      </c>
      <c r="H1138" s="75" t="s">
        <v>1932</v>
      </c>
      <c r="I1138" s="85" t="s">
        <v>1967</v>
      </c>
      <c r="J1138" s="77"/>
      <c r="K1138" s="78" t="s">
        <v>1933</v>
      </c>
      <c r="L1138" s="79"/>
    </row>
    <row r="1139" ht="22.5" customHeight="1">
      <c r="A1139" s="80">
        <v>320.0</v>
      </c>
      <c r="B1139" s="81" t="s">
        <v>2180</v>
      </c>
      <c r="C1139" s="82"/>
      <c r="D1139" s="80">
        <v>7.077696313E9</v>
      </c>
      <c r="E1139" s="81" t="s">
        <v>11</v>
      </c>
      <c r="F1139" s="81" t="s">
        <v>385</v>
      </c>
      <c r="G1139" s="83" t="s">
        <v>1931</v>
      </c>
      <c r="H1139" s="75" t="s">
        <v>1932</v>
      </c>
      <c r="I1139" s="85" t="s">
        <v>1967</v>
      </c>
      <c r="J1139" s="84"/>
      <c r="K1139" s="78" t="s">
        <v>1933</v>
      </c>
      <c r="L1139" s="79"/>
    </row>
    <row r="1140" ht="22.5" customHeight="1">
      <c r="A1140" s="71">
        <v>321.0</v>
      </c>
      <c r="B1140" s="72" t="s">
        <v>2252</v>
      </c>
      <c r="C1140" s="73"/>
      <c r="D1140" s="71">
        <v>9.090425982E9</v>
      </c>
      <c r="E1140" s="72" t="s">
        <v>11</v>
      </c>
      <c r="F1140" s="72" t="s">
        <v>385</v>
      </c>
      <c r="G1140" s="74" t="s">
        <v>1931</v>
      </c>
      <c r="H1140" s="75" t="s">
        <v>1932</v>
      </c>
      <c r="I1140" s="85" t="s">
        <v>1967</v>
      </c>
      <c r="J1140" s="77"/>
      <c r="K1140" s="78" t="s">
        <v>1933</v>
      </c>
      <c r="L1140" s="79"/>
    </row>
    <row r="1141" ht="22.5" customHeight="1">
      <c r="A1141" s="80">
        <v>322.0</v>
      </c>
      <c r="B1141" s="81" t="s">
        <v>2253</v>
      </c>
      <c r="C1141" s="82"/>
      <c r="D1141" s="80">
        <v>9.078363625E9</v>
      </c>
      <c r="E1141" s="81" t="s">
        <v>11</v>
      </c>
      <c r="F1141" s="81" t="s">
        <v>385</v>
      </c>
      <c r="G1141" s="83" t="s">
        <v>1931</v>
      </c>
      <c r="H1141" s="75" t="s">
        <v>1932</v>
      </c>
      <c r="I1141" s="85" t="s">
        <v>1967</v>
      </c>
      <c r="J1141" s="84"/>
      <c r="K1141" s="78" t="s">
        <v>1933</v>
      </c>
      <c r="L1141" s="79"/>
    </row>
    <row r="1142" ht="22.5" customHeight="1">
      <c r="A1142" s="71">
        <v>323.0</v>
      </c>
      <c r="B1142" s="72" t="s">
        <v>2254</v>
      </c>
      <c r="C1142" s="73"/>
      <c r="D1142" s="71">
        <v>9.437003182E9</v>
      </c>
      <c r="E1142" s="72" t="s">
        <v>11</v>
      </c>
      <c r="F1142" s="72" t="s">
        <v>385</v>
      </c>
      <c r="G1142" s="74" t="s">
        <v>1931</v>
      </c>
      <c r="H1142" s="75" t="s">
        <v>1932</v>
      </c>
      <c r="I1142" s="85" t="s">
        <v>1967</v>
      </c>
      <c r="J1142" s="77"/>
      <c r="K1142" s="78" t="s">
        <v>1933</v>
      </c>
      <c r="L1142" s="79"/>
    </row>
    <row r="1143" ht="22.5" customHeight="1">
      <c r="A1143" s="80">
        <v>324.0</v>
      </c>
      <c r="B1143" s="81" t="s">
        <v>2255</v>
      </c>
      <c r="C1143" s="82"/>
      <c r="D1143" s="80">
        <v>8.249698992E9</v>
      </c>
      <c r="E1143" s="81" t="s">
        <v>11</v>
      </c>
      <c r="F1143" s="81" t="s">
        <v>385</v>
      </c>
      <c r="G1143" s="83" t="s">
        <v>1931</v>
      </c>
      <c r="H1143" s="75" t="s">
        <v>1932</v>
      </c>
      <c r="I1143" s="85" t="s">
        <v>1967</v>
      </c>
      <c r="J1143" s="84"/>
      <c r="K1143" s="78" t="s">
        <v>1933</v>
      </c>
      <c r="L1143" s="79"/>
    </row>
    <row r="1144" ht="22.5" customHeight="1">
      <c r="A1144" s="71">
        <v>325.0</v>
      </c>
      <c r="B1144" s="72" t="s">
        <v>2256</v>
      </c>
      <c r="C1144" s="73"/>
      <c r="D1144" s="71">
        <v>9.43742228E9</v>
      </c>
      <c r="E1144" s="72" t="s">
        <v>11</v>
      </c>
      <c r="F1144" s="72" t="s">
        <v>385</v>
      </c>
      <c r="G1144" s="74" t="s">
        <v>1931</v>
      </c>
      <c r="H1144" s="75" t="s">
        <v>1932</v>
      </c>
      <c r="I1144" s="85" t="s">
        <v>1967</v>
      </c>
      <c r="J1144" s="77"/>
      <c r="K1144" s="78" t="s">
        <v>1933</v>
      </c>
      <c r="L1144" s="79"/>
    </row>
    <row r="1145" ht="22.5" customHeight="1">
      <c r="A1145" s="80">
        <v>326.0</v>
      </c>
      <c r="B1145" s="81" t="s">
        <v>2257</v>
      </c>
      <c r="C1145" s="82"/>
      <c r="D1145" s="80">
        <v>9.938517372E9</v>
      </c>
      <c r="E1145" s="81" t="s">
        <v>11</v>
      </c>
      <c r="F1145" s="81" t="s">
        <v>385</v>
      </c>
      <c r="G1145" s="83" t="s">
        <v>1931</v>
      </c>
      <c r="H1145" s="75" t="s">
        <v>1932</v>
      </c>
      <c r="I1145" s="85" t="s">
        <v>1967</v>
      </c>
      <c r="J1145" s="84"/>
      <c r="K1145" s="78" t="s">
        <v>1933</v>
      </c>
      <c r="L1145" s="79"/>
    </row>
    <row r="1146" ht="22.5" customHeight="1">
      <c r="A1146" s="71">
        <v>327.0</v>
      </c>
      <c r="B1146" s="72" t="s">
        <v>2258</v>
      </c>
      <c r="C1146" s="73"/>
      <c r="D1146" s="71">
        <v>6.371850462E9</v>
      </c>
      <c r="E1146" s="72" t="s">
        <v>11</v>
      </c>
      <c r="F1146" s="72" t="s">
        <v>385</v>
      </c>
      <c r="G1146" s="74" t="s">
        <v>1931</v>
      </c>
      <c r="H1146" s="75" t="s">
        <v>1932</v>
      </c>
      <c r="I1146" s="85" t="s">
        <v>1967</v>
      </c>
      <c r="J1146" s="77"/>
      <c r="K1146" s="78" t="s">
        <v>1933</v>
      </c>
      <c r="L1146" s="79"/>
    </row>
    <row r="1147" ht="22.5" customHeight="1">
      <c r="A1147" s="80">
        <v>328.0</v>
      </c>
      <c r="B1147" s="81" t="s">
        <v>2259</v>
      </c>
      <c r="C1147" s="82"/>
      <c r="D1147" s="80">
        <v>7.683948461E9</v>
      </c>
      <c r="E1147" s="81" t="s">
        <v>11</v>
      </c>
      <c r="F1147" s="81" t="s">
        <v>385</v>
      </c>
      <c r="G1147" s="83" t="s">
        <v>1931</v>
      </c>
      <c r="H1147" s="75" t="s">
        <v>1932</v>
      </c>
      <c r="I1147" s="85" t="s">
        <v>1967</v>
      </c>
      <c r="J1147" s="84"/>
      <c r="K1147" s="78" t="s">
        <v>1933</v>
      </c>
      <c r="L1147" s="79"/>
    </row>
    <row r="1148" ht="22.5" customHeight="1">
      <c r="A1148" s="71">
        <v>329.0</v>
      </c>
      <c r="B1148" s="72" t="s">
        <v>2260</v>
      </c>
      <c r="C1148" s="73"/>
      <c r="D1148" s="71">
        <v>6.299089993E9</v>
      </c>
      <c r="E1148" s="72" t="s">
        <v>11</v>
      </c>
      <c r="F1148" s="72" t="s">
        <v>385</v>
      </c>
      <c r="G1148" s="74" t="s">
        <v>1931</v>
      </c>
      <c r="H1148" s="75" t="s">
        <v>1932</v>
      </c>
      <c r="I1148" s="85" t="s">
        <v>1967</v>
      </c>
      <c r="J1148" s="77"/>
      <c r="K1148" s="78" t="s">
        <v>1933</v>
      </c>
      <c r="L1148" s="79"/>
    </row>
    <row r="1149" ht="22.5" customHeight="1">
      <c r="A1149" s="80">
        <v>330.0</v>
      </c>
      <c r="B1149" s="81" t="s">
        <v>2261</v>
      </c>
      <c r="C1149" s="82"/>
      <c r="D1149" s="80">
        <v>9.937534994E9</v>
      </c>
      <c r="E1149" s="81" t="s">
        <v>11</v>
      </c>
      <c r="F1149" s="81" t="s">
        <v>385</v>
      </c>
      <c r="G1149" s="83" t="s">
        <v>1931</v>
      </c>
      <c r="H1149" s="75" t="s">
        <v>1932</v>
      </c>
      <c r="I1149" s="85" t="s">
        <v>1967</v>
      </c>
      <c r="J1149" s="84"/>
      <c r="K1149" s="78" t="s">
        <v>1933</v>
      </c>
      <c r="L1149" s="79"/>
    </row>
    <row r="1150" ht="22.5" customHeight="1">
      <c r="A1150" s="71">
        <v>331.0</v>
      </c>
      <c r="B1150" s="72" t="s">
        <v>2262</v>
      </c>
      <c r="C1150" s="73"/>
      <c r="D1150" s="71">
        <v>8.847815192E9</v>
      </c>
      <c r="E1150" s="72" t="s">
        <v>11</v>
      </c>
      <c r="F1150" s="72" t="s">
        <v>385</v>
      </c>
      <c r="G1150" s="74" t="s">
        <v>1931</v>
      </c>
      <c r="H1150" s="75" t="s">
        <v>1932</v>
      </c>
      <c r="I1150" s="85" t="s">
        <v>1967</v>
      </c>
      <c r="J1150" s="77"/>
      <c r="K1150" s="78" t="s">
        <v>1933</v>
      </c>
      <c r="L1150" s="79"/>
    </row>
    <row r="1151" ht="22.5" customHeight="1">
      <c r="A1151" s="80">
        <v>332.0</v>
      </c>
      <c r="B1151" s="81" t="s">
        <v>2263</v>
      </c>
      <c r="C1151" s="82"/>
      <c r="D1151" s="80">
        <v>9.078336105E9</v>
      </c>
      <c r="E1151" s="81" t="s">
        <v>11</v>
      </c>
      <c r="F1151" s="81" t="s">
        <v>385</v>
      </c>
      <c r="G1151" s="83" t="s">
        <v>1931</v>
      </c>
      <c r="H1151" s="75" t="s">
        <v>1932</v>
      </c>
      <c r="I1151" s="85" t="s">
        <v>1967</v>
      </c>
      <c r="J1151" s="84"/>
      <c r="K1151" s="78" t="s">
        <v>1933</v>
      </c>
      <c r="L1151" s="79"/>
    </row>
    <row r="1152" ht="22.5" customHeight="1">
      <c r="A1152" s="71">
        <v>333.0</v>
      </c>
      <c r="B1152" s="72" t="s">
        <v>2264</v>
      </c>
      <c r="C1152" s="73"/>
      <c r="D1152" s="71">
        <v>6.372661857E9</v>
      </c>
      <c r="E1152" s="72" t="s">
        <v>11</v>
      </c>
      <c r="F1152" s="72" t="s">
        <v>385</v>
      </c>
      <c r="G1152" s="74" t="s">
        <v>1931</v>
      </c>
      <c r="H1152" s="75" t="s">
        <v>1932</v>
      </c>
      <c r="I1152" s="85" t="s">
        <v>1967</v>
      </c>
      <c r="J1152" s="77"/>
      <c r="K1152" s="78" t="s">
        <v>1933</v>
      </c>
      <c r="L1152" s="79"/>
    </row>
    <row r="1153" ht="22.5" customHeight="1">
      <c r="A1153" s="80">
        <v>334.0</v>
      </c>
      <c r="B1153" s="81" t="s">
        <v>2265</v>
      </c>
      <c r="C1153" s="82"/>
      <c r="D1153" s="80">
        <v>8.249549173E9</v>
      </c>
      <c r="E1153" s="81" t="s">
        <v>11</v>
      </c>
      <c r="F1153" s="81" t="s">
        <v>385</v>
      </c>
      <c r="G1153" s="83" t="s">
        <v>1931</v>
      </c>
      <c r="H1153" s="75" t="s">
        <v>1932</v>
      </c>
      <c r="I1153" s="85" t="s">
        <v>1967</v>
      </c>
      <c r="J1153" s="84"/>
      <c r="K1153" s="78" t="s">
        <v>1933</v>
      </c>
      <c r="L1153" s="79"/>
    </row>
    <row r="1154" ht="22.5" customHeight="1">
      <c r="A1154" s="71">
        <v>335.0</v>
      </c>
      <c r="B1154" s="72" t="s">
        <v>2266</v>
      </c>
      <c r="C1154" s="73"/>
      <c r="D1154" s="71">
        <v>7.008466602E9</v>
      </c>
      <c r="E1154" s="72" t="s">
        <v>11</v>
      </c>
      <c r="F1154" s="72" t="s">
        <v>385</v>
      </c>
      <c r="G1154" s="74" t="s">
        <v>1931</v>
      </c>
      <c r="H1154" s="75" t="s">
        <v>1932</v>
      </c>
      <c r="I1154" s="85" t="s">
        <v>1967</v>
      </c>
      <c r="J1154" s="77"/>
      <c r="K1154" s="78" t="s">
        <v>1933</v>
      </c>
      <c r="L1154" s="79"/>
    </row>
    <row r="1155" ht="22.5" customHeight="1">
      <c r="A1155" s="80">
        <v>336.0</v>
      </c>
      <c r="B1155" s="81" t="s">
        <v>2267</v>
      </c>
      <c r="C1155" s="82"/>
      <c r="D1155" s="80">
        <v>9.178122594E9</v>
      </c>
      <c r="E1155" s="81" t="s">
        <v>11</v>
      </c>
      <c r="F1155" s="81" t="s">
        <v>385</v>
      </c>
      <c r="G1155" s="83" t="s">
        <v>1931</v>
      </c>
      <c r="H1155" s="75" t="s">
        <v>1932</v>
      </c>
      <c r="I1155" s="85" t="s">
        <v>1967</v>
      </c>
      <c r="J1155" s="84"/>
      <c r="K1155" s="78" t="s">
        <v>1933</v>
      </c>
      <c r="L1155" s="79"/>
    </row>
    <row r="1156" ht="22.5" customHeight="1">
      <c r="A1156" s="71">
        <v>337.0</v>
      </c>
      <c r="B1156" s="72" t="s">
        <v>2268</v>
      </c>
      <c r="C1156" s="73"/>
      <c r="D1156" s="71">
        <v>6.372845182E9</v>
      </c>
      <c r="E1156" s="72" t="s">
        <v>11</v>
      </c>
      <c r="F1156" s="72" t="s">
        <v>385</v>
      </c>
      <c r="G1156" s="74" t="s">
        <v>1931</v>
      </c>
      <c r="H1156" s="75" t="s">
        <v>1932</v>
      </c>
      <c r="I1156" s="85" t="s">
        <v>1967</v>
      </c>
      <c r="J1156" s="77"/>
      <c r="K1156" s="78" t="s">
        <v>1933</v>
      </c>
      <c r="L1156" s="79"/>
    </row>
    <row r="1157" ht="22.5" customHeight="1">
      <c r="A1157" s="80">
        <v>338.0</v>
      </c>
      <c r="B1157" s="81" t="s">
        <v>2269</v>
      </c>
      <c r="C1157" s="82"/>
      <c r="D1157" s="80">
        <v>6.370541816E9</v>
      </c>
      <c r="E1157" s="81" t="s">
        <v>11</v>
      </c>
      <c r="F1157" s="81" t="s">
        <v>385</v>
      </c>
      <c r="G1157" s="83" t="s">
        <v>1931</v>
      </c>
      <c r="H1157" s="75" t="s">
        <v>1932</v>
      </c>
      <c r="I1157" s="85" t="s">
        <v>1967</v>
      </c>
      <c r="J1157" s="84"/>
      <c r="K1157" s="78" t="s">
        <v>1933</v>
      </c>
      <c r="L1157" s="79"/>
    </row>
    <row r="1158" ht="22.5" customHeight="1">
      <c r="A1158" s="71">
        <v>339.0</v>
      </c>
      <c r="B1158" s="72" t="s">
        <v>2270</v>
      </c>
      <c r="C1158" s="73"/>
      <c r="D1158" s="71">
        <v>9.438109708E9</v>
      </c>
      <c r="E1158" s="72" t="s">
        <v>11</v>
      </c>
      <c r="F1158" s="72" t="s">
        <v>385</v>
      </c>
      <c r="G1158" s="74" t="s">
        <v>1931</v>
      </c>
      <c r="H1158" s="75" t="s">
        <v>1932</v>
      </c>
      <c r="I1158" s="85" t="s">
        <v>1967</v>
      </c>
      <c r="J1158" s="77"/>
      <c r="K1158" s="78" t="s">
        <v>1933</v>
      </c>
      <c r="L1158" s="79"/>
    </row>
    <row r="1159" ht="22.5" customHeight="1">
      <c r="A1159" s="80">
        <v>340.0</v>
      </c>
      <c r="B1159" s="81" t="s">
        <v>2271</v>
      </c>
      <c r="C1159" s="82"/>
      <c r="D1159" s="80">
        <v>6.371144358E9</v>
      </c>
      <c r="E1159" s="81" t="s">
        <v>11</v>
      </c>
      <c r="F1159" s="81" t="s">
        <v>385</v>
      </c>
      <c r="G1159" s="83" t="s">
        <v>1931</v>
      </c>
      <c r="H1159" s="75" t="s">
        <v>1932</v>
      </c>
      <c r="I1159" s="85" t="s">
        <v>1967</v>
      </c>
      <c r="J1159" s="84"/>
      <c r="K1159" s="78" t="s">
        <v>1933</v>
      </c>
      <c r="L1159" s="79"/>
    </row>
    <row r="1160" ht="22.5" customHeight="1">
      <c r="A1160" s="71">
        <v>341.0</v>
      </c>
      <c r="B1160" s="72" t="s">
        <v>2272</v>
      </c>
      <c r="C1160" s="73"/>
      <c r="D1160" s="71">
        <v>9.348135552E9</v>
      </c>
      <c r="E1160" s="72" t="s">
        <v>11</v>
      </c>
      <c r="F1160" s="72" t="s">
        <v>385</v>
      </c>
      <c r="G1160" s="74" t="s">
        <v>1931</v>
      </c>
      <c r="H1160" s="75" t="s">
        <v>1932</v>
      </c>
      <c r="I1160" s="85" t="s">
        <v>1967</v>
      </c>
      <c r="J1160" s="77"/>
      <c r="K1160" s="78" t="s">
        <v>1933</v>
      </c>
      <c r="L1160" s="79"/>
    </row>
    <row r="1161" ht="22.5" customHeight="1">
      <c r="A1161" s="80">
        <v>342.0</v>
      </c>
      <c r="B1161" s="81" t="s">
        <v>2273</v>
      </c>
      <c r="C1161" s="82"/>
      <c r="D1161" s="80">
        <v>9.439252317E9</v>
      </c>
      <c r="E1161" s="81" t="s">
        <v>11</v>
      </c>
      <c r="F1161" s="81" t="s">
        <v>385</v>
      </c>
      <c r="G1161" s="83" t="s">
        <v>1931</v>
      </c>
      <c r="H1161" s="75" t="s">
        <v>1932</v>
      </c>
      <c r="I1161" s="85" t="s">
        <v>1967</v>
      </c>
      <c r="J1161" s="84"/>
      <c r="K1161" s="78" t="s">
        <v>1933</v>
      </c>
      <c r="L1161" s="79"/>
    </row>
    <row r="1162" ht="22.5" customHeight="1">
      <c r="A1162" s="71">
        <v>343.0</v>
      </c>
      <c r="B1162" s="72" t="s">
        <v>2274</v>
      </c>
      <c r="C1162" s="73"/>
      <c r="D1162" s="71">
        <v>7.894925994E9</v>
      </c>
      <c r="E1162" s="72" t="s">
        <v>11</v>
      </c>
      <c r="F1162" s="72" t="s">
        <v>385</v>
      </c>
      <c r="G1162" s="74" t="s">
        <v>1931</v>
      </c>
      <c r="H1162" s="75" t="s">
        <v>1932</v>
      </c>
      <c r="I1162" s="85" t="s">
        <v>1967</v>
      </c>
      <c r="J1162" s="77"/>
      <c r="K1162" s="78" t="s">
        <v>1933</v>
      </c>
      <c r="L1162" s="79"/>
    </row>
    <row r="1163" ht="22.5" customHeight="1">
      <c r="A1163" s="80">
        <v>344.0</v>
      </c>
      <c r="B1163" s="81" t="s">
        <v>2275</v>
      </c>
      <c r="C1163" s="82"/>
      <c r="D1163" s="80">
        <v>8.249675404E9</v>
      </c>
      <c r="E1163" s="81" t="s">
        <v>11</v>
      </c>
      <c r="F1163" s="81" t="s">
        <v>385</v>
      </c>
      <c r="G1163" s="83" t="s">
        <v>1931</v>
      </c>
      <c r="H1163" s="75" t="s">
        <v>1932</v>
      </c>
      <c r="I1163" s="85" t="s">
        <v>1967</v>
      </c>
      <c r="J1163" s="84"/>
      <c r="K1163" s="78" t="s">
        <v>1933</v>
      </c>
      <c r="L1163" s="79"/>
    </row>
    <row r="1164" ht="22.5" customHeight="1">
      <c r="A1164" s="71">
        <v>345.0</v>
      </c>
      <c r="B1164" s="72" t="s">
        <v>2214</v>
      </c>
      <c r="C1164" s="73"/>
      <c r="D1164" s="71">
        <v>9.658310933E9</v>
      </c>
      <c r="E1164" s="72" t="s">
        <v>11</v>
      </c>
      <c r="F1164" s="72" t="s">
        <v>385</v>
      </c>
      <c r="G1164" s="74" t="s">
        <v>1931</v>
      </c>
      <c r="H1164" s="75" t="s">
        <v>1932</v>
      </c>
      <c r="I1164" s="85" t="s">
        <v>1967</v>
      </c>
      <c r="J1164" s="77"/>
      <c r="K1164" s="78" t="s">
        <v>1933</v>
      </c>
      <c r="L1164" s="79"/>
    </row>
    <row r="1165" ht="22.5" customHeight="1">
      <c r="A1165" s="80">
        <v>346.0</v>
      </c>
      <c r="B1165" s="81" t="s">
        <v>2276</v>
      </c>
      <c r="C1165" s="82"/>
      <c r="D1165" s="80">
        <v>9.937281318E9</v>
      </c>
      <c r="E1165" s="81" t="s">
        <v>11</v>
      </c>
      <c r="F1165" s="81" t="s">
        <v>385</v>
      </c>
      <c r="G1165" s="83" t="s">
        <v>1931</v>
      </c>
      <c r="H1165" s="75" t="s">
        <v>1932</v>
      </c>
      <c r="I1165" s="85" t="s">
        <v>1967</v>
      </c>
      <c r="J1165" s="84"/>
      <c r="K1165" s="78" t="s">
        <v>1933</v>
      </c>
      <c r="L1165" s="79"/>
    </row>
    <row r="1166" ht="22.5" customHeight="1">
      <c r="A1166" s="71">
        <v>347.0</v>
      </c>
      <c r="B1166" s="72" t="s">
        <v>2277</v>
      </c>
      <c r="C1166" s="73"/>
      <c r="D1166" s="71">
        <v>9.09055436E9</v>
      </c>
      <c r="E1166" s="72" t="s">
        <v>11</v>
      </c>
      <c r="F1166" s="72" t="s">
        <v>385</v>
      </c>
      <c r="G1166" s="74" t="s">
        <v>1931</v>
      </c>
      <c r="H1166" s="75" t="s">
        <v>1932</v>
      </c>
      <c r="I1166" s="85" t="s">
        <v>1967</v>
      </c>
      <c r="J1166" s="77"/>
      <c r="K1166" s="78" t="s">
        <v>1933</v>
      </c>
      <c r="L1166" s="79"/>
    </row>
    <row r="1167" ht="22.5" customHeight="1">
      <c r="A1167" s="80">
        <v>348.0</v>
      </c>
      <c r="B1167" s="81" t="s">
        <v>2278</v>
      </c>
      <c r="C1167" s="82"/>
      <c r="D1167" s="80">
        <v>8.763594529E9</v>
      </c>
      <c r="E1167" s="81" t="s">
        <v>11</v>
      </c>
      <c r="F1167" s="81" t="s">
        <v>385</v>
      </c>
      <c r="G1167" s="83" t="s">
        <v>1931</v>
      </c>
      <c r="H1167" s="75" t="s">
        <v>1932</v>
      </c>
      <c r="I1167" s="85" t="s">
        <v>1967</v>
      </c>
      <c r="J1167" s="84"/>
      <c r="K1167" s="78" t="s">
        <v>1933</v>
      </c>
      <c r="L1167" s="79"/>
    </row>
    <row r="1168" ht="22.5" customHeight="1">
      <c r="A1168" s="71">
        <v>349.0</v>
      </c>
      <c r="B1168" s="72" t="s">
        <v>2279</v>
      </c>
      <c r="C1168" s="73"/>
      <c r="D1168" s="71">
        <v>9.827730858E9</v>
      </c>
      <c r="E1168" s="72" t="s">
        <v>11</v>
      </c>
      <c r="F1168" s="72" t="s">
        <v>385</v>
      </c>
      <c r="G1168" s="74" t="s">
        <v>1931</v>
      </c>
      <c r="H1168" s="75" t="s">
        <v>1932</v>
      </c>
      <c r="I1168" s="85" t="s">
        <v>1967</v>
      </c>
      <c r="J1168" s="77"/>
      <c r="K1168" s="78" t="s">
        <v>1933</v>
      </c>
      <c r="L1168" s="79"/>
    </row>
    <row r="1169" ht="22.5" customHeight="1">
      <c r="A1169" s="80">
        <v>350.0</v>
      </c>
      <c r="B1169" s="81" t="s">
        <v>2280</v>
      </c>
      <c r="C1169" s="82"/>
      <c r="D1169" s="80">
        <v>8.327717871E9</v>
      </c>
      <c r="E1169" s="81" t="s">
        <v>11</v>
      </c>
      <c r="F1169" s="81" t="s">
        <v>385</v>
      </c>
      <c r="G1169" s="83" t="s">
        <v>1931</v>
      </c>
      <c r="H1169" s="75" t="s">
        <v>1932</v>
      </c>
      <c r="I1169" s="85" t="s">
        <v>1967</v>
      </c>
      <c r="J1169" s="84"/>
      <c r="K1169" s="78" t="s">
        <v>1933</v>
      </c>
      <c r="L1169" s="79"/>
    </row>
    <row r="1170" ht="22.5" customHeight="1">
      <c r="A1170" s="71">
        <v>351.0</v>
      </c>
      <c r="B1170" s="72" t="s">
        <v>2281</v>
      </c>
      <c r="C1170" s="73"/>
      <c r="D1170" s="71">
        <v>7.847010625E9</v>
      </c>
      <c r="E1170" s="72" t="s">
        <v>11</v>
      </c>
      <c r="F1170" s="72" t="s">
        <v>385</v>
      </c>
      <c r="G1170" s="74" t="s">
        <v>1931</v>
      </c>
      <c r="H1170" s="75" t="s">
        <v>1932</v>
      </c>
      <c r="I1170" s="85" t="s">
        <v>1967</v>
      </c>
      <c r="J1170" s="77"/>
      <c r="K1170" s="78" t="s">
        <v>1933</v>
      </c>
      <c r="L1170" s="79"/>
    </row>
    <row r="1171" ht="22.5" customHeight="1">
      <c r="A1171" s="80">
        <v>352.0</v>
      </c>
      <c r="B1171" s="81" t="s">
        <v>2282</v>
      </c>
      <c r="C1171" s="82"/>
      <c r="D1171" s="80">
        <v>7.008812252E9</v>
      </c>
      <c r="E1171" s="81" t="s">
        <v>11</v>
      </c>
      <c r="F1171" s="81" t="s">
        <v>385</v>
      </c>
      <c r="G1171" s="83" t="s">
        <v>1931</v>
      </c>
      <c r="H1171" s="75" t="s">
        <v>1932</v>
      </c>
      <c r="I1171" s="85" t="s">
        <v>1967</v>
      </c>
      <c r="J1171" s="84"/>
      <c r="K1171" s="78" t="s">
        <v>1933</v>
      </c>
      <c r="L1171" s="79"/>
    </row>
    <row r="1172" ht="22.5" customHeight="1">
      <c r="A1172" s="71">
        <v>353.0</v>
      </c>
      <c r="B1172" s="72" t="s">
        <v>2283</v>
      </c>
      <c r="C1172" s="73"/>
      <c r="D1172" s="71">
        <v>8.249276755E9</v>
      </c>
      <c r="E1172" s="72" t="s">
        <v>11</v>
      </c>
      <c r="F1172" s="72" t="s">
        <v>385</v>
      </c>
      <c r="G1172" s="74" t="s">
        <v>1931</v>
      </c>
      <c r="H1172" s="75" t="s">
        <v>1932</v>
      </c>
      <c r="I1172" s="85" t="s">
        <v>1967</v>
      </c>
      <c r="J1172" s="77"/>
      <c r="K1172" s="78" t="s">
        <v>1933</v>
      </c>
      <c r="L1172" s="79"/>
    </row>
    <row r="1173" ht="22.5" customHeight="1">
      <c r="A1173" s="80">
        <v>354.0</v>
      </c>
      <c r="B1173" s="81" t="s">
        <v>2284</v>
      </c>
      <c r="C1173" s="82"/>
      <c r="D1173" s="80">
        <v>9.93752096E9</v>
      </c>
      <c r="E1173" s="81" t="s">
        <v>11</v>
      </c>
      <c r="F1173" s="81" t="s">
        <v>385</v>
      </c>
      <c r="G1173" s="83" t="s">
        <v>1931</v>
      </c>
      <c r="H1173" s="75" t="s">
        <v>1932</v>
      </c>
      <c r="I1173" s="85" t="s">
        <v>1967</v>
      </c>
      <c r="J1173" s="84"/>
      <c r="K1173" s="78" t="s">
        <v>1933</v>
      </c>
      <c r="L1173" s="79"/>
    </row>
    <row r="1174" ht="22.5" customHeight="1">
      <c r="A1174" s="71">
        <v>355.0</v>
      </c>
      <c r="B1174" s="72" t="s">
        <v>2285</v>
      </c>
      <c r="C1174" s="73"/>
      <c r="D1174" s="71">
        <v>7.846955916E9</v>
      </c>
      <c r="E1174" s="72" t="s">
        <v>11</v>
      </c>
      <c r="F1174" s="72" t="s">
        <v>385</v>
      </c>
      <c r="G1174" s="74" t="s">
        <v>1931</v>
      </c>
      <c r="H1174" s="75" t="s">
        <v>1932</v>
      </c>
      <c r="I1174" s="85" t="s">
        <v>1967</v>
      </c>
      <c r="J1174" s="77"/>
      <c r="K1174" s="78" t="s">
        <v>1933</v>
      </c>
      <c r="L1174" s="79"/>
    </row>
    <row r="1175" ht="22.5" customHeight="1">
      <c r="A1175" s="80">
        <v>356.0</v>
      </c>
      <c r="B1175" s="81" t="s">
        <v>2286</v>
      </c>
      <c r="C1175" s="82"/>
      <c r="D1175" s="80">
        <v>7.077053035E9</v>
      </c>
      <c r="E1175" s="81" t="s">
        <v>11</v>
      </c>
      <c r="F1175" s="81" t="s">
        <v>385</v>
      </c>
      <c r="G1175" s="83" t="s">
        <v>1931</v>
      </c>
      <c r="H1175" s="75" t="s">
        <v>1932</v>
      </c>
      <c r="I1175" s="85" t="s">
        <v>1967</v>
      </c>
      <c r="J1175" s="84"/>
      <c r="K1175" s="78" t="s">
        <v>1933</v>
      </c>
      <c r="L1175" s="79"/>
    </row>
    <row r="1176" ht="22.5" customHeight="1">
      <c r="A1176" s="71">
        <v>357.0</v>
      </c>
      <c r="B1176" s="72" t="s">
        <v>2287</v>
      </c>
      <c r="C1176" s="73"/>
      <c r="D1176" s="71">
        <v>9.43727708E9</v>
      </c>
      <c r="E1176" s="72" t="s">
        <v>11</v>
      </c>
      <c r="F1176" s="72" t="s">
        <v>385</v>
      </c>
      <c r="G1176" s="74" t="s">
        <v>1931</v>
      </c>
      <c r="H1176" s="75" t="s">
        <v>1932</v>
      </c>
      <c r="I1176" s="85" t="s">
        <v>1967</v>
      </c>
      <c r="J1176" s="77"/>
      <c r="K1176" s="78" t="s">
        <v>1933</v>
      </c>
      <c r="L1176" s="79"/>
    </row>
    <row r="1177" ht="22.5" customHeight="1">
      <c r="A1177" s="80">
        <v>358.0</v>
      </c>
      <c r="B1177" s="81" t="s">
        <v>2288</v>
      </c>
      <c r="C1177" s="82"/>
      <c r="D1177" s="80">
        <v>7.606028958E9</v>
      </c>
      <c r="E1177" s="81" t="s">
        <v>11</v>
      </c>
      <c r="F1177" s="81" t="s">
        <v>385</v>
      </c>
      <c r="G1177" s="83" t="s">
        <v>1931</v>
      </c>
      <c r="H1177" s="75" t="s">
        <v>1932</v>
      </c>
      <c r="I1177" s="85" t="s">
        <v>1967</v>
      </c>
      <c r="J1177" s="84"/>
      <c r="K1177" s="78" t="s">
        <v>1933</v>
      </c>
      <c r="L1177" s="79"/>
    </row>
    <row r="1178" ht="22.5" customHeight="1">
      <c r="A1178" s="71">
        <v>359.0</v>
      </c>
      <c r="B1178" s="72" t="s">
        <v>2289</v>
      </c>
      <c r="C1178" s="73"/>
      <c r="D1178" s="71">
        <v>9.937149572E9</v>
      </c>
      <c r="E1178" s="72" t="s">
        <v>11</v>
      </c>
      <c r="F1178" s="72" t="s">
        <v>385</v>
      </c>
      <c r="G1178" s="74" t="s">
        <v>1931</v>
      </c>
      <c r="H1178" s="75" t="s">
        <v>1932</v>
      </c>
      <c r="I1178" s="85" t="s">
        <v>1967</v>
      </c>
      <c r="J1178" s="77"/>
      <c r="K1178" s="78" t="s">
        <v>1933</v>
      </c>
      <c r="L1178" s="79"/>
    </row>
    <row r="1179" ht="22.5" customHeight="1">
      <c r="A1179" s="80">
        <v>360.0</v>
      </c>
      <c r="B1179" s="81" t="s">
        <v>2290</v>
      </c>
      <c r="C1179" s="82"/>
      <c r="D1179" s="80">
        <v>9.437688259E9</v>
      </c>
      <c r="E1179" s="81" t="s">
        <v>11</v>
      </c>
      <c r="F1179" s="81" t="s">
        <v>385</v>
      </c>
      <c r="G1179" s="83" t="s">
        <v>1931</v>
      </c>
      <c r="H1179" s="75" t="s">
        <v>1932</v>
      </c>
      <c r="I1179" s="85" t="s">
        <v>1967</v>
      </c>
      <c r="J1179" s="84"/>
      <c r="K1179" s="78" t="s">
        <v>1933</v>
      </c>
      <c r="L1179" s="79"/>
    </row>
    <row r="1180" ht="22.5" customHeight="1">
      <c r="A1180" s="71">
        <v>361.0</v>
      </c>
      <c r="B1180" s="72" t="s">
        <v>2291</v>
      </c>
      <c r="C1180" s="73"/>
      <c r="D1180" s="71">
        <v>7.894362912E9</v>
      </c>
      <c r="E1180" s="72" t="s">
        <v>11</v>
      </c>
      <c r="F1180" s="72" t="s">
        <v>385</v>
      </c>
      <c r="G1180" s="74" t="s">
        <v>1931</v>
      </c>
      <c r="H1180" s="75" t="s">
        <v>1932</v>
      </c>
      <c r="I1180" s="85" t="s">
        <v>1967</v>
      </c>
      <c r="J1180" s="77"/>
      <c r="K1180" s="78" t="s">
        <v>1933</v>
      </c>
      <c r="L1180" s="79"/>
    </row>
    <row r="1181" ht="22.5" customHeight="1">
      <c r="A1181" s="80">
        <v>362.0</v>
      </c>
      <c r="B1181" s="81" t="s">
        <v>2292</v>
      </c>
      <c r="C1181" s="82"/>
      <c r="D1181" s="80">
        <v>7.008139829E9</v>
      </c>
      <c r="E1181" s="81" t="s">
        <v>11</v>
      </c>
      <c r="F1181" s="81" t="s">
        <v>385</v>
      </c>
      <c r="G1181" s="83" t="s">
        <v>1931</v>
      </c>
      <c r="H1181" s="75" t="s">
        <v>1932</v>
      </c>
      <c r="I1181" s="85" t="s">
        <v>1967</v>
      </c>
      <c r="J1181" s="84"/>
      <c r="K1181" s="78" t="s">
        <v>1933</v>
      </c>
      <c r="L1181" s="79"/>
    </row>
    <row r="1182" ht="22.5" customHeight="1">
      <c r="A1182" s="71">
        <v>363.0</v>
      </c>
      <c r="B1182" s="72" t="s">
        <v>2293</v>
      </c>
      <c r="C1182" s="73"/>
      <c r="D1182" s="71">
        <v>7.077562823E9</v>
      </c>
      <c r="E1182" s="72" t="s">
        <v>11</v>
      </c>
      <c r="F1182" s="72" t="s">
        <v>385</v>
      </c>
      <c r="G1182" s="74" t="s">
        <v>1931</v>
      </c>
      <c r="H1182" s="75" t="s">
        <v>1932</v>
      </c>
      <c r="I1182" s="85" t="s">
        <v>1967</v>
      </c>
      <c r="J1182" s="77"/>
      <c r="K1182" s="78" t="s">
        <v>1933</v>
      </c>
      <c r="L1182" s="79"/>
    </row>
    <row r="1183" ht="22.5" customHeight="1">
      <c r="A1183" s="80">
        <v>364.0</v>
      </c>
      <c r="B1183" s="81" t="s">
        <v>2294</v>
      </c>
      <c r="C1183" s="82"/>
      <c r="D1183" s="80">
        <v>8.249545842E9</v>
      </c>
      <c r="E1183" s="81" t="s">
        <v>11</v>
      </c>
      <c r="F1183" s="81" t="s">
        <v>385</v>
      </c>
      <c r="G1183" s="83" t="s">
        <v>1931</v>
      </c>
      <c r="H1183" s="75" t="s">
        <v>1932</v>
      </c>
      <c r="I1183" s="85" t="s">
        <v>1967</v>
      </c>
      <c r="J1183" s="84"/>
      <c r="K1183" s="78" t="s">
        <v>1933</v>
      </c>
      <c r="L1183" s="79"/>
    </row>
    <row r="1184" ht="22.5" customHeight="1">
      <c r="A1184" s="71">
        <v>365.0</v>
      </c>
      <c r="B1184" s="72" t="s">
        <v>2295</v>
      </c>
      <c r="C1184" s="73"/>
      <c r="D1184" s="71">
        <v>6.370672533E9</v>
      </c>
      <c r="E1184" s="72" t="s">
        <v>11</v>
      </c>
      <c r="F1184" s="72" t="s">
        <v>385</v>
      </c>
      <c r="G1184" s="74" t="s">
        <v>1931</v>
      </c>
      <c r="H1184" s="75" t="s">
        <v>1932</v>
      </c>
      <c r="I1184" s="85" t="s">
        <v>1967</v>
      </c>
      <c r="J1184" s="77"/>
      <c r="K1184" s="78" t="s">
        <v>1933</v>
      </c>
      <c r="L1184" s="79"/>
    </row>
    <row r="1185" ht="22.5" customHeight="1">
      <c r="A1185" s="80">
        <v>366.0</v>
      </c>
      <c r="B1185" s="81" t="s">
        <v>2296</v>
      </c>
      <c r="C1185" s="82"/>
      <c r="D1185" s="80">
        <v>9.34812966E9</v>
      </c>
      <c r="E1185" s="81" t="s">
        <v>11</v>
      </c>
      <c r="F1185" s="81" t="s">
        <v>385</v>
      </c>
      <c r="G1185" s="83" t="s">
        <v>1931</v>
      </c>
      <c r="H1185" s="75" t="s">
        <v>1932</v>
      </c>
      <c r="I1185" s="85" t="s">
        <v>1967</v>
      </c>
      <c r="J1185" s="84"/>
      <c r="K1185" s="78" t="s">
        <v>1933</v>
      </c>
      <c r="L1185" s="79"/>
    </row>
    <row r="1186" ht="22.5" customHeight="1">
      <c r="A1186" s="71">
        <v>367.0</v>
      </c>
      <c r="B1186" s="72" t="s">
        <v>2297</v>
      </c>
      <c r="C1186" s="73"/>
      <c r="D1186" s="71">
        <v>9.861887762E9</v>
      </c>
      <c r="E1186" s="72" t="s">
        <v>11</v>
      </c>
      <c r="F1186" s="72" t="s">
        <v>385</v>
      </c>
      <c r="G1186" s="74" t="s">
        <v>1931</v>
      </c>
      <c r="H1186" s="75" t="s">
        <v>1932</v>
      </c>
      <c r="I1186" s="85" t="s">
        <v>1967</v>
      </c>
      <c r="J1186" s="77"/>
      <c r="K1186" s="78" t="s">
        <v>1933</v>
      </c>
      <c r="L1186" s="79"/>
    </row>
    <row r="1187" ht="22.5" customHeight="1">
      <c r="A1187" s="80">
        <v>368.0</v>
      </c>
      <c r="B1187" s="81" t="s">
        <v>2298</v>
      </c>
      <c r="C1187" s="82"/>
      <c r="D1187" s="80">
        <v>9.337725272E9</v>
      </c>
      <c r="E1187" s="81" t="s">
        <v>11</v>
      </c>
      <c r="F1187" s="81" t="s">
        <v>385</v>
      </c>
      <c r="G1187" s="83" t="s">
        <v>1931</v>
      </c>
      <c r="H1187" s="75" t="s">
        <v>1932</v>
      </c>
      <c r="I1187" s="85" t="s">
        <v>1967</v>
      </c>
      <c r="J1187" s="84"/>
      <c r="K1187" s="78" t="s">
        <v>1933</v>
      </c>
      <c r="L1187" s="79"/>
    </row>
    <row r="1188" ht="22.5" customHeight="1">
      <c r="A1188" s="71">
        <v>369.0</v>
      </c>
      <c r="B1188" s="72" t="s">
        <v>2299</v>
      </c>
      <c r="C1188" s="73"/>
      <c r="D1188" s="71">
        <v>7.809359566E9</v>
      </c>
      <c r="E1188" s="72" t="s">
        <v>11</v>
      </c>
      <c r="F1188" s="72" t="s">
        <v>385</v>
      </c>
      <c r="G1188" s="74" t="s">
        <v>1931</v>
      </c>
      <c r="H1188" s="75" t="s">
        <v>1932</v>
      </c>
      <c r="I1188" s="85" t="s">
        <v>1967</v>
      </c>
      <c r="J1188" s="77"/>
      <c r="K1188" s="78" t="s">
        <v>1933</v>
      </c>
      <c r="L1188" s="79"/>
    </row>
    <row r="1189" ht="22.5" customHeight="1">
      <c r="A1189" s="80">
        <v>370.0</v>
      </c>
      <c r="B1189" s="81" t="s">
        <v>2300</v>
      </c>
      <c r="C1189" s="82"/>
      <c r="D1189" s="80">
        <v>8.455890492E9</v>
      </c>
      <c r="E1189" s="81" t="s">
        <v>11</v>
      </c>
      <c r="F1189" s="81" t="s">
        <v>385</v>
      </c>
      <c r="G1189" s="83" t="s">
        <v>1931</v>
      </c>
      <c r="H1189" s="75" t="s">
        <v>1932</v>
      </c>
      <c r="I1189" s="85" t="s">
        <v>1967</v>
      </c>
      <c r="J1189" s="84"/>
      <c r="K1189" s="78" t="s">
        <v>1933</v>
      </c>
      <c r="L1189" s="79"/>
    </row>
    <row r="1190" ht="22.5" customHeight="1">
      <c r="A1190" s="71">
        <v>371.0</v>
      </c>
      <c r="B1190" s="72" t="s">
        <v>2301</v>
      </c>
      <c r="C1190" s="73"/>
      <c r="D1190" s="71">
        <v>8.117071157E9</v>
      </c>
      <c r="E1190" s="72" t="s">
        <v>11</v>
      </c>
      <c r="F1190" s="72" t="s">
        <v>385</v>
      </c>
      <c r="G1190" s="74" t="s">
        <v>1931</v>
      </c>
      <c r="H1190" s="75" t="s">
        <v>1932</v>
      </c>
      <c r="I1190" s="85" t="s">
        <v>1967</v>
      </c>
      <c r="J1190" s="77"/>
      <c r="K1190" s="78" t="s">
        <v>1933</v>
      </c>
      <c r="L1190" s="79"/>
    </row>
    <row r="1191" ht="22.5" customHeight="1">
      <c r="A1191" s="80">
        <v>372.0</v>
      </c>
      <c r="B1191" s="81" t="s">
        <v>2302</v>
      </c>
      <c r="C1191" s="82"/>
      <c r="D1191" s="80">
        <v>8.52097832E9</v>
      </c>
      <c r="E1191" s="81" t="s">
        <v>11</v>
      </c>
      <c r="F1191" s="81" t="s">
        <v>385</v>
      </c>
      <c r="G1191" s="83" t="s">
        <v>1931</v>
      </c>
      <c r="H1191" s="75" t="s">
        <v>1932</v>
      </c>
      <c r="I1191" s="85" t="s">
        <v>1967</v>
      </c>
      <c r="J1191" s="84"/>
      <c r="K1191" s="78" t="s">
        <v>1933</v>
      </c>
      <c r="L1191" s="79"/>
    </row>
    <row r="1192" ht="22.5" customHeight="1">
      <c r="A1192" s="71">
        <v>373.0</v>
      </c>
      <c r="B1192" s="72" t="s">
        <v>2303</v>
      </c>
      <c r="C1192" s="73"/>
      <c r="D1192" s="71">
        <v>8.144986085E9</v>
      </c>
      <c r="E1192" s="72" t="s">
        <v>11</v>
      </c>
      <c r="F1192" s="72" t="s">
        <v>385</v>
      </c>
      <c r="G1192" s="74" t="s">
        <v>1931</v>
      </c>
      <c r="H1192" s="75" t="s">
        <v>1932</v>
      </c>
      <c r="I1192" s="85" t="s">
        <v>1967</v>
      </c>
      <c r="J1192" s="77"/>
      <c r="K1192" s="78" t="s">
        <v>1933</v>
      </c>
      <c r="L1192" s="79"/>
    </row>
    <row r="1193" ht="22.5" customHeight="1">
      <c r="A1193" s="80">
        <v>374.0</v>
      </c>
      <c r="B1193" s="81" t="s">
        <v>2304</v>
      </c>
      <c r="C1193" s="82"/>
      <c r="D1193" s="80">
        <v>8.658554897E9</v>
      </c>
      <c r="E1193" s="81" t="s">
        <v>11</v>
      </c>
      <c r="F1193" s="81" t="s">
        <v>385</v>
      </c>
      <c r="G1193" s="83" t="s">
        <v>1931</v>
      </c>
      <c r="H1193" s="75" t="s">
        <v>1932</v>
      </c>
      <c r="I1193" s="85" t="s">
        <v>1967</v>
      </c>
      <c r="J1193" s="84"/>
      <c r="K1193" s="78" t="s">
        <v>1933</v>
      </c>
      <c r="L1193" s="79"/>
    </row>
    <row r="1194" ht="22.5" customHeight="1">
      <c r="A1194" s="71">
        <v>375.0</v>
      </c>
      <c r="B1194" s="72" t="s">
        <v>2305</v>
      </c>
      <c r="C1194" s="73"/>
      <c r="D1194" s="71">
        <v>8.144519578E9</v>
      </c>
      <c r="E1194" s="72" t="s">
        <v>11</v>
      </c>
      <c r="F1194" s="72" t="s">
        <v>385</v>
      </c>
      <c r="G1194" s="74" t="s">
        <v>1931</v>
      </c>
      <c r="H1194" s="75" t="s">
        <v>1932</v>
      </c>
      <c r="I1194" s="85" t="s">
        <v>1967</v>
      </c>
      <c r="J1194" s="77"/>
      <c r="K1194" s="78" t="s">
        <v>1933</v>
      </c>
      <c r="L1194" s="79"/>
    </row>
    <row r="1195" ht="22.5" customHeight="1">
      <c r="A1195" s="80">
        <v>376.0</v>
      </c>
      <c r="B1195" s="81" t="s">
        <v>2306</v>
      </c>
      <c r="C1195" s="82"/>
      <c r="D1195" s="80">
        <v>9.178489213E9</v>
      </c>
      <c r="E1195" s="81" t="s">
        <v>11</v>
      </c>
      <c r="F1195" s="81" t="s">
        <v>385</v>
      </c>
      <c r="G1195" s="83" t="s">
        <v>1931</v>
      </c>
      <c r="H1195" s="75" t="s">
        <v>1932</v>
      </c>
      <c r="I1195" s="85" t="s">
        <v>1967</v>
      </c>
      <c r="J1195" s="84"/>
      <c r="K1195" s="78" t="s">
        <v>1933</v>
      </c>
      <c r="L1195" s="79"/>
    </row>
    <row r="1196" ht="22.5" customHeight="1">
      <c r="A1196" s="71">
        <v>377.0</v>
      </c>
      <c r="B1196" s="72" t="s">
        <v>2307</v>
      </c>
      <c r="C1196" s="73"/>
      <c r="D1196" s="71">
        <v>7.008646966E9</v>
      </c>
      <c r="E1196" s="72" t="s">
        <v>11</v>
      </c>
      <c r="F1196" s="72" t="s">
        <v>385</v>
      </c>
      <c r="G1196" s="74" t="s">
        <v>1931</v>
      </c>
      <c r="H1196" s="75" t="s">
        <v>1932</v>
      </c>
      <c r="I1196" s="85" t="s">
        <v>1967</v>
      </c>
      <c r="J1196" s="77"/>
      <c r="K1196" s="78" t="s">
        <v>1933</v>
      </c>
      <c r="L1196" s="79"/>
    </row>
    <row r="1197" ht="22.5" customHeight="1">
      <c r="A1197" s="80">
        <v>378.0</v>
      </c>
      <c r="B1197" s="81" t="s">
        <v>2308</v>
      </c>
      <c r="C1197" s="82"/>
      <c r="D1197" s="80">
        <v>9.777281845E9</v>
      </c>
      <c r="E1197" s="81" t="s">
        <v>11</v>
      </c>
      <c r="F1197" s="81" t="s">
        <v>385</v>
      </c>
      <c r="G1197" s="83" t="s">
        <v>1931</v>
      </c>
      <c r="H1197" s="75" t="s">
        <v>1932</v>
      </c>
      <c r="I1197" s="85" t="s">
        <v>1967</v>
      </c>
      <c r="J1197" s="84"/>
      <c r="K1197" s="78" t="s">
        <v>1933</v>
      </c>
      <c r="L1197" s="79"/>
    </row>
    <row r="1198" ht="22.5" customHeight="1">
      <c r="A1198" s="71">
        <v>379.0</v>
      </c>
      <c r="B1198" s="72" t="s">
        <v>2309</v>
      </c>
      <c r="C1198" s="73"/>
      <c r="D1198" s="71">
        <v>8.763173651E9</v>
      </c>
      <c r="E1198" s="72" t="s">
        <v>11</v>
      </c>
      <c r="F1198" s="72" t="s">
        <v>385</v>
      </c>
      <c r="G1198" s="74" t="s">
        <v>1931</v>
      </c>
      <c r="H1198" s="75" t="s">
        <v>1932</v>
      </c>
      <c r="I1198" s="85" t="s">
        <v>1967</v>
      </c>
      <c r="J1198" s="77"/>
      <c r="K1198" s="78" t="s">
        <v>1933</v>
      </c>
      <c r="L1198" s="79"/>
    </row>
    <row r="1199" ht="22.5" customHeight="1">
      <c r="A1199" s="80">
        <v>380.0</v>
      </c>
      <c r="B1199" s="81" t="s">
        <v>2310</v>
      </c>
      <c r="C1199" s="82"/>
      <c r="D1199" s="80">
        <v>8.260544285E9</v>
      </c>
      <c r="E1199" s="81" t="s">
        <v>11</v>
      </c>
      <c r="F1199" s="81" t="s">
        <v>385</v>
      </c>
      <c r="G1199" s="83" t="s">
        <v>1931</v>
      </c>
      <c r="H1199" s="75" t="s">
        <v>1932</v>
      </c>
      <c r="I1199" s="85" t="s">
        <v>1967</v>
      </c>
      <c r="J1199" s="84"/>
      <c r="K1199" s="78" t="s">
        <v>1933</v>
      </c>
      <c r="L1199" s="79"/>
    </row>
    <row r="1200" ht="22.5" customHeight="1">
      <c r="A1200" s="71">
        <v>381.0</v>
      </c>
      <c r="B1200" s="72" t="s">
        <v>2311</v>
      </c>
      <c r="C1200" s="73"/>
      <c r="D1200" s="71">
        <v>9.937757973E9</v>
      </c>
      <c r="E1200" s="72" t="s">
        <v>11</v>
      </c>
      <c r="F1200" s="72" t="s">
        <v>385</v>
      </c>
      <c r="G1200" s="74" t="s">
        <v>1931</v>
      </c>
      <c r="H1200" s="75" t="s">
        <v>1932</v>
      </c>
      <c r="I1200" s="85" t="s">
        <v>1967</v>
      </c>
      <c r="J1200" s="77"/>
      <c r="K1200" s="78" t="s">
        <v>1933</v>
      </c>
      <c r="L1200" s="79"/>
    </row>
    <row r="1201" ht="22.5" customHeight="1">
      <c r="A1201" s="80">
        <v>382.0</v>
      </c>
      <c r="B1201" s="81" t="s">
        <v>2312</v>
      </c>
      <c r="C1201" s="82"/>
      <c r="D1201" s="80">
        <v>9.938438064E9</v>
      </c>
      <c r="E1201" s="81" t="s">
        <v>11</v>
      </c>
      <c r="F1201" s="81" t="s">
        <v>385</v>
      </c>
      <c r="G1201" s="83" t="s">
        <v>1931</v>
      </c>
      <c r="H1201" s="75" t="s">
        <v>1932</v>
      </c>
      <c r="I1201" s="85" t="s">
        <v>1967</v>
      </c>
      <c r="J1201" s="84"/>
      <c r="K1201" s="78" t="s">
        <v>1933</v>
      </c>
      <c r="L1201" s="79"/>
    </row>
    <row r="1202" ht="22.5" customHeight="1">
      <c r="A1202" s="71">
        <v>383.0</v>
      </c>
      <c r="B1202" s="72" t="s">
        <v>2313</v>
      </c>
      <c r="C1202" s="73"/>
      <c r="D1202" s="71">
        <v>9.437562659E9</v>
      </c>
      <c r="E1202" s="72" t="s">
        <v>11</v>
      </c>
      <c r="F1202" s="72" t="s">
        <v>385</v>
      </c>
      <c r="G1202" s="74" t="s">
        <v>1931</v>
      </c>
      <c r="H1202" s="75" t="s">
        <v>1932</v>
      </c>
      <c r="I1202" s="85" t="s">
        <v>1967</v>
      </c>
      <c r="J1202" s="77"/>
      <c r="K1202" s="78" t="s">
        <v>1933</v>
      </c>
      <c r="L1202" s="79"/>
    </row>
    <row r="1203" ht="22.5" customHeight="1">
      <c r="A1203" s="80">
        <v>384.0</v>
      </c>
      <c r="B1203" s="81" t="s">
        <v>2314</v>
      </c>
      <c r="C1203" s="82"/>
      <c r="D1203" s="80">
        <v>9.668769651E9</v>
      </c>
      <c r="E1203" s="81" t="s">
        <v>11</v>
      </c>
      <c r="F1203" s="81" t="s">
        <v>385</v>
      </c>
      <c r="G1203" s="83" t="s">
        <v>1931</v>
      </c>
      <c r="H1203" s="75" t="s">
        <v>1932</v>
      </c>
      <c r="I1203" s="85" t="s">
        <v>1967</v>
      </c>
      <c r="J1203" s="84"/>
      <c r="K1203" s="78" t="s">
        <v>1933</v>
      </c>
      <c r="L1203" s="79"/>
    </row>
    <row r="1204" ht="22.5" customHeight="1">
      <c r="A1204" s="71">
        <v>385.0</v>
      </c>
      <c r="B1204" s="72" t="s">
        <v>2315</v>
      </c>
      <c r="C1204" s="73"/>
      <c r="D1204" s="71">
        <v>8.327767229E9</v>
      </c>
      <c r="E1204" s="72" t="s">
        <v>11</v>
      </c>
      <c r="F1204" s="72" t="s">
        <v>385</v>
      </c>
      <c r="G1204" s="74" t="s">
        <v>1931</v>
      </c>
      <c r="H1204" s="75" t="s">
        <v>1932</v>
      </c>
      <c r="I1204" s="85" t="s">
        <v>1967</v>
      </c>
      <c r="J1204" s="77"/>
      <c r="K1204" s="78" t="s">
        <v>1933</v>
      </c>
      <c r="L1204" s="79"/>
    </row>
    <row r="1205" ht="22.5" customHeight="1">
      <c r="A1205" s="80">
        <v>386.0</v>
      </c>
      <c r="B1205" s="81" t="s">
        <v>2316</v>
      </c>
      <c r="C1205" s="82"/>
      <c r="D1205" s="80">
        <v>7.008340893E9</v>
      </c>
      <c r="E1205" s="81" t="s">
        <v>11</v>
      </c>
      <c r="F1205" s="81" t="s">
        <v>385</v>
      </c>
      <c r="G1205" s="83" t="s">
        <v>1931</v>
      </c>
      <c r="H1205" s="75" t="s">
        <v>1932</v>
      </c>
      <c r="I1205" s="85" t="s">
        <v>1967</v>
      </c>
      <c r="J1205" s="84"/>
      <c r="K1205" s="78" t="s">
        <v>1933</v>
      </c>
      <c r="L1205" s="79"/>
    </row>
    <row r="1206" ht="22.5" customHeight="1">
      <c r="A1206" s="71">
        <v>387.0</v>
      </c>
      <c r="B1206" s="72" t="s">
        <v>2317</v>
      </c>
      <c r="C1206" s="73"/>
      <c r="D1206" s="71">
        <v>7.749021454E9</v>
      </c>
      <c r="E1206" s="72" t="s">
        <v>11</v>
      </c>
      <c r="F1206" s="72" t="s">
        <v>385</v>
      </c>
      <c r="G1206" s="74" t="s">
        <v>1931</v>
      </c>
      <c r="H1206" s="75" t="s">
        <v>1932</v>
      </c>
      <c r="I1206" s="85" t="s">
        <v>1967</v>
      </c>
      <c r="J1206" s="77"/>
      <c r="K1206" s="78" t="s">
        <v>1933</v>
      </c>
      <c r="L1206" s="79"/>
    </row>
    <row r="1207" ht="22.5" customHeight="1">
      <c r="A1207" s="80">
        <v>388.0</v>
      </c>
      <c r="B1207" s="81" t="s">
        <v>2318</v>
      </c>
      <c r="C1207" s="82"/>
      <c r="D1207" s="80">
        <v>9.55666505E9</v>
      </c>
      <c r="E1207" s="81" t="s">
        <v>11</v>
      </c>
      <c r="F1207" s="81" t="s">
        <v>385</v>
      </c>
      <c r="G1207" s="83" t="s">
        <v>1931</v>
      </c>
      <c r="H1207" s="75" t="s">
        <v>1932</v>
      </c>
      <c r="I1207" s="85" t="s">
        <v>1967</v>
      </c>
      <c r="J1207" s="84"/>
      <c r="K1207" s="78" t="s">
        <v>1933</v>
      </c>
      <c r="L1207" s="79"/>
    </row>
    <row r="1208" ht="22.5" customHeight="1">
      <c r="A1208" s="71">
        <v>389.0</v>
      </c>
      <c r="B1208" s="72" t="s">
        <v>2319</v>
      </c>
      <c r="C1208" s="73"/>
      <c r="D1208" s="71">
        <v>9.437273527E9</v>
      </c>
      <c r="E1208" s="72" t="s">
        <v>11</v>
      </c>
      <c r="F1208" s="72" t="s">
        <v>385</v>
      </c>
      <c r="G1208" s="74" t="s">
        <v>1931</v>
      </c>
      <c r="H1208" s="75" t="s">
        <v>1932</v>
      </c>
      <c r="I1208" s="85" t="s">
        <v>1967</v>
      </c>
      <c r="J1208" s="77"/>
      <c r="K1208" s="78" t="s">
        <v>1933</v>
      </c>
      <c r="L1208" s="79"/>
    </row>
    <row r="1209" ht="22.5" customHeight="1">
      <c r="A1209" s="80">
        <v>390.0</v>
      </c>
      <c r="B1209" s="81" t="s">
        <v>2320</v>
      </c>
      <c r="C1209" s="82"/>
      <c r="D1209" s="80">
        <v>8.327730087E9</v>
      </c>
      <c r="E1209" s="81" t="s">
        <v>11</v>
      </c>
      <c r="F1209" s="81" t="s">
        <v>385</v>
      </c>
      <c r="G1209" s="83" t="s">
        <v>1931</v>
      </c>
      <c r="H1209" s="75" t="s">
        <v>1932</v>
      </c>
      <c r="I1209" s="85" t="s">
        <v>1967</v>
      </c>
      <c r="J1209" s="84"/>
      <c r="K1209" s="78" t="s">
        <v>1933</v>
      </c>
      <c r="L1209" s="79"/>
    </row>
    <row r="1210" ht="22.5" customHeight="1">
      <c r="A1210" s="71">
        <v>391.0</v>
      </c>
      <c r="B1210" s="72" t="s">
        <v>2321</v>
      </c>
      <c r="C1210" s="73"/>
      <c r="D1210" s="71">
        <v>8.144194054E9</v>
      </c>
      <c r="E1210" s="72" t="s">
        <v>11</v>
      </c>
      <c r="F1210" s="72" t="s">
        <v>385</v>
      </c>
      <c r="G1210" s="74" t="s">
        <v>1931</v>
      </c>
      <c r="H1210" s="75" t="s">
        <v>1932</v>
      </c>
      <c r="I1210" s="85" t="s">
        <v>1967</v>
      </c>
      <c r="J1210" s="77"/>
      <c r="K1210" s="78" t="s">
        <v>1933</v>
      </c>
      <c r="L1210" s="79"/>
    </row>
    <row r="1211" ht="22.5" customHeight="1">
      <c r="A1211" s="80">
        <v>392.0</v>
      </c>
      <c r="B1211" s="81" t="s">
        <v>2322</v>
      </c>
      <c r="C1211" s="82"/>
      <c r="D1211" s="80">
        <v>7.735157748E9</v>
      </c>
      <c r="E1211" s="81" t="s">
        <v>11</v>
      </c>
      <c r="F1211" s="81" t="s">
        <v>385</v>
      </c>
      <c r="G1211" s="83" t="s">
        <v>1931</v>
      </c>
      <c r="H1211" s="75" t="s">
        <v>1932</v>
      </c>
      <c r="I1211" s="85" t="s">
        <v>1967</v>
      </c>
      <c r="J1211" s="84"/>
      <c r="K1211" s="78" t="s">
        <v>1933</v>
      </c>
      <c r="L1211" s="79"/>
    </row>
    <row r="1212" ht="22.5" customHeight="1">
      <c r="A1212" s="71">
        <v>393.0</v>
      </c>
      <c r="B1212" s="72" t="s">
        <v>2323</v>
      </c>
      <c r="C1212" s="73"/>
      <c r="D1212" s="71">
        <v>9.337733689E9</v>
      </c>
      <c r="E1212" s="72" t="s">
        <v>11</v>
      </c>
      <c r="F1212" s="72" t="s">
        <v>385</v>
      </c>
      <c r="G1212" s="74" t="s">
        <v>1931</v>
      </c>
      <c r="H1212" s="75" t="s">
        <v>1932</v>
      </c>
      <c r="I1212" s="85" t="s">
        <v>1967</v>
      </c>
      <c r="J1212" s="77"/>
      <c r="K1212" s="78" t="s">
        <v>1933</v>
      </c>
      <c r="L1212" s="79"/>
    </row>
    <row r="1213" ht="22.5" customHeight="1">
      <c r="A1213" s="80">
        <v>394.0</v>
      </c>
      <c r="B1213" s="81" t="s">
        <v>2324</v>
      </c>
      <c r="C1213" s="82"/>
      <c r="D1213" s="80">
        <v>7.326097711E9</v>
      </c>
      <c r="E1213" s="81" t="s">
        <v>11</v>
      </c>
      <c r="F1213" s="81" t="s">
        <v>385</v>
      </c>
      <c r="G1213" s="83" t="s">
        <v>1931</v>
      </c>
      <c r="H1213" s="75" t="s">
        <v>1932</v>
      </c>
      <c r="I1213" s="85" t="s">
        <v>1967</v>
      </c>
      <c r="J1213" s="84"/>
      <c r="K1213" s="78" t="s">
        <v>1933</v>
      </c>
      <c r="L1213" s="79"/>
    </row>
    <row r="1214" ht="22.5" customHeight="1">
      <c r="A1214" s="71">
        <v>395.0</v>
      </c>
      <c r="B1214" s="72" t="s">
        <v>2325</v>
      </c>
      <c r="C1214" s="73"/>
      <c r="D1214" s="71">
        <v>9.43763071E9</v>
      </c>
      <c r="E1214" s="72" t="s">
        <v>11</v>
      </c>
      <c r="F1214" s="72" t="s">
        <v>385</v>
      </c>
      <c r="G1214" s="74" t="s">
        <v>1931</v>
      </c>
      <c r="H1214" s="75" t="s">
        <v>1932</v>
      </c>
      <c r="I1214" s="85" t="s">
        <v>1967</v>
      </c>
      <c r="J1214" s="77"/>
      <c r="K1214" s="78" t="s">
        <v>1933</v>
      </c>
      <c r="L1214" s="79"/>
    </row>
    <row r="1215" ht="22.5" customHeight="1">
      <c r="A1215" s="80">
        <v>396.0</v>
      </c>
      <c r="B1215" s="81" t="s">
        <v>2326</v>
      </c>
      <c r="C1215" s="82"/>
      <c r="D1215" s="80">
        <v>9.114083684E9</v>
      </c>
      <c r="E1215" s="81" t="s">
        <v>11</v>
      </c>
      <c r="F1215" s="81" t="s">
        <v>385</v>
      </c>
      <c r="G1215" s="83" t="s">
        <v>1931</v>
      </c>
      <c r="H1215" s="75" t="s">
        <v>1932</v>
      </c>
      <c r="I1215" s="85" t="s">
        <v>1967</v>
      </c>
      <c r="J1215" s="84"/>
      <c r="K1215" s="78" t="s">
        <v>1933</v>
      </c>
      <c r="L1215" s="79"/>
    </row>
    <row r="1216" ht="22.5" customHeight="1">
      <c r="A1216" s="71">
        <v>397.0</v>
      </c>
      <c r="B1216" s="72" t="s">
        <v>2327</v>
      </c>
      <c r="C1216" s="73"/>
      <c r="D1216" s="71">
        <v>9.777697555E9</v>
      </c>
      <c r="E1216" s="72" t="s">
        <v>11</v>
      </c>
      <c r="F1216" s="72" t="s">
        <v>385</v>
      </c>
      <c r="G1216" s="74" t="s">
        <v>1931</v>
      </c>
      <c r="H1216" s="75" t="s">
        <v>1932</v>
      </c>
      <c r="I1216" s="85" t="s">
        <v>1967</v>
      </c>
      <c r="J1216" s="77"/>
      <c r="K1216" s="78" t="s">
        <v>1933</v>
      </c>
      <c r="L1216" s="79"/>
    </row>
    <row r="1217" ht="22.5" customHeight="1">
      <c r="A1217" s="80">
        <v>398.0</v>
      </c>
      <c r="B1217" s="81" t="s">
        <v>2328</v>
      </c>
      <c r="C1217" s="82"/>
      <c r="D1217" s="80">
        <v>9.437458586E9</v>
      </c>
      <c r="E1217" s="81" t="s">
        <v>11</v>
      </c>
      <c r="F1217" s="81" t="s">
        <v>385</v>
      </c>
      <c r="G1217" s="83" t="s">
        <v>1931</v>
      </c>
      <c r="H1217" s="75" t="s">
        <v>1932</v>
      </c>
      <c r="I1217" s="85" t="s">
        <v>1967</v>
      </c>
      <c r="J1217" s="84"/>
      <c r="K1217" s="78" t="s">
        <v>1933</v>
      </c>
      <c r="L1217" s="79"/>
    </row>
    <row r="1218" ht="22.5" customHeight="1">
      <c r="A1218" s="71">
        <v>399.0</v>
      </c>
      <c r="B1218" s="72" t="s">
        <v>2329</v>
      </c>
      <c r="C1218" s="73"/>
      <c r="D1218" s="71">
        <v>9.337307293E9</v>
      </c>
      <c r="E1218" s="72" t="s">
        <v>11</v>
      </c>
      <c r="F1218" s="72" t="s">
        <v>385</v>
      </c>
      <c r="G1218" s="74" t="s">
        <v>1931</v>
      </c>
      <c r="H1218" s="75" t="s">
        <v>1932</v>
      </c>
      <c r="I1218" s="85" t="s">
        <v>1967</v>
      </c>
      <c r="J1218" s="77"/>
      <c r="K1218" s="78" t="s">
        <v>1933</v>
      </c>
      <c r="L1218" s="79"/>
    </row>
    <row r="1219" ht="22.5" customHeight="1">
      <c r="A1219" s="80">
        <v>400.0</v>
      </c>
      <c r="B1219" s="81" t="s">
        <v>2330</v>
      </c>
      <c r="C1219" s="82"/>
      <c r="D1219" s="80">
        <v>6.372703474E9</v>
      </c>
      <c r="E1219" s="81" t="s">
        <v>11</v>
      </c>
      <c r="F1219" s="81" t="s">
        <v>385</v>
      </c>
      <c r="G1219" s="83" t="s">
        <v>1931</v>
      </c>
      <c r="H1219" s="75" t="s">
        <v>1932</v>
      </c>
      <c r="I1219" s="85" t="s">
        <v>1967</v>
      </c>
      <c r="J1219" s="84"/>
      <c r="K1219" s="78" t="s">
        <v>1933</v>
      </c>
      <c r="L1219" s="79"/>
    </row>
    <row r="1220" ht="22.5" customHeight="1">
      <c r="A1220" s="71">
        <v>401.0</v>
      </c>
      <c r="B1220" s="72" t="s">
        <v>2331</v>
      </c>
      <c r="C1220" s="73"/>
      <c r="D1220" s="71">
        <v>9.93895021E9</v>
      </c>
      <c r="E1220" s="72" t="s">
        <v>11</v>
      </c>
      <c r="F1220" s="72" t="s">
        <v>385</v>
      </c>
      <c r="G1220" s="74" t="s">
        <v>1931</v>
      </c>
      <c r="H1220" s="75" t="s">
        <v>1932</v>
      </c>
      <c r="I1220" s="85" t="s">
        <v>1967</v>
      </c>
      <c r="J1220" s="77"/>
      <c r="K1220" s="78" t="s">
        <v>1933</v>
      </c>
      <c r="L1220" s="79"/>
    </row>
    <row r="1221" ht="22.5" customHeight="1">
      <c r="A1221" s="80">
        <v>402.0</v>
      </c>
      <c r="B1221" s="81" t="s">
        <v>2332</v>
      </c>
      <c r="C1221" s="82"/>
      <c r="D1221" s="80">
        <v>7.008497287E9</v>
      </c>
      <c r="E1221" s="81" t="s">
        <v>11</v>
      </c>
      <c r="F1221" s="81" t="s">
        <v>385</v>
      </c>
      <c r="G1221" s="83" t="s">
        <v>1931</v>
      </c>
      <c r="H1221" s="75" t="s">
        <v>1932</v>
      </c>
      <c r="I1221" s="85" t="s">
        <v>1967</v>
      </c>
      <c r="J1221" s="84"/>
      <c r="K1221" s="78" t="s">
        <v>1933</v>
      </c>
      <c r="L1221" s="79"/>
    </row>
    <row r="1222" ht="22.5" customHeight="1">
      <c r="A1222" s="71">
        <v>403.0</v>
      </c>
      <c r="B1222" s="72" t="s">
        <v>2333</v>
      </c>
      <c r="C1222" s="73"/>
      <c r="D1222" s="71">
        <v>6.370681464E9</v>
      </c>
      <c r="E1222" s="72" t="s">
        <v>11</v>
      </c>
      <c r="F1222" s="72" t="s">
        <v>385</v>
      </c>
      <c r="G1222" s="74" t="s">
        <v>1931</v>
      </c>
      <c r="H1222" s="75" t="s">
        <v>1932</v>
      </c>
      <c r="I1222" s="85" t="s">
        <v>1967</v>
      </c>
      <c r="J1222" s="77"/>
      <c r="K1222" s="78" t="s">
        <v>1933</v>
      </c>
      <c r="L1222" s="79"/>
    </row>
    <row r="1223" ht="22.5" customHeight="1">
      <c r="A1223" s="80">
        <v>404.0</v>
      </c>
      <c r="B1223" s="81" t="s">
        <v>2334</v>
      </c>
      <c r="C1223" s="82"/>
      <c r="D1223" s="80">
        <v>9.437333522E9</v>
      </c>
      <c r="E1223" s="81" t="s">
        <v>11</v>
      </c>
      <c r="F1223" s="81" t="s">
        <v>385</v>
      </c>
      <c r="G1223" s="83" t="s">
        <v>1931</v>
      </c>
      <c r="H1223" s="75" t="s">
        <v>1932</v>
      </c>
      <c r="I1223" s="85" t="s">
        <v>1967</v>
      </c>
      <c r="J1223" s="84"/>
      <c r="K1223" s="78" t="s">
        <v>1933</v>
      </c>
      <c r="L1223" s="79"/>
    </row>
    <row r="1224" ht="22.5" customHeight="1">
      <c r="A1224" s="71">
        <v>405.0</v>
      </c>
      <c r="B1224" s="72" t="s">
        <v>2335</v>
      </c>
      <c r="C1224" s="73"/>
      <c r="D1224" s="71">
        <v>9.862328265E9</v>
      </c>
      <c r="E1224" s="72" t="s">
        <v>11</v>
      </c>
      <c r="F1224" s="72" t="s">
        <v>385</v>
      </c>
      <c r="G1224" s="74" t="s">
        <v>1931</v>
      </c>
      <c r="H1224" s="75" t="s">
        <v>1932</v>
      </c>
      <c r="I1224" s="85" t="s">
        <v>1967</v>
      </c>
      <c r="J1224" s="77"/>
      <c r="K1224" s="78" t="s">
        <v>1933</v>
      </c>
      <c r="L1224" s="79"/>
    </row>
    <row r="1225" ht="22.5" customHeight="1">
      <c r="A1225" s="80">
        <v>406.0</v>
      </c>
      <c r="B1225" s="81" t="s">
        <v>2336</v>
      </c>
      <c r="C1225" s="82"/>
      <c r="D1225" s="80">
        <v>9.438187457E9</v>
      </c>
      <c r="E1225" s="81" t="s">
        <v>11</v>
      </c>
      <c r="F1225" s="81" t="s">
        <v>385</v>
      </c>
      <c r="G1225" s="83" t="s">
        <v>1931</v>
      </c>
      <c r="H1225" s="75" t="s">
        <v>1932</v>
      </c>
      <c r="I1225" s="85" t="s">
        <v>1967</v>
      </c>
      <c r="J1225" s="84"/>
      <c r="K1225" s="78" t="s">
        <v>1933</v>
      </c>
      <c r="L1225" s="79"/>
    </row>
    <row r="1226" ht="22.5" customHeight="1">
      <c r="A1226" s="71">
        <v>407.0</v>
      </c>
      <c r="B1226" s="72" t="s">
        <v>2337</v>
      </c>
      <c r="C1226" s="73"/>
      <c r="D1226" s="71">
        <v>7.978045163E9</v>
      </c>
      <c r="E1226" s="72" t="s">
        <v>11</v>
      </c>
      <c r="F1226" s="72" t="s">
        <v>385</v>
      </c>
      <c r="G1226" s="74" t="s">
        <v>1931</v>
      </c>
      <c r="H1226" s="75" t="s">
        <v>1932</v>
      </c>
      <c r="I1226" s="85" t="s">
        <v>1967</v>
      </c>
      <c r="J1226" s="77"/>
      <c r="K1226" s="78" t="s">
        <v>1933</v>
      </c>
      <c r="L1226" s="79"/>
    </row>
    <row r="1227" ht="22.5" customHeight="1">
      <c r="A1227" s="80">
        <v>408.0</v>
      </c>
      <c r="B1227" s="81" t="s">
        <v>2338</v>
      </c>
      <c r="C1227" s="82"/>
      <c r="D1227" s="80">
        <v>9.437848533E9</v>
      </c>
      <c r="E1227" s="81" t="s">
        <v>11</v>
      </c>
      <c r="F1227" s="81" t="s">
        <v>385</v>
      </c>
      <c r="G1227" s="83" t="s">
        <v>1931</v>
      </c>
      <c r="H1227" s="75" t="s">
        <v>1932</v>
      </c>
      <c r="I1227" s="85" t="s">
        <v>1967</v>
      </c>
      <c r="J1227" s="84"/>
      <c r="K1227" s="78" t="s">
        <v>1933</v>
      </c>
      <c r="L1227" s="79"/>
    </row>
    <row r="1228" ht="22.5" customHeight="1">
      <c r="A1228" s="71">
        <v>409.0</v>
      </c>
      <c r="B1228" s="72" t="s">
        <v>2339</v>
      </c>
      <c r="C1228" s="73"/>
      <c r="D1228" s="71">
        <v>9.090742455E9</v>
      </c>
      <c r="E1228" s="72" t="s">
        <v>11</v>
      </c>
      <c r="F1228" s="72" t="s">
        <v>385</v>
      </c>
      <c r="G1228" s="74" t="s">
        <v>1931</v>
      </c>
      <c r="H1228" s="75" t="s">
        <v>1932</v>
      </c>
      <c r="I1228" s="85" t="s">
        <v>1967</v>
      </c>
      <c r="J1228" s="77"/>
      <c r="K1228" s="78" t="s">
        <v>1933</v>
      </c>
      <c r="L1228" s="79"/>
    </row>
    <row r="1229" ht="22.5" customHeight="1">
      <c r="A1229" s="80">
        <v>410.0</v>
      </c>
      <c r="B1229" s="81" t="s">
        <v>2340</v>
      </c>
      <c r="C1229" s="82"/>
      <c r="D1229" s="80">
        <v>9.437378949E9</v>
      </c>
      <c r="E1229" s="81" t="s">
        <v>11</v>
      </c>
      <c r="F1229" s="81" t="s">
        <v>385</v>
      </c>
      <c r="G1229" s="83" t="s">
        <v>1931</v>
      </c>
      <c r="H1229" s="75" t="s">
        <v>1932</v>
      </c>
      <c r="I1229" s="85" t="s">
        <v>1967</v>
      </c>
      <c r="J1229" s="84"/>
      <c r="K1229" s="78" t="s">
        <v>1933</v>
      </c>
      <c r="L1229" s="79"/>
    </row>
    <row r="1230" ht="22.5" customHeight="1">
      <c r="A1230" s="71">
        <v>411.0</v>
      </c>
      <c r="B1230" s="72" t="s">
        <v>2341</v>
      </c>
      <c r="C1230" s="73"/>
      <c r="D1230" s="71">
        <v>7.978127709E9</v>
      </c>
      <c r="E1230" s="72" t="s">
        <v>11</v>
      </c>
      <c r="F1230" s="72" t="s">
        <v>385</v>
      </c>
      <c r="G1230" s="74" t="s">
        <v>1931</v>
      </c>
      <c r="H1230" s="75" t="s">
        <v>1932</v>
      </c>
      <c r="I1230" s="85" t="s">
        <v>1967</v>
      </c>
      <c r="J1230" s="77"/>
      <c r="K1230" s="78" t="s">
        <v>1933</v>
      </c>
      <c r="L1230" s="79"/>
    </row>
    <row r="1231" ht="22.5" customHeight="1">
      <c r="A1231" s="80">
        <v>412.0</v>
      </c>
      <c r="B1231" s="81" t="s">
        <v>2342</v>
      </c>
      <c r="C1231" s="82"/>
      <c r="D1231" s="80">
        <v>7.681075669E9</v>
      </c>
      <c r="E1231" s="81" t="s">
        <v>11</v>
      </c>
      <c r="F1231" s="81" t="s">
        <v>385</v>
      </c>
      <c r="G1231" s="83" t="s">
        <v>1931</v>
      </c>
      <c r="H1231" s="75" t="s">
        <v>1932</v>
      </c>
      <c r="I1231" s="85" t="s">
        <v>1967</v>
      </c>
      <c r="J1231" s="84"/>
      <c r="K1231" s="78" t="s">
        <v>1933</v>
      </c>
      <c r="L1231" s="79"/>
    </row>
    <row r="1232" ht="22.5" customHeight="1">
      <c r="A1232" s="71">
        <v>413.0</v>
      </c>
      <c r="B1232" s="72" t="s">
        <v>2343</v>
      </c>
      <c r="C1232" s="73"/>
      <c r="D1232" s="71">
        <v>9.43764563E9</v>
      </c>
      <c r="E1232" s="72" t="s">
        <v>11</v>
      </c>
      <c r="F1232" s="72" t="s">
        <v>385</v>
      </c>
      <c r="G1232" s="74" t="s">
        <v>1931</v>
      </c>
      <c r="H1232" s="75" t="s">
        <v>1932</v>
      </c>
      <c r="I1232" s="85" t="s">
        <v>1967</v>
      </c>
      <c r="J1232" s="77"/>
      <c r="K1232" s="78" t="s">
        <v>1933</v>
      </c>
      <c r="L1232" s="79"/>
    </row>
    <row r="1233" ht="22.5" customHeight="1">
      <c r="A1233" s="80">
        <v>414.0</v>
      </c>
      <c r="B1233" s="81" t="s">
        <v>2344</v>
      </c>
      <c r="C1233" s="82"/>
      <c r="D1233" s="80">
        <v>8.144747646E9</v>
      </c>
      <c r="E1233" s="81" t="s">
        <v>11</v>
      </c>
      <c r="F1233" s="81" t="s">
        <v>385</v>
      </c>
      <c r="G1233" s="83" t="s">
        <v>1931</v>
      </c>
      <c r="H1233" s="75" t="s">
        <v>1932</v>
      </c>
      <c r="I1233" s="85" t="s">
        <v>1967</v>
      </c>
      <c r="J1233" s="84"/>
      <c r="K1233" s="78" t="s">
        <v>1933</v>
      </c>
      <c r="L1233" s="79"/>
    </row>
    <row r="1234" ht="22.5" customHeight="1">
      <c r="A1234" s="71">
        <v>415.0</v>
      </c>
      <c r="B1234" s="72" t="s">
        <v>2345</v>
      </c>
      <c r="C1234" s="73"/>
      <c r="D1234" s="71">
        <v>9.938430083E9</v>
      </c>
      <c r="E1234" s="72" t="s">
        <v>11</v>
      </c>
      <c r="F1234" s="72" t="s">
        <v>385</v>
      </c>
      <c r="G1234" s="74" t="s">
        <v>1931</v>
      </c>
      <c r="H1234" s="75" t="s">
        <v>1932</v>
      </c>
      <c r="I1234" s="85" t="s">
        <v>1967</v>
      </c>
      <c r="J1234" s="77"/>
      <c r="K1234" s="78" t="s">
        <v>1933</v>
      </c>
      <c r="L1234" s="79"/>
    </row>
    <row r="1235" ht="22.5" customHeight="1">
      <c r="A1235" s="80">
        <v>416.0</v>
      </c>
      <c r="B1235" s="81" t="s">
        <v>2346</v>
      </c>
      <c r="C1235" s="82"/>
      <c r="D1235" s="80">
        <v>8.260058373E9</v>
      </c>
      <c r="E1235" s="81" t="s">
        <v>11</v>
      </c>
      <c r="F1235" s="81" t="s">
        <v>385</v>
      </c>
      <c r="G1235" s="83" t="s">
        <v>1931</v>
      </c>
      <c r="H1235" s="75" t="s">
        <v>1932</v>
      </c>
      <c r="I1235" s="85" t="s">
        <v>1967</v>
      </c>
      <c r="J1235" s="84"/>
      <c r="K1235" s="78" t="s">
        <v>1933</v>
      </c>
      <c r="L1235" s="79"/>
    </row>
    <row r="1236" ht="22.5" customHeight="1">
      <c r="A1236" s="71">
        <v>417.0</v>
      </c>
      <c r="B1236" s="72" t="s">
        <v>2347</v>
      </c>
      <c r="C1236" s="73"/>
      <c r="D1236" s="71">
        <v>8.09335444E9</v>
      </c>
      <c r="E1236" s="72" t="s">
        <v>11</v>
      </c>
      <c r="F1236" s="72" t="s">
        <v>385</v>
      </c>
      <c r="G1236" s="74" t="s">
        <v>1931</v>
      </c>
      <c r="H1236" s="75" t="s">
        <v>1932</v>
      </c>
      <c r="I1236" s="85" t="s">
        <v>1967</v>
      </c>
      <c r="J1236" s="77"/>
      <c r="K1236" s="78" t="s">
        <v>1933</v>
      </c>
      <c r="L1236" s="79"/>
    </row>
    <row r="1237" ht="22.5" customHeight="1">
      <c r="A1237" s="80">
        <v>418.0</v>
      </c>
      <c r="B1237" s="81" t="s">
        <v>2348</v>
      </c>
      <c r="C1237" s="82"/>
      <c r="D1237" s="80">
        <v>9.556027991E9</v>
      </c>
      <c r="E1237" s="81" t="s">
        <v>11</v>
      </c>
      <c r="F1237" s="81" t="s">
        <v>385</v>
      </c>
      <c r="G1237" s="83" t="s">
        <v>1931</v>
      </c>
      <c r="H1237" s="75" t="s">
        <v>1932</v>
      </c>
      <c r="I1237" s="85" t="s">
        <v>1967</v>
      </c>
      <c r="J1237" s="84"/>
      <c r="K1237" s="78" t="s">
        <v>1933</v>
      </c>
      <c r="L1237" s="79"/>
    </row>
    <row r="1238" ht="22.5" customHeight="1">
      <c r="A1238" s="71">
        <v>419.0</v>
      </c>
      <c r="B1238" s="72" t="s">
        <v>2349</v>
      </c>
      <c r="C1238" s="73"/>
      <c r="D1238" s="71">
        <v>7.205835472E9</v>
      </c>
      <c r="E1238" s="72" t="s">
        <v>11</v>
      </c>
      <c r="F1238" s="72" t="s">
        <v>385</v>
      </c>
      <c r="G1238" s="74" t="s">
        <v>1931</v>
      </c>
      <c r="H1238" s="75" t="s">
        <v>1932</v>
      </c>
      <c r="I1238" s="85" t="s">
        <v>1967</v>
      </c>
      <c r="J1238" s="77"/>
      <c r="K1238" s="78" t="s">
        <v>1933</v>
      </c>
      <c r="L1238" s="79"/>
    </row>
    <row r="1239" ht="22.5" customHeight="1">
      <c r="A1239" s="80">
        <v>420.0</v>
      </c>
      <c r="B1239" s="81" t="s">
        <v>2350</v>
      </c>
      <c r="C1239" s="82"/>
      <c r="D1239" s="80">
        <v>9.337330439E9</v>
      </c>
      <c r="E1239" s="81" t="s">
        <v>11</v>
      </c>
      <c r="F1239" s="81" t="s">
        <v>385</v>
      </c>
      <c r="G1239" s="83" t="s">
        <v>1931</v>
      </c>
      <c r="H1239" s="75" t="s">
        <v>1932</v>
      </c>
      <c r="I1239" s="85" t="s">
        <v>1967</v>
      </c>
      <c r="J1239" s="84"/>
      <c r="K1239" s="78" t="s">
        <v>1933</v>
      </c>
      <c r="L1239" s="79"/>
    </row>
    <row r="1240" ht="22.5" customHeight="1">
      <c r="A1240" s="71">
        <v>421.0</v>
      </c>
      <c r="B1240" s="72" t="s">
        <v>2351</v>
      </c>
      <c r="C1240" s="73"/>
      <c r="D1240" s="71">
        <v>9.437020577E9</v>
      </c>
      <c r="E1240" s="72" t="s">
        <v>11</v>
      </c>
      <c r="F1240" s="72" t="s">
        <v>385</v>
      </c>
      <c r="G1240" s="74" t="s">
        <v>1931</v>
      </c>
      <c r="H1240" s="75" t="s">
        <v>1932</v>
      </c>
      <c r="I1240" s="85" t="s">
        <v>1967</v>
      </c>
      <c r="J1240" s="77"/>
      <c r="K1240" s="78" t="s">
        <v>1933</v>
      </c>
      <c r="L1240" s="79"/>
    </row>
    <row r="1241" ht="22.5" customHeight="1">
      <c r="A1241" s="80">
        <v>422.0</v>
      </c>
      <c r="B1241" s="81" t="s">
        <v>2352</v>
      </c>
      <c r="C1241" s="82"/>
      <c r="D1241" s="80">
        <v>8.260900831E9</v>
      </c>
      <c r="E1241" s="81" t="s">
        <v>11</v>
      </c>
      <c r="F1241" s="81" t="s">
        <v>385</v>
      </c>
      <c r="G1241" s="83" t="s">
        <v>1931</v>
      </c>
      <c r="H1241" s="75" t="s">
        <v>1932</v>
      </c>
      <c r="I1241" s="85" t="s">
        <v>1967</v>
      </c>
      <c r="J1241" s="84"/>
      <c r="K1241" s="78" t="s">
        <v>1933</v>
      </c>
      <c r="L1241" s="79"/>
    </row>
    <row r="1242" ht="22.5" customHeight="1">
      <c r="A1242" s="71">
        <v>423.0</v>
      </c>
      <c r="B1242" s="72" t="s">
        <v>2353</v>
      </c>
      <c r="C1242" s="73"/>
      <c r="D1242" s="71">
        <v>9.348852766E9</v>
      </c>
      <c r="E1242" s="72" t="s">
        <v>11</v>
      </c>
      <c r="F1242" s="72" t="s">
        <v>385</v>
      </c>
      <c r="G1242" s="74" t="s">
        <v>1931</v>
      </c>
      <c r="H1242" s="75" t="s">
        <v>1932</v>
      </c>
      <c r="I1242" s="85" t="s">
        <v>1967</v>
      </c>
      <c r="J1242" s="77"/>
      <c r="K1242" s="78" t="s">
        <v>1933</v>
      </c>
      <c r="L1242" s="79"/>
    </row>
    <row r="1243" ht="22.5" customHeight="1">
      <c r="A1243" s="80">
        <v>424.0</v>
      </c>
      <c r="B1243" s="81" t="s">
        <v>2354</v>
      </c>
      <c r="C1243" s="82"/>
      <c r="D1243" s="80">
        <v>8.926816481E9</v>
      </c>
      <c r="E1243" s="81" t="s">
        <v>11</v>
      </c>
      <c r="F1243" s="81" t="s">
        <v>385</v>
      </c>
      <c r="G1243" s="83" t="s">
        <v>1931</v>
      </c>
      <c r="H1243" s="75" t="s">
        <v>1932</v>
      </c>
      <c r="I1243" s="85" t="s">
        <v>1967</v>
      </c>
      <c r="J1243" s="84"/>
      <c r="K1243" s="78" t="s">
        <v>1933</v>
      </c>
      <c r="L1243" s="79"/>
    </row>
    <row r="1244" ht="22.5" customHeight="1">
      <c r="A1244" s="71">
        <v>425.0</v>
      </c>
      <c r="B1244" s="72" t="s">
        <v>2355</v>
      </c>
      <c r="C1244" s="73"/>
      <c r="D1244" s="71">
        <v>8.328805649E9</v>
      </c>
      <c r="E1244" s="72" t="s">
        <v>11</v>
      </c>
      <c r="F1244" s="72" t="s">
        <v>385</v>
      </c>
      <c r="G1244" s="74" t="s">
        <v>1931</v>
      </c>
      <c r="H1244" s="75" t="s">
        <v>1932</v>
      </c>
      <c r="I1244" s="85" t="s">
        <v>1967</v>
      </c>
      <c r="J1244" s="77"/>
      <c r="K1244" s="78" t="s">
        <v>1933</v>
      </c>
      <c r="L1244" s="79"/>
    </row>
    <row r="1245" ht="22.5" customHeight="1">
      <c r="A1245" s="80">
        <v>426.0</v>
      </c>
      <c r="B1245" s="81" t="s">
        <v>2356</v>
      </c>
      <c r="C1245" s="82"/>
      <c r="D1245" s="80">
        <v>8.9175561E9</v>
      </c>
      <c r="E1245" s="81" t="s">
        <v>11</v>
      </c>
      <c r="F1245" s="81" t="s">
        <v>385</v>
      </c>
      <c r="G1245" s="83" t="s">
        <v>1931</v>
      </c>
      <c r="H1245" s="75" t="s">
        <v>1932</v>
      </c>
      <c r="I1245" s="85" t="s">
        <v>1967</v>
      </c>
      <c r="J1245" s="84"/>
      <c r="K1245" s="78" t="s">
        <v>1933</v>
      </c>
      <c r="L1245" s="79"/>
    </row>
    <row r="1246" ht="22.5" customHeight="1">
      <c r="A1246" s="71">
        <v>427.0</v>
      </c>
      <c r="B1246" s="72" t="s">
        <v>2357</v>
      </c>
      <c r="C1246" s="73"/>
      <c r="D1246" s="71">
        <v>9.04063908E9</v>
      </c>
      <c r="E1246" s="72" t="s">
        <v>11</v>
      </c>
      <c r="F1246" s="72" t="s">
        <v>385</v>
      </c>
      <c r="G1246" s="74" t="s">
        <v>1931</v>
      </c>
      <c r="H1246" s="75" t="s">
        <v>1932</v>
      </c>
      <c r="I1246" s="85" t="s">
        <v>1967</v>
      </c>
      <c r="J1246" s="77"/>
      <c r="K1246" s="78" t="s">
        <v>1933</v>
      </c>
      <c r="L1246" s="79"/>
    </row>
    <row r="1247" ht="22.5" customHeight="1">
      <c r="A1247" s="80">
        <v>428.0</v>
      </c>
      <c r="B1247" s="81" t="s">
        <v>2358</v>
      </c>
      <c r="C1247" s="82"/>
      <c r="D1247" s="80">
        <v>9.43737773E9</v>
      </c>
      <c r="E1247" s="81" t="s">
        <v>11</v>
      </c>
      <c r="F1247" s="81" t="s">
        <v>385</v>
      </c>
      <c r="G1247" s="83" t="s">
        <v>1931</v>
      </c>
      <c r="H1247" s="75" t="s">
        <v>1932</v>
      </c>
      <c r="I1247" s="85" t="s">
        <v>1967</v>
      </c>
      <c r="J1247" s="84"/>
      <c r="K1247" s="78" t="s">
        <v>1933</v>
      </c>
      <c r="L1247" s="79"/>
    </row>
    <row r="1248" ht="22.5" customHeight="1">
      <c r="A1248" s="71">
        <v>429.0</v>
      </c>
      <c r="B1248" s="72" t="s">
        <v>2359</v>
      </c>
      <c r="C1248" s="73"/>
      <c r="D1248" s="71">
        <v>7.008791209E9</v>
      </c>
      <c r="E1248" s="72" t="s">
        <v>11</v>
      </c>
      <c r="F1248" s="72" t="s">
        <v>385</v>
      </c>
      <c r="G1248" s="74" t="s">
        <v>1931</v>
      </c>
      <c r="H1248" s="75" t="s">
        <v>1932</v>
      </c>
      <c r="I1248" s="85" t="s">
        <v>1967</v>
      </c>
      <c r="J1248" s="77"/>
      <c r="K1248" s="78" t="s">
        <v>1933</v>
      </c>
      <c r="L1248" s="79"/>
    </row>
    <row r="1249" ht="22.5" customHeight="1">
      <c r="A1249" s="80">
        <v>430.0</v>
      </c>
      <c r="B1249" s="81" t="s">
        <v>2360</v>
      </c>
      <c r="C1249" s="82"/>
      <c r="D1249" s="80">
        <v>9.861336061E9</v>
      </c>
      <c r="E1249" s="81" t="s">
        <v>11</v>
      </c>
      <c r="F1249" s="81" t="s">
        <v>385</v>
      </c>
      <c r="G1249" s="83" t="s">
        <v>1931</v>
      </c>
      <c r="H1249" s="75" t="s">
        <v>1932</v>
      </c>
      <c r="I1249" s="85" t="s">
        <v>1967</v>
      </c>
      <c r="J1249" s="84"/>
      <c r="K1249" s="78" t="s">
        <v>1933</v>
      </c>
      <c r="L1249" s="79"/>
    </row>
    <row r="1250" ht="22.5" customHeight="1">
      <c r="A1250" s="71">
        <v>431.0</v>
      </c>
      <c r="B1250" s="72" t="s">
        <v>2361</v>
      </c>
      <c r="C1250" s="73"/>
      <c r="D1250" s="71">
        <v>7.077940272E9</v>
      </c>
      <c r="E1250" s="72" t="s">
        <v>11</v>
      </c>
      <c r="F1250" s="72" t="s">
        <v>385</v>
      </c>
      <c r="G1250" s="74" t="s">
        <v>1931</v>
      </c>
      <c r="H1250" s="75" t="s">
        <v>1932</v>
      </c>
      <c r="I1250" s="85" t="s">
        <v>1967</v>
      </c>
      <c r="J1250" s="77"/>
      <c r="K1250" s="78" t="s">
        <v>1933</v>
      </c>
      <c r="L1250" s="79"/>
    </row>
    <row r="1251" ht="22.5" customHeight="1">
      <c r="A1251" s="80">
        <v>432.0</v>
      </c>
      <c r="B1251" s="81" t="s">
        <v>2362</v>
      </c>
      <c r="C1251" s="82"/>
      <c r="D1251" s="80">
        <v>8.260493282E9</v>
      </c>
      <c r="E1251" s="81" t="s">
        <v>11</v>
      </c>
      <c r="F1251" s="81" t="s">
        <v>385</v>
      </c>
      <c r="G1251" s="83" t="s">
        <v>1931</v>
      </c>
      <c r="H1251" s="75" t="s">
        <v>1932</v>
      </c>
      <c r="I1251" s="85" t="s">
        <v>1967</v>
      </c>
      <c r="J1251" s="84"/>
      <c r="K1251" s="78" t="s">
        <v>1933</v>
      </c>
      <c r="L1251" s="79"/>
    </row>
    <row r="1252" ht="22.5" customHeight="1">
      <c r="A1252" s="71">
        <v>433.0</v>
      </c>
      <c r="B1252" s="72" t="s">
        <v>2363</v>
      </c>
      <c r="C1252" s="73"/>
      <c r="D1252" s="71">
        <v>6.370444182E9</v>
      </c>
      <c r="E1252" s="72" t="s">
        <v>11</v>
      </c>
      <c r="F1252" s="72" t="s">
        <v>385</v>
      </c>
      <c r="G1252" s="74" t="s">
        <v>1931</v>
      </c>
      <c r="H1252" s="75" t="s">
        <v>1932</v>
      </c>
      <c r="I1252" s="85" t="s">
        <v>1967</v>
      </c>
      <c r="J1252" s="77"/>
      <c r="K1252" s="78" t="s">
        <v>1933</v>
      </c>
      <c r="L1252" s="79"/>
    </row>
    <row r="1253" ht="22.5" customHeight="1">
      <c r="A1253" s="80">
        <v>434.0</v>
      </c>
      <c r="B1253" s="81" t="s">
        <v>2364</v>
      </c>
      <c r="C1253" s="82"/>
      <c r="D1253" s="80">
        <v>9.658980137E9</v>
      </c>
      <c r="E1253" s="81" t="s">
        <v>11</v>
      </c>
      <c r="F1253" s="81" t="s">
        <v>385</v>
      </c>
      <c r="G1253" s="83" t="s">
        <v>1931</v>
      </c>
      <c r="H1253" s="75" t="s">
        <v>1932</v>
      </c>
      <c r="I1253" s="85" t="s">
        <v>1967</v>
      </c>
      <c r="J1253" s="84"/>
      <c r="K1253" s="78" t="s">
        <v>1933</v>
      </c>
      <c r="L1253" s="79"/>
    </row>
    <row r="1254" ht="22.5" customHeight="1">
      <c r="A1254" s="71">
        <v>435.0</v>
      </c>
      <c r="B1254" s="72" t="s">
        <v>2365</v>
      </c>
      <c r="C1254" s="73"/>
      <c r="D1254" s="71">
        <v>9.938187857E9</v>
      </c>
      <c r="E1254" s="72" t="s">
        <v>11</v>
      </c>
      <c r="F1254" s="72" t="s">
        <v>385</v>
      </c>
      <c r="G1254" s="74" t="s">
        <v>1931</v>
      </c>
      <c r="H1254" s="75" t="s">
        <v>1932</v>
      </c>
      <c r="I1254" s="85" t="s">
        <v>1967</v>
      </c>
      <c r="J1254" s="77"/>
      <c r="K1254" s="78" t="s">
        <v>1933</v>
      </c>
      <c r="L1254" s="79"/>
    </row>
    <row r="1255" ht="22.5" customHeight="1">
      <c r="A1255" s="80">
        <v>436.0</v>
      </c>
      <c r="B1255" s="81" t="s">
        <v>2366</v>
      </c>
      <c r="C1255" s="82"/>
      <c r="D1255" s="80">
        <v>9.439376384E9</v>
      </c>
      <c r="E1255" s="81" t="s">
        <v>11</v>
      </c>
      <c r="F1255" s="81" t="s">
        <v>385</v>
      </c>
      <c r="G1255" s="83" t="s">
        <v>1931</v>
      </c>
      <c r="H1255" s="75" t="s">
        <v>1932</v>
      </c>
      <c r="I1255" s="85" t="s">
        <v>1967</v>
      </c>
      <c r="J1255" s="84"/>
      <c r="K1255" s="78" t="s">
        <v>1933</v>
      </c>
      <c r="L1255" s="79"/>
    </row>
    <row r="1256" ht="22.5" customHeight="1">
      <c r="A1256" s="71">
        <v>437.0</v>
      </c>
      <c r="B1256" s="72" t="s">
        <v>2367</v>
      </c>
      <c r="C1256" s="73"/>
      <c r="D1256" s="71">
        <v>9.078356077E9</v>
      </c>
      <c r="E1256" s="72" t="s">
        <v>11</v>
      </c>
      <c r="F1256" s="72" t="s">
        <v>385</v>
      </c>
      <c r="G1256" s="74" t="s">
        <v>1931</v>
      </c>
      <c r="H1256" s="75" t="s">
        <v>1932</v>
      </c>
      <c r="I1256" s="85" t="s">
        <v>1967</v>
      </c>
      <c r="J1256" s="77"/>
      <c r="K1256" s="78" t="s">
        <v>1933</v>
      </c>
      <c r="L1256" s="79"/>
    </row>
    <row r="1257" ht="22.5" customHeight="1">
      <c r="A1257" s="80">
        <v>438.0</v>
      </c>
      <c r="B1257" s="81" t="s">
        <v>2368</v>
      </c>
      <c r="C1257" s="82"/>
      <c r="D1257" s="80">
        <v>9.439433197E9</v>
      </c>
      <c r="E1257" s="81" t="s">
        <v>11</v>
      </c>
      <c r="F1257" s="81" t="s">
        <v>385</v>
      </c>
      <c r="G1257" s="83" t="s">
        <v>1931</v>
      </c>
      <c r="H1257" s="75" t="s">
        <v>1932</v>
      </c>
      <c r="I1257" s="85" t="s">
        <v>1967</v>
      </c>
      <c r="J1257" s="84"/>
      <c r="K1257" s="78" t="s">
        <v>1933</v>
      </c>
      <c r="L1257" s="79"/>
    </row>
    <row r="1258" ht="22.5" customHeight="1">
      <c r="A1258" s="71">
        <v>439.0</v>
      </c>
      <c r="B1258" s="72" t="s">
        <v>2369</v>
      </c>
      <c r="C1258" s="73"/>
      <c r="D1258" s="71">
        <v>9.348834396E9</v>
      </c>
      <c r="E1258" s="72" t="s">
        <v>11</v>
      </c>
      <c r="F1258" s="72" t="s">
        <v>385</v>
      </c>
      <c r="G1258" s="74" t="s">
        <v>1931</v>
      </c>
      <c r="H1258" s="75" t="s">
        <v>1932</v>
      </c>
      <c r="I1258" s="85" t="s">
        <v>1967</v>
      </c>
      <c r="J1258" s="77"/>
      <c r="K1258" s="78" t="s">
        <v>1933</v>
      </c>
      <c r="L1258" s="79"/>
    </row>
    <row r="1259" ht="22.5" customHeight="1">
      <c r="A1259" s="80">
        <v>440.0</v>
      </c>
      <c r="B1259" s="81" t="s">
        <v>2370</v>
      </c>
      <c r="C1259" s="82"/>
      <c r="D1259" s="80">
        <v>8.582999066E9</v>
      </c>
      <c r="E1259" s="81" t="s">
        <v>11</v>
      </c>
      <c r="F1259" s="81" t="s">
        <v>385</v>
      </c>
      <c r="G1259" s="83" t="s">
        <v>1931</v>
      </c>
      <c r="H1259" s="75" t="s">
        <v>1932</v>
      </c>
      <c r="I1259" s="85" t="s">
        <v>1967</v>
      </c>
      <c r="J1259" s="84"/>
      <c r="K1259" s="78" t="s">
        <v>1933</v>
      </c>
      <c r="L1259" s="79"/>
    </row>
    <row r="1260" ht="22.5" customHeight="1">
      <c r="A1260" s="71">
        <v>441.0</v>
      </c>
      <c r="B1260" s="72" t="s">
        <v>2371</v>
      </c>
      <c r="C1260" s="73"/>
      <c r="D1260" s="71">
        <v>9.938561206E9</v>
      </c>
      <c r="E1260" s="72" t="s">
        <v>11</v>
      </c>
      <c r="F1260" s="72" t="s">
        <v>385</v>
      </c>
      <c r="G1260" s="74" t="s">
        <v>1931</v>
      </c>
      <c r="H1260" s="75" t="s">
        <v>1932</v>
      </c>
      <c r="I1260" s="85" t="s">
        <v>1967</v>
      </c>
      <c r="J1260" s="77"/>
      <c r="K1260" s="78" t="s">
        <v>1933</v>
      </c>
      <c r="L1260" s="79"/>
    </row>
    <row r="1261" ht="22.5" customHeight="1">
      <c r="A1261" s="80">
        <v>442.0</v>
      </c>
      <c r="B1261" s="81" t="s">
        <v>2372</v>
      </c>
      <c r="C1261" s="82"/>
      <c r="D1261" s="80">
        <v>9.93703438E9</v>
      </c>
      <c r="E1261" s="81" t="s">
        <v>11</v>
      </c>
      <c r="F1261" s="81" t="s">
        <v>385</v>
      </c>
      <c r="G1261" s="83" t="s">
        <v>1931</v>
      </c>
      <c r="H1261" s="75" t="s">
        <v>1932</v>
      </c>
      <c r="I1261" s="85" t="s">
        <v>1967</v>
      </c>
      <c r="J1261" s="84"/>
      <c r="K1261" s="78" t="s">
        <v>1933</v>
      </c>
      <c r="L1261" s="79"/>
    </row>
    <row r="1262" ht="22.5" customHeight="1">
      <c r="A1262" s="71">
        <v>443.0</v>
      </c>
      <c r="B1262" s="72" t="s">
        <v>2373</v>
      </c>
      <c r="C1262" s="73"/>
      <c r="D1262" s="71">
        <v>8.7898316E9</v>
      </c>
      <c r="E1262" s="72" t="s">
        <v>11</v>
      </c>
      <c r="F1262" s="72" t="s">
        <v>385</v>
      </c>
      <c r="G1262" s="74" t="s">
        <v>1931</v>
      </c>
      <c r="H1262" s="75" t="s">
        <v>1932</v>
      </c>
      <c r="I1262" s="85" t="s">
        <v>1967</v>
      </c>
      <c r="J1262" s="77"/>
      <c r="K1262" s="78" t="s">
        <v>1933</v>
      </c>
      <c r="L1262" s="79"/>
    </row>
    <row r="1263" ht="22.5" customHeight="1">
      <c r="A1263" s="80">
        <v>444.0</v>
      </c>
      <c r="B1263" s="81" t="s">
        <v>2374</v>
      </c>
      <c r="C1263" s="82"/>
      <c r="D1263" s="80">
        <v>8.455888158E9</v>
      </c>
      <c r="E1263" s="81" t="s">
        <v>11</v>
      </c>
      <c r="F1263" s="81" t="s">
        <v>385</v>
      </c>
      <c r="G1263" s="83" t="s">
        <v>1931</v>
      </c>
      <c r="H1263" s="75" t="s">
        <v>1932</v>
      </c>
      <c r="I1263" s="85" t="s">
        <v>1967</v>
      </c>
      <c r="J1263" s="84"/>
      <c r="K1263" s="78" t="s">
        <v>1933</v>
      </c>
      <c r="L1263" s="79"/>
    </row>
    <row r="1264" ht="22.5" customHeight="1">
      <c r="A1264" s="71">
        <v>445.0</v>
      </c>
      <c r="B1264" s="72" t="s">
        <v>2375</v>
      </c>
      <c r="C1264" s="73"/>
      <c r="D1264" s="71">
        <v>9.691331009E9</v>
      </c>
      <c r="E1264" s="72" t="s">
        <v>11</v>
      </c>
      <c r="F1264" s="72" t="s">
        <v>385</v>
      </c>
      <c r="G1264" s="74" t="s">
        <v>1931</v>
      </c>
      <c r="H1264" s="75" t="s">
        <v>1932</v>
      </c>
      <c r="I1264" s="85" t="s">
        <v>1967</v>
      </c>
      <c r="J1264" s="77"/>
      <c r="K1264" s="78" t="s">
        <v>1933</v>
      </c>
      <c r="L1264" s="79"/>
    </row>
    <row r="1265" ht="22.5" customHeight="1">
      <c r="A1265" s="80">
        <v>446.0</v>
      </c>
      <c r="B1265" s="81" t="s">
        <v>2376</v>
      </c>
      <c r="C1265" s="82"/>
      <c r="D1265" s="80">
        <v>7.978169772E9</v>
      </c>
      <c r="E1265" s="81" t="s">
        <v>11</v>
      </c>
      <c r="F1265" s="81" t="s">
        <v>385</v>
      </c>
      <c r="G1265" s="83" t="s">
        <v>1931</v>
      </c>
      <c r="H1265" s="75" t="s">
        <v>1932</v>
      </c>
      <c r="I1265" s="85" t="s">
        <v>1967</v>
      </c>
      <c r="J1265" s="84"/>
      <c r="K1265" s="78" t="s">
        <v>1933</v>
      </c>
      <c r="L1265" s="79"/>
    </row>
    <row r="1266" ht="22.5" customHeight="1">
      <c r="A1266" s="71">
        <v>447.0</v>
      </c>
      <c r="B1266" s="72" t="s">
        <v>2377</v>
      </c>
      <c r="C1266" s="73"/>
      <c r="D1266" s="71">
        <v>9.437157958E9</v>
      </c>
      <c r="E1266" s="72" t="s">
        <v>11</v>
      </c>
      <c r="F1266" s="72" t="s">
        <v>385</v>
      </c>
      <c r="G1266" s="74" t="s">
        <v>1931</v>
      </c>
      <c r="H1266" s="75" t="s">
        <v>1932</v>
      </c>
      <c r="I1266" s="85" t="s">
        <v>1967</v>
      </c>
      <c r="J1266" s="77"/>
      <c r="K1266" s="78" t="s">
        <v>1933</v>
      </c>
      <c r="L1266" s="79"/>
    </row>
    <row r="1267" ht="22.5" customHeight="1">
      <c r="A1267" s="80">
        <v>448.0</v>
      </c>
      <c r="B1267" s="81" t="s">
        <v>2378</v>
      </c>
      <c r="C1267" s="82"/>
      <c r="D1267" s="80">
        <v>7.978934994E9</v>
      </c>
      <c r="E1267" s="81" t="s">
        <v>11</v>
      </c>
      <c r="F1267" s="81" t="s">
        <v>385</v>
      </c>
      <c r="G1267" s="83" t="s">
        <v>1931</v>
      </c>
      <c r="H1267" s="75" t="s">
        <v>1932</v>
      </c>
      <c r="I1267" s="85" t="s">
        <v>1967</v>
      </c>
      <c r="J1267" s="84"/>
      <c r="K1267" s="78" t="s">
        <v>1933</v>
      </c>
      <c r="L1267" s="79"/>
    </row>
    <row r="1268" ht="22.5" customHeight="1">
      <c r="A1268" s="71">
        <v>449.0</v>
      </c>
      <c r="B1268" s="72" t="s">
        <v>2379</v>
      </c>
      <c r="C1268" s="73"/>
      <c r="D1268" s="71">
        <v>8.260495787E9</v>
      </c>
      <c r="E1268" s="72" t="s">
        <v>11</v>
      </c>
      <c r="F1268" s="72" t="s">
        <v>385</v>
      </c>
      <c r="G1268" s="74" t="s">
        <v>1931</v>
      </c>
      <c r="H1268" s="75" t="s">
        <v>1932</v>
      </c>
      <c r="I1268" s="85" t="s">
        <v>1967</v>
      </c>
      <c r="J1268" s="77"/>
      <c r="K1268" s="78" t="s">
        <v>1933</v>
      </c>
      <c r="L1268" s="79"/>
    </row>
    <row r="1269" ht="22.5" customHeight="1">
      <c r="A1269" s="80">
        <v>450.0</v>
      </c>
      <c r="B1269" s="81" t="s">
        <v>2380</v>
      </c>
      <c r="C1269" s="82"/>
      <c r="D1269" s="80">
        <v>9.861710241E9</v>
      </c>
      <c r="E1269" s="81" t="s">
        <v>11</v>
      </c>
      <c r="F1269" s="81" t="s">
        <v>385</v>
      </c>
      <c r="G1269" s="83" t="s">
        <v>1931</v>
      </c>
      <c r="H1269" s="75" t="s">
        <v>1932</v>
      </c>
      <c r="I1269" s="85" t="s">
        <v>1967</v>
      </c>
      <c r="J1269" s="84"/>
      <c r="K1269" s="78" t="s">
        <v>1933</v>
      </c>
      <c r="L1269" s="79"/>
    </row>
    <row r="1270" ht="22.5" customHeight="1">
      <c r="A1270" s="71">
        <v>451.0</v>
      </c>
      <c r="B1270" s="72" t="s">
        <v>2381</v>
      </c>
      <c r="C1270" s="73"/>
      <c r="D1270" s="71">
        <v>7.84883913E9</v>
      </c>
      <c r="E1270" s="72" t="s">
        <v>11</v>
      </c>
      <c r="F1270" s="72" t="s">
        <v>385</v>
      </c>
      <c r="G1270" s="74" t="s">
        <v>1931</v>
      </c>
      <c r="H1270" s="75" t="s">
        <v>1932</v>
      </c>
      <c r="I1270" s="85" t="s">
        <v>1967</v>
      </c>
      <c r="J1270" s="77"/>
      <c r="K1270" s="78" t="s">
        <v>1933</v>
      </c>
      <c r="L1270" s="79"/>
    </row>
    <row r="1271" ht="22.5" customHeight="1">
      <c r="A1271" s="80">
        <v>452.0</v>
      </c>
      <c r="B1271" s="81" t="s">
        <v>2382</v>
      </c>
      <c r="C1271" s="82"/>
      <c r="D1271" s="80">
        <v>9.437164074E9</v>
      </c>
      <c r="E1271" s="81" t="s">
        <v>11</v>
      </c>
      <c r="F1271" s="81" t="s">
        <v>385</v>
      </c>
      <c r="G1271" s="83" t="s">
        <v>1931</v>
      </c>
      <c r="H1271" s="75" t="s">
        <v>1932</v>
      </c>
      <c r="I1271" s="85" t="s">
        <v>1967</v>
      </c>
      <c r="J1271" s="84"/>
      <c r="K1271" s="78" t="s">
        <v>1933</v>
      </c>
      <c r="L1271" s="79"/>
    </row>
    <row r="1272" ht="22.5" customHeight="1">
      <c r="A1272" s="71">
        <v>453.0</v>
      </c>
      <c r="B1272" s="72" t="s">
        <v>2383</v>
      </c>
      <c r="C1272" s="73"/>
      <c r="D1272" s="71">
        <v>8.908904194E9</v>
      </c>
      <c r="E1272" s="72" t="s">
        <v>11</v>
      </c>
      <c r="F1272" s="72" t="s">
        <v>385</v>
      </c>
      <c r="G1272" s="74" t="s">
        <v>1931</v>
      </c>
      <c r="H1272" s="75" t="s">
        <v>1932</v>
      </c>
      <c r="I1272" s="85" t="s">
        <v>1967</v>
      </c>
      <c r="J1272" s="77"/>
      <c r="K1272" s="78" t="s">
        <v>1933</v>
      </c>
      <c r="L1272" s="79"/>
    </row>
    <row r="1273" ht="22.5" customHeight="1">
      <c r="A1273" s="80">
        <v>454.0</v>
      </c>
      <c r="B1273" s="81" t="s">
        <v>2384</v>
      </c>
      <c r="C1273" s="82"/>
      <c r="D1273" s="80">
        <v>9.437807189E9</v>
      </c>
      <c r="E1273" s="81" t="s">
        <v>11</v>
      </c>
      <c r="F1273" s="81" t="s">
        <v>385</v>
      </c>
      <c r="G1273" s="83" t="s">
        <v>1931</v>
      </c>
      <c r="H1273" s="75" t="s">
        <v>1932</v>
      </c>
      <c r="I1273" s="85" t="s">
        <v>1967</v>
      </c>
      <c r="J1273" s="84"/>
      <c r="K1273" s="78" t="s">
        <v>1933</v>
      </c>
      <c r="L1273" s="79"/>
    </row>
    <row r="1274" ht="22.5" customHeight="1">
      <c r="A1274" s="71">
        <v>455.0</v>
      </c>
      <c r="B1274" s="72" t="s">
        <v>2385</v>
      </c>
      <c r="C1274" s="73"/>
      <c r="D1274" s="71">
        <v>8.908860545E9</v>
      </c>
      <c r="E1274" s="72" t="s">
        <v>11</v>
      </c>
      <c r="F1274" s="72" t="s">
        <v>385</v>
      </c>
      <c r="G1274" s="74" t="s">
        <v>1931</v>
      </c>
      <c r="H1274" s="75" t="s">
        <v>1932</v>
      </c>
      <c r="I1274" s="85" t="s">
        <v>1967</v>
      </c>
      <c r="J1274" s="77"/>
      <c r="K1274" s="78" t="s">
        <v>1933</v>
      </c>
      <c r="L1274" s="79"/>
    </row>
    <row r="1275" ht="22.5" customHeight="1">
      <c r="A1275" s="80">
        <v>456.0</v>
      </c>
      <c r="B1275" s="81" t="s">
        <v>2386</v>
      </c>
      <c r="C1275" s="82"/>
      <c r="D1275" s="80">
        <v>8.917621316E9</v>
      </c>
      <c r="E1275" s="81" t="s">
        <v>11</v>
      </c>
      <c r="F1275" s="81" t="s">
        <v>385</v>
      </c>
      <c r="G1275" s="83" t="s">
        <v>1931</v>
      </c>
      <c r="H1275" s="75" t="s">
        <v>1932</v>
      </c>
      <c r="I1275" s="85" t="s">
        <v>1967</v>
      </c>
      <c r="J1275" s="84"/>
      <c r="K1275" s="78" t="s">
        <v>1933</v>
      </c>
      <c r="L1275" s="79"/>
    </row>
    <row r="1276" ht="22.5" customHeight="1">
      <c r="A1276" s="71">
        <v>457.0</v>
      </c>
      <c r="B1276" s="72" t="s">
        <v>2387</v>
      </c>
      <c r="C1276" s="73"/>
      <c r="D1276" s="71">
        <v>8.334966601E9</v>
      </c>
      <c r="E1276" s="72" t="s">
        <v>11</v>
      </c>
      <c r="F1276" s="72" t="s">
        <v>385</v>
      </c>
      <c r="G1276" s="74" t="s">
        <v>1931</v>
      </c>
      <c r="H1276" s="75" t="s">
        <v>1932</v>
      </c>
      <c r="I1276" s="85" t="s">
        <v>1967</v>
      </c>
      <c r="J1276" s="77"/>
      <c r="K1276" s="78" t="s">
        <v>1933</v>
      </c>
      <c r="L1276" s="79"/>
    </row>
    <row r="1277" ht="22.5" customHeight="1">
      <c r="A1277" s="80">
        <v>458.0</v>
      </c>
      <c r="B1277" s="81" t="s">
        <v>2388</v>
      </c>
      <c r="C1277" s="82"/>
      <c r="D1277" s="80">
        <v>9.437458159E9</v>
      </c>
      <c r="E1277" s="81" t="s">
        <v>11</v>
      </c>
      <c r="F1277" s="81" t="s">
        <v>385</v>
      </c>
      <c r="G1277" s="83" t="s">
        <v>1931</v>
      </c>
      <c r="H1277" s="75" t="s">
        <v>1932</v>
      </c>
      <c r="I1277" s="85" t="s">
        <v>1967</v>
      </c>
      <c r="J1277" s="84"/>
      <c r="K1277" s="78" t="s">
        <v>1933</v>
      </c>
      <c r="L1277" s="79"/>
    </row>
    <row r="1278" ht="22.5" customHeight="1">
      <c r="A1278" s="71">
        <v>459.0</v>
      </c>
      <c r="B1278" s="72" t="s">
        <v>2389</v>
      </c>
      <c r="C1278" s="73"/>
      <c r="D1278" s="71">
        <v>9.583002449E9</v>
      </c>
      <c r="E1278" s="72" t="s">
        <v>11</v>
      </c>
      <c r="F1278" s="72" t="s">
        <v>385</v>
      </c>
      <c r="G1278" s="74" t="s">
        <v>1931</v>
      </c>
      <c r="H1278" s="75" t="s">
        <v>1932</v>
      </c>
      <c r="I1278" s="85" t="s">
        <v>1967</v>
      </c>
      <c r="J1278" s="77"/>
      <c r="K1278" s="78" t="s">
        <v>1933</v>
      </c>
      <c r="L1278" s="79"/>
    </row>
    <row r="1279" ht="22.5" customHeight="1">
      <c r="A1279" s="80">
        <v>460.0</v>
      </c>
      <c r="B1279" s="81" t="s">
        <v>2390</v>
      </c>
      <c r="C1279" s="82"/>
      <c r="D1279" s="80">
        <v>9.938140633E9</v>
      </c>
      <c r="E1279" s="81" t="s">
        <v>11</v>
      </c>
      <c r="F1279" s="81" t="s">
        <v>385</v>
      </c>
      <c r="G1279" s="83" t="s">
        <v>1931</v>
      </c>
      <c r="H1279" s="75" t="s">
        <v>1932</v>
      </c>
      <c r="I1279" s="85" t="s">
        <v>1967</v>
      </c>
      <c r="J1279" s="84"/>
      <c r="K1279" s="78" t="s">
        <v>1933</v>
      </c>
      <c r="L1279" s="79"/>
    </row>
    <row r="1280" ht="22.5" customHeight="1">
      <c r="A1280" s="71">
        <v>461.0</v>
      </c>
      <c r="B1280" s="72" t="s">
        <v>2391</v>
      </c>
      <c r="C1280" s="73"/>
      <c r="D1280" s="71">
        <v>9.938066894E9</v>
      </c>
      <c r="E1280" s="72" t="s">
        <v>11</v>
      </c>
      <c r="F1280" s="72" t="s">
        <v>385</v>
      </c>
      <c r="G1280" s="74" t="s">
        <v>1931</v>
      </c>
      <c r="H1280" s="75" t="s">
        <v>1932</v>
      </c>
      <c r="I1280" s="85" t="s">
        <v>1967</v>
      </c>
      <c r="J1280" s="77"/>
      <c r="K1280" s="78" t="s">
        <v>1933</v>
      </c>
      <c r="L1280" s="79"/>
    </row>
    <row r="1281" ht="22.5" customHeight="1">
      <c r="A1281" s="80">
        <v>462.0</v>
      </c>
      <c r="B1281" s="81" t="s">
        <v>2392</v>
      </c>
      <c r="C1281" s="82"/>
      <c r="D1281" s="80">
        <v>7.848888427E9</v>
      </c>
      <c r="E1281" s="81" t="s">
        <v>11</v>
      </c>
      <c r="F1281" s="81" t="s">
        <v>385</v>
      </c>
      <c r="G1281" s="83" t="s">
        <v>1931</v>
      </c>
      <c r="H1281" s="75" t="s">
        <v>1932</v>
      </c>
      <c r="I1281" s="85" t="s">
        <v>1967</v>
      </c>
      <c r="J1281" s="84"/>
      <c r="K1281" s="78" t="s">
        <v>1933</v>
      </c>
      <c r="L1281" s="79"/>
    </row>
    <row r="1282" ht="22.5" customHeight="1">
      <c r="A1282" s="71">
        <v>463.0</v>
      </c>
      <c r="B1282" s="72" t="s">
        <v>2393</v>
      </c>
      <c r="C1282" s="73"/>
      <c r="D1282" s="71">
        <v>8.249599803E9</v>
      </c>
      <c r="E1282" s="72" t="s">
        <v>11</v>
      </c>
      <c r="F1282" s="72" t="s">
        <v>385</v>
      </c>
      <c r="G1282" s="74" t="s">
        <v>1931</v>
      </c>
      <c r="H1282" s="75" t="s">
        <v>1932</v>
      </c>
      <c r="I1282" s="85" t="s">
        <v>1967</v>
      </c>
      <c r="J1282" s="77"/>
      <c r="K1282" s="78" t="s">
        <v>1933</v>
      </c>
      <c r="L1282" s="79"/>
    </row>
    <row r="1283" ht="22.5" customHeight="1">
      <c r="A1283" s="80">
        <v>464.0</v>
      </c>
      <c r="B1283" s="81" t="s">
        <v>2222</v>
      </c>
      <c r="C1283" s="82"/>
      <c r="D1283" s="80">
        <v>9.692787694E9</v>
      </c>
      <c r="E1283" s="81" t="s">
        <v>11</v>
      </c>
      <c r="F1283" s="81" t="s">
        <v>385</v>
      </c>
      <c r="G1283" s="83" t="s">
        <v>1931</v>
      </c>
      <c r="H1283" s="75" t="s">
        <v>1932</v>
      </c>
      <c r="I1283" s="85" t="s">
        <v>1967</v>
      </c>
      <c r="J1283" s="84"/>
      <c r="K1283" s="78" t="s">
        <v>1933</v>
      </c>
      <c r="L1283" s="79"/>
    </row>
    <row r="1284" ht="22.5" customHeight="1">
      <c r="A1284" s="71">
        <v>465.0</v>
      </c>
      <c r="B1284" s="72" t="s">
        <v>2394</v>
      </c>
      <c r="C1284" s="73"/>
      <c r="D1284" s="71">
        <v>6.370729795E9</v>
      </c>
      <c r="E1284" s="72" t="s">
        <v>11</v>
      </c>
      <c r="F1284" s="72" t="s">
        <v>385</v>
      </c>
      <c r="G1284" s="74" t="s">
        <v>1931</v>
      </c>
      <c r="H1284" s="75" t="s">
        <v>1932</v>
      </c>
      <c r="I1284" s="85" t="s">
        <v>1967</v>
      </c>
      <c r="J1284" s="77"/>
      <c r="K1284" s="78" t="s">
        <v>1933</v>
      </c>
      <c r="L1284" s="79"/>
    </row>
    <row r="1285" ht="22.5" customHeight="1">
      <c r="A1285" s="80">
        <v>466.0</v>
      </c>
      <c r="B1285" s="81" t="s">
        <v>2395</v>
      </c>
      <c r="C1285" s="82"/>
      <c r="D1285" s="80">
        <v>9.861806311E9</v>
      </c>
      <c r="E1285" s="81" t="s">
        <v>11</v>
      </c>
      <c r="F1285" s="81" t="s">
        <v>385</v>
      </c>
      <c r="G1285" s="83" t="s">
        <v>1931</v>
      </c>
      <c r="H1285" s="75" t="s">
        <v>1932</v>
      </c>
      <c r="I1285" s="85" t="s">
        <v>1967</v>
      </c>
      <c r="J1285" s="84"/>
      <c r="K1285" s="78" t="s">
        <v>1933</v>
      </c>
      <c r="L1285" s="79"/>
    </row>
    <row r="1286" ht="22.5" customHeight="1">
      <c r="A1286" s="71">
        <v>467.0</v>
      </c>
      <c r="B1286" s="72" t="s">
        <v>2396</v>
      </c>
      <c r="C1286" s="73"/>
      <c r="D1286" s="71">
        <v>8.249963485E9</v>
      </c>
      <c r="E1286" s="72" t="s">
        <v>11</v>
      </c>
      <c r="F1286" s="72" t="s">
        <v>385</v>
      </c>
      <c r="G1286" s="74" t="s">
        <v>1931</v>
      </c>
      <c r="H1286" s="75" t="s">
        <v>1932</v>
      </c>
      <c r="I1286" s="85" t="s">
        <v>1967</v>
      </c>
      <c r="J1286" s="77"/>
      <c r="K1286" s="78" t="s">
        <v>1933</v>
      </c>
      <c r="L1286" s="79"/>
    </row>
    <row r="1287" ht="22.5" customHeight="1">
      <c r="A1287" s="80">
        <v>468.0</v>
      </c>
      <c r="B1287" s="81" t="s">
        <v>2397</v>
      </c>
      <c r="C1287" s="82"/>
      <c r="D1287" s="80">
        <v>9.93775483E9</v>
      </c>
      <c r="E1287" s="81" t="s">
        <v>11</v>
      </c>
      <c r="F1287" s="81" t="s">
        <v>385</v>
      </c>
      <c r="G1287" s="83" t="s">
        <v>1931</v>
      </c>
      <c r="H1287" s="75" t="s">
        <v>1932</v>
      </c>
      <c r="I1287" s="85" t="s">
        <v>1967</v>
      </c>
      <c r="J1287" s="84"/>
      <c r="K1287" s="78" t="s">
        <v>1933</v>
      </c>
      <c r="L1287" s="79"/>
    </row>
    <row r="1288" ht="22.5" customHeight="1">
      <c r="A1288" s="71">
        <v>469.0</v>
      </c>
      <c r="B1288" s="72" t="s">
        <v>2398</v>
      </c>
      <c r="C1288" s="73"/>
      <c r="D1288" s="71">
        <v>9.668900284E9</v>
      </c>
      <c r="E1288" s="72" t="s">
        <v>11</v>
      </c>
      <c r="F1288" s="72" t="s">
        <v>385</v>
      </c>
      <c r="G1288" s="74" t="s">
        <v>1931</v>
      </c>
      <c r="H1288" s="75" t="s">
        <v>1932</v>
      </c>
      <c r="I1288" s="85" t="s">
        <v>1967</v>
      </c>
      <c r="J1288" s="77"/>
      <c r="K1288" s="78" t="s">
        <v>1933</v>
      </c>
      <c r="L1288" s="79"/>
    </row>
    <row r="1289" ht="22.5" customHeight="1">
      <c r="A1289" s="80">
        <v>470.0</v>
      </c>
      <c r="B1289" s="81" t="s">
        <v>2399</v>
      </c>
      <c r="C1289" s="82"/>
      <c r="D1289" s="80">
        <v>8.260900527E9</v>
      </c>
      <c r="E1289" s="81" t="s">
        <v>11</v>
      </c>
      <c r="F1289" s="81" t="s">
        <v>385</v>
      </c>
      <c r="G1289" s="83" t="s">
        <v>1931</v>
      </c>
      <c r="H1289" s="75" t="s">
        <v>1932</v>
      </c>
      <c r="I1289" s="85" t="s">
        <v>1967</v>
      </c>
      <c r="J1289" s="84"/>
      <c r="K1289" s="78" t="s">
        <v>1933</v>
      </c>
      <c r="L1289" s="79"/>
    </row>
    <row r="1290" ht="22.5" customHeight="1">
      <c r="A1290" s="71">
        <v>471.0</v>
      </c>
      <c r="B1290" s="72" t="s">
        <v>2400</v>
      </c>
      <c r="C1290" s="73"/>
      <c r="D1290" s="71">
        <v>9.437583128E9</v>
      </c>
      <c r="E1290" s="72" t="s">
        <v>11</v>
      </c>
      <c r="F1290" s="72" t="s">
        <v>385</v>
      </c>
      <c r="G1290" s="74" t="s">
        <v>1931</v>
      </c>
      <c r="H1290" s="75" t="s">
        <v>1932</v>
      </c>
      <c r="I1290" s="85" t="s">
        <v>1967</v>
      </c>
      <c r="J1290" s="77"/>
      <c r="K1290" s="78" t="s">
        <v>1933</v>
      </c>
      <c r="L1290" s="79"/>
    </row>
    <row r="1291" ht="22.5" customHeight="1">
      <c r="A1291" s="80">
        <v>472.0</v>
      </c>
      <c r="B1291" s="81" t="s">
        <v>2401</v>
      </c>
      <c r="C1291" s="82"/>
      <c r="D1291" s="80">
        <v>8.895504833E9</v>
      </c>
      <c r="E1291" s="81" t="s">
        <v>11</v>
      </c>
      <c r="F1291" s="81" t="s">
        <v>385</v>
      </c>
      <c r="G1291" s="83" t="s">
        <v>1931</v>
      </c>
      <c r="H1291" s="75" t="s">
        <v>1932</v>
      </c>
      <c r="I1291" s="85" t="s">
        <v>1967</v>
      </c>
      <c r="J1291" s="84"/>
      <c r="K1291" s="78" t="s">
        <v>1933</v>
      </c>
      <c r="L1291" s="79"/>
    </row>
    <row r="1292" ht="22.5" customHeight="1">
      <c r="A1292" s="71">
        <v>473.0</v>
      </c>
      <c r="B1292" s="72" t="s">
        <v>2402</v>
      </c>
      <c r="C1292" s="73"/>
      <c r="D1292" s="71">
        <v>9.903243764E9</v>
      </c>
      <c r="E1292" s="72" t="s">
        <v>11</v>
      </c>
      <c r="F1292" s="72" t="s">
        <v>385</v>
      </c>
      <c r="G1292" s="74" t="s">
        <v>1931</v>
      </c>
      <c r="H1292" s="75" t="s">
        <v>1932</v>
      </c>
      <c r="I1292" s="85" t="s">
        <v>1967</v>
      </c>
      <c r="J1292" s="77"/>
      <c r="K1292" s="78" t="s">
        <v>1933</v>
      </c>
      <c r="L1292" s="79"/>
    </row>
    <row r="1293" ht="22.5" customHeight="1">
      <c r="A1293" s="80">
        <v>474.0</v>
      </c>
      <c r="B1293" s="81" t="s">
        <v>2403</v>
      </c>
      <c r="C1293" s="82"/>
      <c r="D1293" s="80">
        <v>8.144436356E9</v>
      </c>
      <c r="E1293" s="81" t="s">
        <v>11</v>
      </c>
      <c r="F1293" s="81" t="s">
        <v>385</v>
      </c>
      <c r="G1293" s="83" t="s">
        <v>1931</v>
      </c>
      <c r="H1293" s="75" t="s">
        <v>1932</v>
      </c>
      <c r="I1293" s="85" t="s">
        <v>1967</v>
      </c>
      <c r="J1293" s="84"/>
      <c r="K1293" s="78" t="s">
        <v>1933</v>
      </c>
      <c r="L1293" s="79"/>
    </row>
    <row r="1294" ht="22.5" customHeight="1">
      <c r="A1294" s="71">
        <v>475.0</v>
      </c>
      <c r="B1294" s="72" t="s">
        <v>2404</v>
      </c>
      <c r="C1294" s="73"/>
      <c r="D1294" s="71">
        <v>8.280200797E9</v>
      </c>
      <c r="E1294" s="72" t="s">
        <v>11</v>
      </c>
      <c r="F1294" s="72" t="s">
        <v>385</v>
      </c>
      <c r="G1294" s="74" t="s">
        <v>1931</v>
      </c>
      <c r="H1294" s="75" t="s">
        <v>1932</v>
      </c>
      <c r="I1294" s="85" t="s">
        <v>1967</v>
      </c>
      <c r="J1294" s="77"/>
      <c r="K1294" s="78" t="s">
        <v>1933</v>
      </c>
      <c r="L1294" s="79"/>
    </row>
    <row r="1295" ht="22.5" customHeight="1">
      <c r="A1295" s="80">
        <v>476.0</v>
      </c>
      <c r="B1295" s="81" t="s">
        <v>2405</v>
      </c>
      <c r="C1295" s="82"/>
      <c r="D1295" s="80">
        <v>9.437145916E9</v>
      </c>
      <c r="E1295" s="81" t="s">
        <v>11</v>
      </c>
      <c r="F1295" s="81" t="s">
        <v>385</v>
      </c>
      <c r="G1295" s="83" t="s">
        <v>1931</v>
      </c>
      <c r="H1295" s="75" t="s">
        <v>1932</v>
      </c>
      <c r="I1295" s="85" t="s">
        <v>1967</v>
      </c>
      <c r="J1295" s="84"/>
      <c r="K1295" s="78" t="s">
        <v>1933</v>
      </c>
      <c r="L1295" s="79"/>
    </row>
    <row r="1296" ht="22.5" customHeight="1">
      <c r="A1296" s="71">
        <v>477.0</v>
      </c>
      <c r="B1296" s="72" t="s">
        <v>2406</v>
      </c>
      <c r="C1296" s="73"/>
      <c r="D1296" s="71">
        <v>9.348620259E9</v>
      </c>
      <c r="E1296" s="72" t="s">
        <v>11</v>
      </c>
      <c r="F1296" s="72" t="s">
        <v>385</v>
      </c>
      <c r="G1296" s="74" t="s">
        <v>1931</v>
      </c>
      <c r="H1296" s="75" t="s">
        <v>1932</v>
      </c>
      <c r="I1296" s="85" t="s">
        <v>1967</v>
      </c>
      <c r="J1296" s="77"/>
      <c r="K1296" s="78" t="s">
        <v>1933</v>
      </c>
      <c r="L1296" s="79"/>
    </row>
    <row r="1297" ht="22.5" customHeight="1">
      <c r="A1297" s="80">
        <v>478.0</v>
      </c>
      <c r="B1297" s="81" t="s">
        <v>2407</v>
      </c>
      <c r="C1297" s="82"/>
      <c r="D1297" s="80">
        <v>7.008738631E9</v>
      </c>
      <c r="E1297" s="81" t="s">
        <v>11</v>
      </c>
      <c r="F1297" s="81" t="s">
        <v>385</v>
      </c>
      <c r="G1297" s="83" t="s">
        <v>1931</v>
      </c>
      <c r="H1297" s="75" t="s">
        <v>1932</v>
      </c>
      <c r="I1297" s="85" t="s">
        <v>1967</v>
      </c>
      <c r="J1297" s="84"/>
      <c r="K1297" s="78" t="s">
        <v>1933</v>
      </c>
      <c r="L1297" s="79"/>
    </row>
    <row r="1298" ht="22.5" customHeight="1">
      <c r="A1298" s="71">
        <v>479.0</v>
      </c>
      <c r="B1298" s="72" t="s">
        <v>2408</v>
      </c>
      <c r="C1298" s="73"/>
      <c r="D1298" s="71">
        <v>7.077759636E9</v>
      </c>
      <c r="E1298" s="72" t="s">
        <v>11</v>
      </c>
      <c r="F1298" s="72" t="s">
        <v>385</v>
      </c>
      <c r="G1298" s="74" t="s">
        <v>1931</v>
      </c>
      <c r="H1298" s="75" t="s">
        <v>1932</v>
      </c>
      <c r="I1298" s="85" t="s">
        <v>1967</v>
      </c>
      <c r="J1298" s="77"/>
      <c r="K1298" s="78" t="s">
        <v>1933</v>
      </c>
      <c r="L1298" s="79"/>
    </row>
    <row r="1299" ht="22.5" customHeight="1">
      <c r="A1299" s="80">
        <v>480.0</v>
      </c>
      <c r="B1299" s="81" t="s">
        <v>2409</v>
      </c>
      <c r="C1299" s="82"/>
      <c r="D1299" s="80">
        <v>6.371039274E9</v>
      </c>
      <c r="E1299" s="81" t="s">
        <v>11</v>
      </c>
      <c r="F1299" s="81" t="s">
        <v>385</v>
      </c>
      <c r="G1299" s="83" t="s">
        <v>1931</v>
      </c>
      <c r="H1299" s="75" t="s">
        <v>1932</v>
      </c>
      <c r="I1299" s="85" t="s">
        <v>1967</v>
      </c>
      <c r="J1299" s="84"/>
      <c r="K1299" s="78" t="s">
        <v>1933</v>
      </c>
      <c r="L1299" s="79"/>
    </row>
    <row r="1300" ht="22.5" customHeight="1">
      <c r="A1300" s="71">
        <v>481.0</v>
      </c>
      <c r="B1300" s="72" t="s">
        <v>2410</v>
      </c>
      <c r="C1300" s="73"/>
      <c r="D1300" s="71">
        <v>7.735709862E9</v>
      </c>
      <c r="E1300" s="72" t="s">
        <v>11</v>
      </c>
      <c r="F1300" s="72" t="s">
        <v>385</v>
      </c>
      <c r="G1300" s="74" t="s">
        <v>1931</v>
      </c>
      <c r="H1300" s="75" t="s">
        <v>1932</v>
      </c>
      <c r="I1300" s="85" t="s">
        <v>1967</v>
      </c>
      <c r="J1300" s="77"/>
      <c r="K1300" s="78" t="s">
        <v>1933</v>
      </c>
      <c r="L1300" s="79"/>
    </row>
    <row r="1301" ht="22.5" customHeight="1">
      <c r="A1301" s="80">
        <v>482.0</v>
      </c>
      <c r="B1301" s="81" t="s">
        <v>2411</v>
      </c>
      <c r="C1301" s="82"/>
      <c r="D1301" s="80">
        <v>9.937380622E9</v>
      </c>
      <c r="E1301" s="81" t="s">
        <v>11</v>
      </c>
      <c r="F1301" s="81" t="s">
        <v>385</v>
      </c>
      <c r="G1301" s="83" t="s">
        <v>1931</v>
      </c>
      <c r="H1301" s="75" t="s">
        <v>1932</v>
      </c>
      <c r="I1301" s="85" t="s">
        <v>1967</v>
      </c>
      <c r="J1301" s="84"/>
      <c r="K1301" s="78" t="s">
        <v>1933</v>
      </c>
      <c r="L1301" s="79"/>
    </row>
    <row r="1302" ht="22.5" customHeight="1">
      <c r="A1302" s="71">
        <v>483.0</v>
      </c>
      <c r="B1302" s="72" t="s">
        <v>2412</v>
      </c>
      <c r="C1302" s="73"/>
      <c r="D1302" s="71">
        <v>6.37133766E9</v>
      </c>
      <c r="E1302" s="72" t="s">
        <v>11</v>
      </c>
      <c r="F1302" s="72" t="s">
        <v>385</v>
      </c>
      <c r="G1302" s="74" t="s">
        <v>1931</v>
      </c>
      <c r="H1302" s="75" t="s">
        <v>1932</v>
      </c>
      <c r="I1302" s="85" t="s">
        <v>1967</v>
      </c>
      <c r="J1302" s="77"/>
      <c r="K1302" s="78" t="s">
        <v>1933</v>
      </c>
      <c r="L1302" s="79"/>
    </row>
    <row r="1303" ht="22.5" customHeight="1">
      <c r="A1303" s="80">
        <v>484.0</v>
      </c>
      <c r="B1303" s="81" t="s">
        <v>2413</v>
      </c>
      <c r="C1303" s="82"/>
      <c r="D1303" s="80">
        <v>9.348799325E9</v>
      </c>
      <c r="E1303" s="81" t="s">
        <v>11</v>
      </c>
      <c r="F1303" s="81" t="s">
        <v>385</v>
      </c>
      <c r="G1303" s="83" t="s">
        <v>1931</v>
      </c>
      <c r="H1303" s="75" t="s">
        <v>1932</v>
      </c>
      <c r="I1303" s="85" t="s">
        <v>1967</v>
      </c>
      <c r="J1303" s="84"/>
      <c r="K1303" s="78" t="s">
        <v>1933</v>
      </c>
      <c r="L1303" s="79"/>
    </row>
    <row r="1304" ht="22.5" customHeight="1">
      <c r="A1304" s="71">
        <v>485.0</v>
      </c>
      <c r="B1304" s="72" t="s">
        <v>2414</v>
      </c>
      <c r="C1304" s="73"/>
      <c r="D1304" s="71">
        <v>7.682025046E9</v>
      </c>
      <c r="E1304" s="72" t="s">
        <v>11</v>
      </c>
      <c r="F1304" s="72" t="s">
        <v>385</v>
      </c>
      <c r="G1304" s="74" t="s">
        <v>1931</v>
      </c>
      <c r="H1304" s="75" t="s">
        <v>1932</v>
      </c>
      <c r="I1304" s="85" t="s">
        <v>1967</v>
      </c>
      <c r="J1304" s="77"/>
      <c r="K1304" s="78" t="s">
        <v>1933</v>
      </c>
      <c r="L1304" s="79"/>
    </row>
    <row r="1305" ht="22.5" customHeight="1">
      <c r="A1305" s="80">
        <v>486.0</v>
      </c>
      <c r="B1305" s="81" t="s">
        <v>2415</v>
      </c>
      <c r="C1305" s="82"/>
      <c r="D1305" s="80">
        <v>9.675355522E9</v>
      </c>
      <c r="E1305" s="81" t="s">
        <v>11</v>
      </c>
      <c r="F1305" s="81" t="s">
        <v>385</v>
      </c>
      <c r="G1305" s="83" t="s">
        <v>1931</v>
      </c>
      <c r="H1305" s="75" t="s">
        <v>1932</v>
      </c>
      <c r="I1305" s="85" t="s">
        <v>1967</v>
      </c>
      <c r="J1305" s="84"/>
      <c r="K1305" s="78" t="s">
        <v>1933</v>
      </c>
      <c r="L1305" s="79"/>
    </row>
    <row r="1306" ht="22.5" customHeight="1">
      <c r="A1306" s="71">
        <v>487.0</v>
      </c>
      <c r="B1306" s="72" t="s">
        <v>2416</v>
      </c>
      <c r="C1306" s="73"/>
      <c r="D1306" s="71">
        <v>8.342053E9</v>
      </c>
      <c r="E1306" s="72" t="s">
        <v>11</v>
      </c>
      <c r="F1306" s="72" t="s">
        <v>385</v>
      </c>
      <c r="G1306" s="74" t="s">
        <v>1931</v>
      </c>
      <c r="H1306" s="75" t="s">
        <v>1932</v>
      </c>
      <c r="I1306" s="85" t="s">
        <v>1967</v>
      </c>
      <c r="J1306" s="77"/>
      <c r="K1306" s="78" t="s">
        <v>1933</v>
      </c>
      <c r="L1306" s="79"/>
    </row>
    <row r="1307" ht="22.5" customHeight="1">
      <c r="A1307" s="80">
        <v>488.0</v>
      </c>
      <c r="B1307" s="81" t="s">
        <v>2417</v>
      </c>
      <c r="C1307" s="82"/>
      <c r="D1307" s="80">
        <v>8.658260993E9</v>
      </c>
      <c r="E1307" s="81" t="s">
        <v>11</v>
      </c>
      <c r="F1307" s="81" t="s">
        <v>385</v>
      </c>
      <c r="G1307" s="83" t="s">
        <v>1931</v>
      </c>
      <c r="H1307" s="75" t="s">
        <v>1932</v>
      </c>
      <c r="I1307" s="85" t="s">
        <v>1967</v>
      </c>
      <c r="J1307" s="84"/>
      <c r="K1307" s="78" t="s">
        <v>1933</v>
      </c>
      <c r="L1307" s="79"/>
    </row>
    <row r="1308" ht="22.5" customHeight="1">
      <c r="A1308" s="71">
        <v>489.0</v>
      </c>
      <c r="B1308" s="72" t="s">
        <v>2418</v>
      </c>
      <c r="C1308" s="73"/>
      <c r="D1308" s="71">
        <v>8.338002828E9</v>
      </c>
      <c r="E1308" s="72" t="s">
        <v>11</v>
      </c>
      <c r="F1308" s="72" t="s">
        <v>385</v>
      </c>
      <c r="G1308" s="74" t="s">
        <v>1931</v>
      </c>
      <c r="H1308" s="75" t="s">
        <v>1932</v>
      </c>
      <c r="I1308" s="85" t="s">
        <v>1967</v>
      </c>
      <c r="J1308" s="77"/>
      <c r="K1308" s="78" t="s">
        <v>1933</v>
      </c>
      <c r="L1308" s="79"/>
    </row>
    <row r="1309" ht="22.5" customHeight="1">
      <c r="A1309" s="80">
        <v>490.0</v>
      </c>
      <c r="B1309" s="81" t="s">
        <v>2419</v>
      </c>
      <c r="C1309" s="82"/>
      <c r="D1309" s="80">
        <v>9.337980158E9</v>
      </c>
      <c r="E1309" s="81" t="s">
        <v>11</v>
      </c>
      <c r="F1309" s="81" t="s">
        <v>385</v>
      </c>
      <c r="G1309" s="83" t="s">
        <v>1931</v>
      </c>
      <c r="H1309" s="75" t="s">
        <v>1932</v>
      </c>
      <c r="I1309" s="85" t="s">
        <v>1967</v>
      </c>
      <c r="J1309" s="84"/>
      <c r="K1309" s="78" t="s">
        <v>1933</v>
      </c>
      <c r="L1309" s="79"/>
    </row>
    <row r="1310" ht="22.5" customHeight="1">
      <c r="A1310" s="71">
        <v>491.0</v>
      </c>
      <c r="B1310" s="72" t="s">
        <v>2420</v>
      </c>
      <c r="C1310" s="73"/>
      <c r="D1310" s="71">
        <v>7.488254928E9</v>
      </c>
      <c r="E1310" s="72" t="s">
        <v>11</v>
      </c>
      <c r="F1310" s="72" t="s">
        <v>385</v>
      </c>
      <c r="G1310" s="74" t="s">
        <v>1931</v>
      </c>
      <c r="H1310" s="75" t="s">
        <v>1932</v>
      </c>
      <c r="I1310" s="85" t="s">
        <v>1967</v>
      </c>
      <c r="J1310" s="77"/>
      <c r="K1310" s="78" t="s">
        <v>1933</v>
      </c>
      <c r="L1310" s="79"/>
    </row>
    <row r="1311" ht="22.5" customHeight="1">
      <c r="A1311" s="80">
        <v>492.0</v>
      </c>
      <c r="B1311" s="81" t="s">
        <v>2421</v>
      </c>
      <c r="C1311" s="82"/>
      <c r="D1311" s="80">
        <v>9.124404858E9</v>
      </c>
      <c r="E1311" s="81" t="s">
        <v>11</v>
      </c>
      <c r="F1311" s="81" t="s">
        <v>385</v>
      </c>
      <c r="G1311" s="83" t="s">
        <v>1931</v>
      </c>
      <c r="H1311" s="75" t="s">
        <v>1932</v>
      </c>
      <c r="I1311" s="85" t="s">
        <v>1967</v>
      </c>
      <c r="J1311" s="84"/>
      <c r="K1311" s="78" t="s">
        <v>1933</v>
      </c>
      <c r="L1311" s="79"/>
    </row>
    <row r="1312" ht="22.5" customHeight="1">
      <c r="A1312" s="71">
        <v>493.0</v>
      </c>
      <c r="B1312" s="72" t="s">
        <v>2422</v>
      </c>
      <c r="C1312" s="73"/>
      <c r="D1312" s="71">
        <v>6.37164416E9</v>
      </c>
      <c r="E1312" s="72" t="s">
        <v>11</v>
      </c>
      <c r="F1312" s="72" t="s">
        <v>385</v>
      </c>
      <c r="G1312" s="74" t="s">
        <v>1931</v>
      </c>
      <c r="H1312" s="75" t="s">
        <v>1932</v>
      </c>
      <c r="I1312" s="85" t="s">
        <v>1967</v>
      </c>
      <c r="J1312" s="77"/>
      <c r="K1312" s="78" t="s">
        <v>1933</v>
      </c>
      <c r="L1312" s="79"/>
    </row>
    <row r="1313" ht="22.5" customHeight="1">
      <c r="A1313" s="80">
        <v>494.0</v>
      </c>
      <c r="B1313" s="81" t="s">
        <v>2423</v>
      </c>
      <c r="C1313" s="82"/>
      <c r="D1313" s="80">
        <v>8.917552597E9</v>
      </c>
      <c r="E1313" s="81" t="s">
        <v>11</v>
      </c>
      <c r="F1313" s="81" t="s">
        <v>385</v>
      </c>
      <c r="G1313" s="83" t="s">
        <v>1931</v>
      </c>
      <c r="H1313" s="75" t="s">
        <v>1932</v>
      </c>
      <c r="I1313" s="85" t="s">
        <v>1967</v>
      </c>
      <c r="J1313" s="84"/>
      <c r="K1313" s="78" t="s">
        <v>1933</v>
      </c>
      <c r="L1313" s="79"/>
    </row>
    <row r="1314" ht="22.5" customHeight="1">
      <c r="A1314" s="71">
        <v>495.0</v>
      </c>
      <c r="B1314" s="72" t="s">
        <v>2424</v>
      </c>
      <c r="C1314" s="73"/>
      <c r="D1314" s="71">
        <v>9.937861738E9</v>
      </c>
      <c r="E1314" s="72" t="s">
        <v>11</v>
      </c>
      <c r="F1314" s="72" t="s">
        <v>385</v>
      </c>
      <c r="G1314" s="74" t="s">
        <v>1931</v>
      </c>
      <c r="H1314" s="75" t="s">
        <v>1932</v>
      </c>
      <c r="I1314" s="85" t="s">
        <v>1967</v>
      </c>
      <c r="J1314" s="77"/>
      <c r="K1314" s="78" t="s">
        <v>1933</v>
      </c>
      <c r="L1314" s="79"/>
    </row>
    <row r="1315" ht="22.5" customHeight="1">
      <c r="A1315" s="80">
        <v>496.0</v>
      </c>
      <c r="B1315" s="81" t="s">
        <v>2425</v>
      </c>
      <c r="C1315" s="82"/>
      <c r="D1315" s="80">
        <v>7.735158164E9</v>
      </c>
      <c r="E1315" s="81" t="s">
        <v>11</v>
      </c>
      <c r="F1315" s="81" t="s">
        <v>385</v>
      </c>
      <c r="G1315" s="83" t="s">
        <v>1931</v>
      </c>
      <c r="H1315" s="75" t="s">
        <v>1932</v>
      </c>
      <c r="I1315" s="85" t="s">
        <v>1967</v>
      </c>
      <c r="J1315" s="84"/>
      <c r="K1315" s="78" t="s">
        <v>1933</v>
      </c>
      <c r="L1315" s="79"/>
    </row>
    <row r="1316" ht="22.5" customHeight="1">
      <c r="A1316" s="71">
        <v>497.0</v>
      </c>
      <c r="B1316" s="72" t="s">
        <v>2426</v>
      </c>
      <c r="C1316" s="73"/>
      <c r="D1316" s="71">
        <v>9.348642293E9</v>
      </c>
      <c r="E1316" s="72" t="s">
        <v>11</v>
      </c>
      <c r="F1316" s="72" t="s">
        <v>385</v>
      </c>
      <c r="G1316" s="74" t="s">
        <v>1931</v>
      </c>
      <c r="H1316" s="75" t="s">
        <v>1932</v>
      </c>
      <c r="I1316" s="85" t="s">
        <v>1967</v>
      </c>
      <c r="J1316" s="77"/>
      <c r="K1316" s="78" t="s">
        <v>1933</v>
      </c>
      <c r="L1316" s="79"/>
    </row>
    <row r="1317" ht="22.5" customHeight="1">
      <c r="A1317" s="80">
        <v>498.0</v>
      </c>
      <c r="B1317" s="81" t="s">
        <v>2427</v>
      </c>
      <c r="C1317" s="82"/>
      <c r="D1317" s="80">
        <v>7.847853922E9</v>
      </c>
      <c r="E1317" s="81" t="s">
        <v>11</v>
      </c>
      <c r="F1317" s="81" t="s">
        <v>385</v>
      </c>
      <c r="G1317" s="83" t="s">
        <v>1931</v>
      </c>
      <c r="H1317" s="75" t="s">
        <v>1932</v>
      </c>
      <c r="I1317" s="85" t="s">
        <v>1967</v>
      </c>
      <c r="J1317" s="84"/>
      <c r="K1317" s="78" t="s">
        <v>1933</v>
      </c>
      <c r="L1317" s="79"/>
    </row>
    <row r="1318" ht="22.5" customHeight="1">
      <c r="A1318" s="71">
        <v>499.0</v>
      </c>
      <c r="B1318" s="72" t="s">
        <v>2428</v>
      </c>
      <c r="C1318" s="73"/>
      <c r="D1318" s="71">
        <v>8.895934489E9</v>
      </c>
      <c r="E1318" s="72" t="s">
        <v>11</v>
      </c>
      <c r="F1318" s="72" t="s">
        <v>385</v>
      </c>
      <c r="G1318" s="74" t="s">
        <v>1931</v>
      </c>
      <c r="H1318" s="75" t="s">
        <v>1932</v>
      </c>
      <c r="I1318" s="85" t="s">
        <v>1967</v>
      </c>
      <c r="J1318" s="77"/>
      <c r="K1318" s="78" t="s">
        <v>1933</v>
      </c>
      <c r="L1318" s="79"/>
    </row>
    <row r="1319" ht="22.5" customHeight="1">
      <c r="A1319" s="80">
        <v>500.0</v>
      </c>
      <c r="B1319" s="81" t="s">
        <v>2429</v>
      </c>
      <c r="C1319" s="82"/>
      <c r="D1319" s="80">
        <v>9.437363735E9</v>
      </c>
      <c r="E1319" s="81" t="s">
        <v>11</v>
      </c>
      <c r="F1319" s="81" t="s">
        <v>385</v>
      </c>
      <c r="G1319" s="83" t="s">
        <v>1931</v>
      </c>
      <c r="H1319" s="75" t="s">
        <v>1932</v>
      </c>
      <c r="I1319" s="85" t="s">
        <v>1967</v>
      </c>
      <c r="J1319" s="84"/>
      <c r="K1319" s="78" t="s">
        <v>1933</v>
      </c>
      <c r="L1319" s="79"/>
    </row>
    <row r="1320" ht="22.5" customHeight="1">
      <c r="A1320" s="71">
        <v>501.0</v>
      </c>
      <c r="B1320" s="72" t="s">
        <v>2430</v>
      </c>
      <c r="C1320" s="73"/>
      <c r="D1320" s="71">
        <v>9.556421282E9</v>
      </c>
      <c r="E1320" s="72" t="s">
        <v>11</v>
      </c>
      <c r="F1320" s="72" t="s">
        <v>385</v>
      </c>
      <c r="G1320" s="74" t="s">
        <v>1931</v>
      </c>
      <c r="H1320" s="75" t="s">
        <v>1932</v>
      </c>
      <c r="I1320" s="85" t="s">
        <v>1967</v>
      </c>
      <c r="J1320" s="77"/>
      <c r="K1320" s="78" t="s">
        <v>1933</v>
      </c>
      <c r="L1320" s="79"/>
    </row>
    <row r="1321" ht="22.5" customHeight="1">
      <c r="A1321" s="80">
        <v>502.0</v>
      </c>
      <c r="B1321" s="81" t="s">
        <v>2431</v>
      </c>
      <c r="C1321" s="82"/>
      <c r="D1321" s="80">
        <v>9.439862516E9</v>
      </c>
      <c r="E1321" s="81" t="s">
        <v>11</v>
      </c>
      <c r="F1321" s="81" t="s">
        <v>385</v>
      </c>
      <c r="G1321" s="83" t="s">
        <v>1931</v>
      </c>
      <c r="H1321" s="75" t="s">
        <v>1932</v>
      </c>
      <c r="I1321" s="85" t="s">
        <v>1967</v>
      </c>
      <c r="J1321" s="84"/>
      <c r="K1321" s="78" t="s">
        <v>1933</v>
      </c>
      <c r="L1321" s="79"/>
    </row>
    <row r="1322" ht="22.5" customHeight="1">
      <c r="A1322" s="71">
        <v>503.0</v>
      </c>
      <c r="B1322" s="72" t="s">
        <v>2432</v>
      </c>
      <c r="C1322" s="73"/>
      <c r="D1322" s="71">
        <v>9.937860446E9</v>
      </c>
      <c r="E1322" s="72" t="s">
        <v>11</v>
      </c>
      <c r="F1322" s="72" t="s">
        <v>385</v>
      </c>
      <c r="G1322" s="74" t="s">
        <v>1931</v>
      </c>
      <c r="H1322" s="75" t="s">
        <v>1932</v>
      </c>
      <c r="I1322" s="85" t="s">
        <v>1967</v>
      </c>
      <c r="J1322" s="77"/>
      <c r="K1322" s="78" t="s">
        <v>1933</v>
      </c>
      <c r="L1322" s="79"/>
    </row>
    <row r="1323" ht="22.5" customHeight="1">
      <c r="A1323" s="80">
        <v>504.0</v>
      </c>
      <c r="B1323" s="81" t="s">
        <v>2433</v>
      </c>
      <c r="C1323" s="82"/>
      <c r="D1323" s="80">
        <v>8.908624753E9</v>
      </c>
      <c r="E1323" s="81" t="s">
        <v>11</v>
      </c>
      <c r="F1323" s="81" t="s">
        <v>385</v>
      </c>
      <c r="G1323" s="83" t="s">
        <v>1931</v>
      </c>
      <c r="H1323" s="75" t="s">
        <v>1932</v>
      </c>
      <c r="I1323" s="85" t="s">
        <v>1967</v>
      </c>
      <c r="J1323" s="84"/>
      <c r="K1323" s="78" t="s">
        <v>1933</v>
      </c>
      <c r="L1323" s="79"/>
    </row>
    <row r="1324" ht="22.5" customHeight="1">
      <c r="A1324" s="71">
        <v>505.0</v>
      </c>
      <c r="B1324" s="72" t="s">
        <v>2434</v>
      </c>
      <c r="C1324" s="73"/>
      <c r="D1324" s="71">
        <v>9.470374442E9</v>
      </c>
      <c r="E1324" s="72" t="s">
        <v>11</v>
      </c>
      <c r="F1324" s="72" t="s">
        <v>385</v>
      </c>
      <c r="G1324" s="74" t="s">
        <v>1931</v>
      </c>
      <c r="H1324" s="75" t="s">
        <v>1932</v>
      </c>
      <c r="I1324" s="85" t="s">
        <v>1967</v>
      </c>
      <c r="J1324" s="77"/>
      <c r="K1324" s="78" t="s">
        <v>1933</v>
      </c>
      <c r="L1324" s="79"/>
    </row>
    <row r="1325" ht="22.5" customHeight="1">
      <c r="A1325" s="80">
        <v>506.0</v>
      </c>
      <c r="B1325" s="81" t="s">
        <v>2435</v>
      </c>
      <c r="C1325" s="82"/>
      <c r="D1325" s="80">
        <v>9.437013398E9</v>
      </c>
      <c r="E1325" s="81" t="s">
        <v>11</v>
      </c>
      <c r="F1325" s="81" t="s">
        <v>385</v>
      </c>
      <c r="G1325" s="83" t="s">
        <v>1931</v>
      </c>
      <c r="H1325" s="75" t="s">
        <v>1932</v>
      </c>
      <c r="I1325" s="85" t="s">
        <v>1967</v>
      </c>
      <c r="J1325" s="84"/>
      <c r="K1325" s="78" t="s">
        <v>1933</v>
      </c>
      <c r="L1325" s="79"/>
    </row>
    <row r="1326" ht="22.5" customHeight="1">
      <c r="A1326" s="71">
        <v>507.0</v>
      </c>
      <c r="B1326" s="72" t="s">
        <v>2436</v>
      </c>
      <c r="C1326" s="73"/>
      <c r="D1326" s="71">
        <v>6.372154425E9</v>
      </c>
      <c r="E1326" s="72" t="s">
        <v>11</v>
      </c>
      <c r="F1326" s="72" t="s">
        <v>385</v>
      </c>
      <c r="G1326" s="74" t="s">
        <v>1931</v>
      </c>
      <c r="H1326" s="75" t="s">
        <v>1932</v>
      </c>
      <c r="I1326" s="85" t="s">
        <v>1967</v>
      </c>
      <c r="J1326" s="77"/>
      <c r="K1326" s="78" t="s">
        <v>1933</v>
      </c>
      <c r="L1326" s="79"/>
    </row>
    <row r="1327" ht="22.5" customHeight="1">
      <c r="A1327" s="80">
        <v>508.0</v>
      </c>
      <c r="B1327" s="81" t="s">
        <v>2437</v>
      </c>
      <c r="C1327" s="82"/>
      <c r="D1327" s="80">
        <v>9.078019472E9</v>
      </c>
      <c r="E1327" s="81" t="s">
        <v>11</v>
      </c>
      <c r="F1327" s="81" t="s">
        <v>385</v>
      </c>
      <c r="G1327" s="83" t="s">
        <v>1931</v>
      </c>
      <c r="H1327" s="75" t="s">
        <v>1932</v>
      </c>
      <c r="I1327" s="85" t="s">
        <v>1967</v>
      </c>
      <c r="J1327" s="84"/>
      <c r="K1327" s="78" t="s">
        <v>1933</v>
      </c>
      <c r="L1327" s="79"/>
    </row>
    <row r="1328" ht="22.5" customHeight="1">
      <c r="A1328" s="71">
        <v>509.0</v>
      </c>
      <c r="B1328" s="72" t="s">
        <v>2438</v>
      </c>
      <c r="C1328" s="73"/>
      <c r="D1328" s="71">
        <v>7.978734866E9</v>
      </c>
      <c r="E1328" s="72" t="s">
        <v>11</v>
      </c>
      <c r="F1328" s="72" t="s">
        <v>385</v>
      </c>
      <c r="G1328" s="74" t="s">
        <v>1931</v>
      </c>
      <c r="H1328" s="75" t="s">
        <v>1932</v>
      </c>
      <c r="I1328" s="85" t="s">
        <v>1967</v>
      </c>
      <c r="J1328" s="77"/>
      <c r="K1328" s="78" t="s">
        <v>1933</v>
      </c>
      <c r="L1328" s="79"/>
    </row>
    <row r="1329" ht="22.5" customHeight="1">
      <c r="A1329" s="80">
        <v>510.0</v>
      </c>
      <c r="B1329" s="81" t="s">
        <v>2439</v>
      </c>
      <c r="C1329" s="82"/>
      <c r="D1329" s="80">
        <v>9.938750037E9</v>
      </c>
      <c r="E1329" s="81" t="s">
        <v>11</v>
      </c>
      <c r="F1329" s="81" t="s">
        <v>385</v>
      </c>
      <c r="G1329" s="83" t="s">
        <v>1931</v>
      </c>
      <c r="H1329" s="75" t="s">
        <v>1932</v>
      </c>
      <c r="I1329" s="85" t="s">
        <v>1967</v>
      </c>
      <c r="J1329" s="84"/>
      <c r="K1329" s="78" t="s">
        <v>1933</v>
      </c>
      <c r="L1329" s="79"/>
    </row>
    <row r="1330" ht="22.5" customHeight="1">
      <c r="A1330" s="71">
        <v>511.0</v>
      </c>
      <c r="B1330" s="72" t="s">
        <v>2440</v>
      </c>
      <c r="C1330" s="73"/>
      <c r="D1330" s="71">
        <v>7.008246835E9</v>
      </c>
      <c r="E1330" s="72" t="s">
        <v>11</v>
      </c>
      <c r="F1330" s="72" t="s">
        <v>385</v>
      </c>
      <c r="G1330" s="74" t="s">
        <v>1931</v>
      </c>
      <c r="H1330" s="75" t="s">
        <v>1932</v>
      </c>
      <c r="I1330" s="85" t="s">
        <v>1967</v>
      </c>
      <c r="J1330" s="77"/>
      <c r="K1330" s="78" t="s">
        <v>1933</v>
      </c>
      <c r="L1330" s="79"/>
    </row>
    <row r="1331" ht="22.5" customHeight="1">
      <c r="A1331" s="80">
        <v>512.0</v>
      </c>
      <c r="B1331" s="81" t="s">
        <v>2441</v>
      </c>
      <c r="C1331" s="82"/>
      <c r="D1331" s="80">
        <v>8.917525319E9</v>
      </c>
      <c r="E1331" s="81" t="s">
        <v>11</v>
      </c>
      <c r="F1331" s="81" t="s">
        <v>385</v>
      </c>
      <c r="G1331" s="83" t="s">
        <v>1931</v>
      </c>
      <c r="H1331" s="75" t="s">
        <v>1932</v>
      </c>
      <c r="I1331" s="85" t="s">
        <v>1967</v>
      </c>
      <c r="J1331" s="84"/>
      <c r="K1331" s="78" t="s">
        <v>1933</v>
      </c>
      <c r="L1331" s="79"/>
    </row>
    <row r="1332" ht="22.5" customHeight="1">
      <c r="A1332" s="71">
        <v>513.0</v>
      </c>
      <c r="B1332" s="72" t="s">
        <v>2442</v>
      </c>
      <c r="C1332" s="73"/>
      <c r="D1332" s="71">
        <v>7.849061269E9</v>
      </c>
      <c r="E1332" s="72" t="s">
        <v>11</v>
      </c>
      <c r="F1332" s="72" t="s">
        <v>385</v>
      </c>
      <c r="G1332" s="74" t="s">
        <v>1931</v>
      </c>
      <c r="H1332" s="75" t="s">
        <v>1932</v>
      </c>
      <c r="I1332" s="85" t="s">
        <v>1967</v>
      </c>
      <c r="J1332" s="77"/>
      <c r="K1332" s="78" t="s">
        <v>1933</v>
      </c>
      <c r="L1332" s="79"/>
    </row>
    <row r="1333" ht="22.5" customHeight="1">
      <c r="A1333" s="80">
        <v>514.0</v>
      </c>
      <c r="B1333" s="81" t="s">
        <v>2443</v>
      </c>
      <c r="C1333" s="82"/>
      <c r="D1333" s="80">
        <v>8.079784974E9</v>
      </c>
      <c r="E1333" s="81" t="s">
        <v>11</v>
      </c>
      <c r="F1333" s="81" t="s">
        <v>385</v>
      </c>
      <c r="G1333" s="83" t="s">
        <v>1931</v>
      </c>
      <c r="H1333" s="75" t="s">
        <v>1932</v>
      </c>
      <c r="I1333" s="85" t="s">
        <v>1967</v>
      </c>
      <c r="J1333" s="84"/>
      <c r="K1333" s="78" t="s">
        <v>1933</v>
      </c>
      <c r="L1333" s="79"/>
    </row>
    <row r="1334" ht="22.5" customHeight="1">
      <c r="A1334" s="71">
        <v>515.0</v>
      </c>
      <c r="B1334" s="72" t="s">
        <v>2444</v>
      </c>
      <c r="C1334" s="73"/>
      <c r="D1334" s="71">
        <v>8.260926002E9</v>
      </c>
      <c r="E1334" s="72" t="s">
        <v>11</v>
      </c>
      <c r="F1334" s="72" t="s">
        <v>385</v>
      </c>
      <c r="G1334" s="74" t="s">
        <v>1931</v>
      </c>
      <c r="H1334" s="75" t="s">
        <v>1932</v>
      </c>
      <c r="I1334" s="85" t="s">
        <v>1967</v>
      </c>
      <c r="J1334" s="77"/>
      <c r="K1334" s="78" t="s">
        <v>1933</v>
      </c>
      <c r="L1334" s="79"/>
    </row>
    <row r="1335" ht="22.5" customHeight="1">
      <c r="A1335" s="80">
        <v>516.0</v>
      </c>
      <c r="B1335" s="81" t="s">
        <v>2445</v>
      </c>
      <c r="C1335" s="82"/>
      <c r="D1335" s="80">
        <v>9.438577653E9</v>
      </c>
      <c r="E1335" s="81" t="s">
        <v>11</v>
      </c>
      <c r="F1335" s="81" t="s">
        <v>385</v>
      </c>
      <c r="G1335" s="83" t="s">
        <v>1931</v>
      </c>
      <c r="H1335" s="75" t="s">
        <v>1932</v>
      </c>
      <c r="I1335" s="85" t="s">
        <v>1967</v>
      </c>
      <c r="J1335" s="84"/>
      <c r="K1335" s="78" t="s">
        <v>1933</v>
      </c>
      <c r="L1335" s="79"/>
    </row>
    <row r="1336" ht="22.5" customHeight="1">
      <c r="A1336" s="71">
        <v>517.0</v>
      </c>
      <c r="B1336" s="72" t="s">
        <v>2446</v>
      </c>
      <c r="C1336" s="73"/>
      <c r="D1336" s="71">
        <v>7.848030005E9</v>
      </c>
      <c r="E1336" s="72" t="s">
        <v>11</v>
      </c>
      <c r="F1336" s="72" t="s">
        <v>385</v>
      </c>
      <c r="G1336" s="74" t="s">
        <v>1931</v>
      </c>
      <c r="H1336" s="75" t="s">
        <v>1932</v>
      </c>
      <c r="I1336" s="85" t="s">
        <v>1967</v>
      </c>
      <c r="J1336" s="77"/>
      <c r="K1336" s="78" t="s">
        <v>1933</v>
      </c>
      <c r="L1336" s="79"/>
    </row>
    <row r="1337" ht="22.5" customHeight="1">
      <c r="A1337" s="80">
        <v>518.0</v>
      </c>
      <c r="B1337" s="81" t="s">
        <v>2447</v>
      </c>
      <c r="C1337" s="82"/>
      <c r="D1337" s="80">
        <v>7.735187155E9</v>
      </c>
      <c r="E1337" s="81" t="s">
        <v>11</v>
      </c>
      <c r="F1337" s="81" t="s">
        <v>385</v>
      </c>
      <c r="G1337" s="83" t="s">
        <v>1931</v>
      </c>
      <c r="H1337" s="75" t="s">
        <v>1932</v>
      </c>
      <c r="I1337" s="85" t="s">
        <v>1967</v>
      </c>
      <c r="J1337" s="84"/>
      <c r="K1337" s="78" t="s">
        <v>1933</v>
      </c>
      <c r="L1337" s="79"/>
    </row>
    <row r="1338" ht="22.5" customHeight="1">
      <c r="A1338" s="71">
        <v>519.0</v>
      </c>
      <c r="B1338" s="72" t="s">
        <v>2448</v>
      </c>
      <c r="C1338" s="73"/>
      <c r="D1338" s="71">
        <v>9.439503362E9</v>
      </c>
      <c r="E1338" s="72" t="s">
        <v>11</v>
      </c>
      <c r="F1338" s="72" t="s">
        <v>385</v>
      </c>
      <c r="G1338" s="74" t="s">
        <v>1931</v>
      </c>
      <c r="H1338" s="75" t="s">
        <v>1932</v>
      </c>
      <c r="I1338" s="85" t="s">
        <v>1967</v>
      </c>
      <c r="J1338" s="77"/>
      <c r="K1338" s="78" t="s">
        <v>1933</v>
      </c>
      <c r="L1338" s="79"/>
    </row>
    <row r="1339" ht="22.5" customHeight="1">
      <c r="A1339" s="80">
        <v>520.0</v>
      </c>
      <c r="B1339" s="81" t="s">
        <v>2449</v>
      </c>
      <c r="C1339" s="82"/>
      <c r="D1339" s="80">
        <v>6.371750501E9</v>
      </c>
      <c r="E1339" s="81" t="s">
        <v>11</v>
      </c>
      <c r="F1339" s="81" t="s">
        <v>385</v>
      </c>
      <c r="G1339" s="83" t="s">
        <v>1931</v>
      </c>
      <c r="H1339" s="75" t="s">
        <v>1932</v>
      </c>
      <c r="I1339" s="85" t="s">
        <v>1967</v>
      </c>
      <c r="J1339" s="84"/>
      <c r="K1339" s="78" t="s">
        <v>1933</v>
      </c>
      <c r="L1339" s="79"/>
    </row>
    <row r="1340" ht="22.5" customHeight="1">
      <c r="A1340" s="71">
        <v>521.0</v>
      </c>
      <c r="B1340" s="72" t="s">
        <v>2450</v>
      </c>
      <c r="C1340" s="73"/>
      <c r="D1340" s="71">
        <v>9.82752592E9</v>
      </c>
      <c r="E1340" s="72" t="s">
        <v>11</v>
      </c>
      <c r="F1340" s="72" t="s">
        <v>385</v>
      </c>
      <c r="G1340" s="74" t="s">
        <v>1931</v>
      </c>
      <c r="H1340" s="75" t="s">
        <v>1932</v>
      </c>
      <c r="I1340" s="85" t="s">
        <v>1967</v>
      </c>
      <c r="J1340" s="77"/>
      <c r="K1340" s="78" t="s">
        <v>1933</v>
      </c>
      <c r="L1340" s="79"/>
    </row>
    <row r="1341" ht="22.5" customHeight="1">
      <c r="A1341" s="80">
        <v>522.0</v>
      </c>
      <c r="B1341" s="81" t="s">
        <v>2451</v>
      </c>
      <c r="C1341" s="82"/>
      <c r="D1341" s="80">
        <v>9.937195728E9</v>
      </c>
      <c r="E1341" s="81" t="s">
        <v>11</v>
      </c>
      <c r="F1341" s="81" t="s">
        <v>385</v>
      </c>
      <c r="G1341" s="83" t="s">
        <v>1931</v>
      </c>
      <c r="H1341" s="75" t="s">
        <v>1932</v>
      </c>
      <c r="I1341" s="85" t="s">
        <v>1967</v>
      </c>
      <c r="J1341" s="84"/>
      <c r="K1341" s="78" t="s">
        <v>1933</v>
      </c>
      <c r="L1341" s="79"/>
    </row>
    <row r="1342" ht="22.5" customHeight="1">
      <c r="A1342" s="71">
        <v>523.0</v>
      </c>
      <c r="B1342" s="72" t="s">
        <v>2452</v>
      </c>
      <c r="C1342" s="73"/>
      <c r="D1342" s="71">
        <v>8.249674638E9</v>
      </c>
      <c r="E1342" s="72" t="s">
        <v>11</v>
      </c>
      <c r="F1342" s="72" t="s">
        <v>385</v>
      </c>
      <c r="G1342" s="74" t="s">
        <v>1931</v>
      </c>
      <c r="H1342" s="75" t="s">
        <v>1932</v>
      </c>
      <c r="I1342" s="85" t="s">
        <v>1967</v>
      </c>
      <c r="J1342" s="77"/>
      <c r="K1342" s="78" t="s">
        <v>1933</v>
      </c>
      <c r="L1342" s="79"/>
    </row>
    <row r="1343" ht="22.5" customHeight="1">
      <c r="A1343" s="80">
        <v>524.0</v>
      </c>
      <c r="B1343" s="81" t="s">
        <v>2453</v>
      </c>
      <c r="C1343" s="82"/>
      <c r="D1343" s="80">
        <v>7.377495005E9</v>
      </c>
      <c r="E1343" s="81" t="s">
        <v>11</v>
      </c>
      <c r="F1343" s="81" t="s">
        <v>385</v>
      </c>
      <c r="G1343" s="83" t="s">
        <v>1931</v>
      </c>
      <c r="H1343" s="75" t="s">
        <v>1932</v>
      </c>
      <c r="I1343" s="85" t="s">
        <v>1967</v>
      </c>
      <c r="J1343" s="84"/>
      <c r="K1343" s="78" t="s">
        <v>1933</v>
      </c>
      <c r="L1343" s="79"/>
    </row>
    <row r="1344" ht="22.5" customHeight="1">
      <c r="A1344" s="71">
        <v>525.0</v>
      </c>
      <c r="B1344" s="72" t="s">
        <v>2454</v>
      </c>
      <c r="C1344" s="73"/>
      <c r="D1344" s="71">
        <v>9.438349979E9</v>
      </c>
      <c r="E1344" s="72" t="s">
        <v>11</v>
      </c>
      <c r="F1344" s="72" t="s">
        <v>385</v>
      </c>
      <c r="G1344" s="74" t="s">
        <v>1931</v>
      </c>
      <c r="H1344" s="75" t="s">
        <v>1932</v>
      </c>
      <c r="I1344" s="85" t="s">
        <v>1967</v>
      </c>
      <c r="J1344" s="77"/>
      <c r="K1344" s="78" t="s">
        <v>1933</v>
      </c>
      <c r="L1344" s="79"/>
    </row>
    <row r="1345" ht="22.5" customHeight="1">
      <c r="A1345" s="80">
        <v>526.0</v>
      </c>
      <c r="B1345" s="81" t="s">
        <v>2455</v>
      </c>
      <c r="C1345" s="82"/>
      <c r="D1345" s="80">
        <v>6.37189275E9</v>
      </c>
      <c r="E1345" s="81" t="s">
        <v>11</v>
      </c>
      <c r="F1345" s="81" t="s">
        <v>385</v>
      </c>
      <c r="G1345" s="83" t="s">
        <v>1931</v>
      </c>
      <c r="H1345" s="75" t="s">
        <v>1932</v>
      </c>
      <c r="I1345" s="85" t="s">
        <v>1967</v>
      </c>
      <c r="J1345" s="84"/>
      <c r="K1345" s="78" t="s">
        <v>1933</v>
      </c>
      <c r="L1345" s="79"/>
    </row>
    <row r="1346" ht="22.5" customHeight="1">
      <c r="A1346" s="71">
        <v>527.0</v>
      </c>
      <c r="B1346" s="72" t="s">
        <v>2456</v>
      </c>
      <c r="C1346" s="73"/>
      <c r="D1346" s="71">
        <v>8.093907169E9</v>
      </c>
      <c r="E1346" s="72" t="s">
        <v>11</v>
      </c>
      <c r="F1346" s="72" t="s">
        <v>385</v>
      </c>
      <c r="G1346" s="74" t="s">
        <v>1931</v>
      </c>
      <c r="H1346" s="75" t="s">
        <v>1932</v>
      </c>
      <c r="I1346" s="85" t="s">
        <v>1967</v>
      </c>
      <c r="J1346" s="77"/>
      <c r="K1346" s="78" t="s">
        <v>1933</v>
      </c>
      <c r="L1346" s="79"/>
    </row>
    <row r="1347" ht="22.5" customHeight="1">
      <c r="A1347" s="80">
        <v>528.0</v>
      </c>
      <c r="B1347" s="81" t="s">
        <v>2457</v>
      </c>
      <c r="C1347" s="82"/>
      <c r="D1347" s="80">
        <v>7.978299709E9</v>
      </c>
      <c r="E1347" s="81" t="s">
        <v>11</v>
      </c>
      <c r="F1347" s="81" t="s">
        <v>385</v>
      </c>
      <c r="G1347" s="83" t="s">
        <v>1931</v>
      </c>
      <c r="H1347" s="75" t="s">
        <v>1932</v>
      </c>
      <c r="I1347" s="85" t="s">
        <v>1967</v>
      </c>
      <c r="J1347" s="84"/>
      <c r="K1347" s="78" t="s">
        <v>1933</v>
      </c>
      <c r="L1347" s="79"/>
    </row>
    <row r="1348" ht="22.5" customHeight="1">
      <c r="A1348" s="71">
        <v>529.0</v>
      </c>
      <c r="B1348" s="72" t="s">
        <v>2458</v>
      </c>
      <c r="C1348" s="73"/>
      <c r="D1348" s="71">
        <v>8.280711183E9</v>
      </c>
      <c r="E1348" s="72" t="s">
        <v>11</v>
      </c>
      <c r="F1348" s="72" t="s">
        <v>385</v>
      </c>
      <c r="G1348" s="74" t="s">
        <v>1931</v>
      </c>
      <c r="H1348" s="75" t="s">
        <v>1932</v>
      </c>
      <c r="I1348" s="85" t="s">
        <v>1967</v>
      </c>
      <c r="J1348" s="77"/>
      <c r="K1348" s="78" t="s">
        <v>1933</v>
      </c>
      <c r="L1348" s="79"/>
    </row>
    <row r="1349" ht="22.5" customHeight="1">
      <c r="A1349" s="80">
        <v>530.0</v>
      </c>
      <c r="B1349" s="81" t="s">
        <v>2459</v>
      </c>
      <c r="C1349" s="82"/>
      <c r="D1349" s="80">
        <v>9.438308927E9</v>
      </c>
      <c r="E1349" s="81" t="s">
        <v>11</v>
      </c>
      <c r="F1349" s="81" t="s">
        <v>385</v>
      </c>
      <c r="G1349" s="83" t="s">
        <v>1931</v>
      </c>
      <c r="H1349" s="75" t="s">
        <v>1932</v>
      </c>
      <c r="I1349" s="85" t="s">
        <v>1967</v>
      </c>
      <c r="J1349" s="84"/>
      <c r="K1349" s="78" t="s">
        <v>1933</v>
      </c>
      <c r="L1349" s="79"/>
    </row>
    <row r="1350" ht="22.5" customHeight="1">
      <c r="A1350" s="71">
        <v>531.0</v>
      </c>
      <c r="B1350" s="72" t="s">
        <v>2460</v>
      </c>
      <c r="C1350" s="73"/>
      <c r="D1350" s="71">
        <v>8.328918457E9</v>
      </c>
      <c r="E1350" s="72" t="s">
        <v>11</v>
      </c>
      <c r="F1350" s="72" t="s">
        <v>385</v>
      </c>
      <c r="G1350" s="74" t="s">
        <v>1931</v>
      </c>
      <c r="H1350" s="75" t="s">
        <v>1932</v>
      </c>
      <c r="I1350" s="85" t="s">
        <v>1967</v>
      </c>
      <c r="J1350" s="77"/>
      <c r="K1350" s="78" t="s">
        <v>1933</v>
      </c>
      <c r="L1350" s="79"/>
    </row>
    <row r="1351" ht="22.5" customHeight="1">
      <c r="A1351" s="80">
        <v>532.0</v>
      </c>
      <c r="B1351" s="81" t="s">
        <v>2461</v>
      </c>
      <c r="C1351" s="82"/>
      <c r="D1351" s="80">
        <v>9.938955683E9</v>
      </c>
      <c r="E1351" s="81" t="s">
        <v>11</v>
      </c>
      <c r="F1351" s="81" t="s">
        <v>385</v>
      </c>
      <c r="G1351" s="83" t="s">
        <v>1931</v>
      </c>
      <c r="H1351" s="75" t="s">
        <v>1932</v>
      </c>
      <c r="I1351" s="85" t="s">
        <v>1967</v>
      </c>
      <c r="J1351" s="84"/>
      <c r="K1351" s="78" t="s">
        <v>1933</v>
      </c>
      <c r="L1351" s="79"/>
    </row>
    <row r="1352" ht="22.5" customHeight="1">
      <c r="A1352" s="71">
        <v>533.0</v>
      </c>
      <c r="B1352" s="72" t="s">
        <v>2462</v>
      </c>
      <c r="C1352" s="73"/>
      <c r="D1352" s="71">
        <v>7.978055812E9</v>
      </c>
      <c r="E1352" s="72" t="s">
        <v>11</v>
      </c>
      <c r="F1352" s="72" t="s">
        <v>385</v>
      </c>
      <c r="G1352" s="74" t="s">
        <v>1931</v>
      </c>
      <c r="H1352" s="75" t="s">
        <v>1932</v>
      </c>
      <c r="I1352" s="85" t="s">
        <v>1967</v>
      </c>
      <c r="J1352" s="77"/>
      <c r="K1352" s="78" t="s">
        <v>1933</v>
      </c>
      <c r="L1352" s="79"/>
    </row>
    <row r="1353" ht="22.5" customHeight="1">
      <c r="A1353" s="80">
        <v>534.0</v>
      </c>
      <c r="B1353" s="81" t="s">
        <v>2463</v>
      </c>
      <c r="C1353" s="82"/>
      <c r="D1353" s="80">
        <v>8.144491442E9</v>
      </c>
      <c r="E1353" s="81" t="s">
        <v>11</v>
      </c>
      <c r="F1353" s="81" t="s">
        <v>385</v>
      </c>
      <c r="G1353" s="83" t="s">
        <v>1931</v>
      </c>
      <c r="H1353" s="75" t="s">
        <v>1932</v>
      </c>
      <c r="I1353" s="85" t="s">
        <v>1967</v>
      </c>
      <c r="J1353" s="84"/>
      <c r="K1353" s="78" t="s">
        <v>1933</v>
      </c>
      <c r="L1353" s="79"/>
    </row>
    <row r="1354" ht="22.5" customHeight="1">
      <c r="A1354" s="71">
        <v>535.0</v>
      </c>
      <c r="B1354" s="72" t="s">
        <v>2464</v>
      </c>
      <c r="C1354" s="73"/>
      <c r="D1354" s="71">
        <v>9.437135879E9</v>
      </c>
      <c r="E1354" s="72" t="s">
        <v>11</v>
      </c>
      <c r="F1354" s="72" t="s">
        <v>385</v>
      </c>
      <c r="G1354" s="74" t="s">
        <v>1931</v>
      </c>
      <c r="H1354" s="75" t="s">
        <v>1932</v>
      </c>
      <c r="I1354" s="85" t="s">
        <v>1967</v>
      </c>
      <c r="J1354" s="77"/>
      <c r="K1354" s="78" t="s">
        <v>1933</v>
      </c>
      <c r="L1354" s="79"/>
    </row>
    <row r="1355" ht="22.5" customHeight="1">
      <c r="A1355" s="80">
        <v>536.0</v>
      </c>
      <c r="B1355" s="81" t="s">
        <v>2465</v>
      </c>
      <c r="C1355" s="82"/>
      <c r="D1355" s="80">
        <v>9.337718944E9</v>
      </c>
      <c r="E1355" s="81" t="s">
        <v>11</v>
      </c>
      <c r="F1355" s="81" t="s">
        <v>385</v>
      </c>
      <c r="G1355" s="83" t="s">
        <v>1931</v>
      </c>
      <c r="H1355" s="75" t="s">
        <v>1932</v>
      </c>
      <c r="I1355" s="85" t="s">
        <v>1967</v>
      </c>
      <c r="J1355" s="84"/>
      <c r="K1355" s="78" t="s">
        <v>1933</v>
      </c>
      <c r="L1355" s="79"/>
    </row>
    <row r="1356" ht="22.5" customHeight="1">
      <c r="A1356" s="71">
        <v>537.0</v>
      </c>
      <c r="B1356" s="72" t="s">
        <v>2466</v>
      </c>
      <c r="C1356" s="73"/>
      <c r="D1356" s="71">
        <v>9.93798043E9</v>
      </c>
      <c r="E1356" s="72" t="s">
        <v>11</v>
      </c>
      <c r="F1356" s="72" t="s">
        <v>385</v>
      </c>
      <c r="G1356" s="74" t="s">
        <v>1931</v>
      </c>
      <c r="H1356" s="75" t="s">
        <v>1932</v>
      </c>
      <c r="I1356" s="85" t="s">
        <v>1967</v>
      </c>
      <c r="J1356" s="77"/>
      <c r="K1356" s="78" t="s">
        <v>1933</v>
      </c>
      <c r="L1356" s="79"/>
    </row>
    <row r="1357" ht="22.5" customHeight="1">
      <c r="A1357" s="80">
        <v>538.0</v>
      </c>
      <c r="B1357" s="81" t="s">
        <v>2467</v>
      </c>
      <c r="C1357" s="82"/>
      <c r="D1357" s="80">
        <v>6.371667252E9</v>
      </c>
      <c r="E1357" s="81" t="s">
        <v>11</v>
      </c>
      <c r="F1357" s="81" t="s">
        <v>385</v>
      </c>
      <c r="G1357" s="83" t="s">
        <v>1931</v>
      </c>
      <c r="H1357" s="75" t="s">
        <v>1932</v>
      </c>
      <c r="I1357" s="85" t="s">
        <v>1967</v>
      </c>
      <c r="J1357" s="84"/>
      <c r="K1357" s="78" t="s">
        <v>1933</v>
      </c>
      <c r="L1357" s="79"/>
    </row>
    <row r="1358" ht="22.5" customHeight="1">
      <c r="A1358" s="71">
        <v>539.0</v>
      </c>
      <c r="B1358" s="72" t="s">
        <v>2468</v>
      </c>
      <c r="C1358" s="73"/>
      <c r="D1358" s="71">
        <v>8.63725788E9</v>
      </c>
      <c r="E1358" s="72" t="s">
        <v>11</v>
      </c>
      <c r="F1358" s="72" t="s">
        <v>385</v>
      </c>
      <c r="G1358" s="74" t="s">
        <v>1931</v>
      </c>
      <c r="H1358" s="75" t="s">
        <v>1932</v>
      </c>
      <c r="I1358" s="85" t="s">
        <v>1967</v>
      </c>
      <c r="J1358" s="77"/>
      <c r="K1358" s="78" t="s">
        <v>1933</v>
      </c>
      <c r="L1358" s="79"/>
    </row>
    <row r="1359" ht="22.5" customHeight="1">
      <c r="A1359" s="80">
        <v>540.0</v>
      </c>
      <c r="B1359" s="81" t="s">
        <v>2469</v>
      </c>
      <c r="C1359" s="82"/>
      <c r="D1359" s="80">
        <v>9.437118477E9</v>
      </c>
      <c r="E1359" s="81" t="s">
        <v>11</v>
      </c>
      <c r="F1359" s="81" t="s">
        <v>385</v>
      </c>
      <c r="G1359" s="83" t="s">
        <v>1931</v>
      </c>
      <c r="H1359" s="75" t="s">
        <v>1932</v>
      </c>
      <c r="I1359" s="85" t="s">
        <v>1967</v>
      </c>
      <c r="J1359" s="84"/>
      <c r="K1359" s="78" t="s">
        <v>1933</v>
      </c>
      <c r="L1359" s="79"/>
    </row>
    <row r="1360" ht="22.5" customHeight="1">
      <c r="A1360" s="71">
        <v>541.0</v>
      </c>
      <c r="B1360" s="72" t="s">
        <v>2470</v>
      </c>
      <c r="C1360" s="73"/>
      <c r="D1360" s="71">
        <v>9.668810712E9</v>
      </c>
      <c r="E1360" s="72" t="s">
        <v>11</v>
      </c>
      <c r="F1360" s="72" t="s">
        <v>385</v>
      </c>
      <c r="G1360" s="74" t="s">
        <v>1931</v>
      </c>
      <c r="H1360" s="75" t="s">
        <v>1932</v>
      </c>
      <c r="I1360" s="85" t="s">
        <v>1967</v>
      </c>
      <c r="J1360" s="77"/>
      <c r="K1360" s="78" t="s">
        <v>1933</v>
      </c>
      <c r="L1360" s="79"/>
    </row>
    <row r="1361" ht="22.5" customHeight="1">
      <c r="A1361" s="80">
        <v>542.0</v>
      </c>
      <c r="B1361" s="81" t="s">
        <v>2471</v>
      </c>
      <c r="C1361" s="82"/>
      <c r="D1361" s="80">
        <v>6.370248405E9</v>
      </c>
      <c r="E1361" s="81" t="s">
        <v>11</v>
      </c>
      <c r="F1361" s="81" t="s">
        <v>385</v>
      </c>
      <c r="G1361" s="83" t="s">
        <v>1931</v>
      </c>
      <c r="H1361" s="75" t="s">
        <v>1932</v>
      </c>
      <c r="I1361" s="85" t="s">
        <v>1967</v>
      </c>
      <c r="J1361" s="84"/>
      <c r="K1361" s="78" t="s">
        <v>1933</v>
      </c>
      <c r="L1361" s="79"/>
    </row>
    <row r="1362" ht="22.5" customHeight="1">
      <c r="A1362" s="71">
        <v>543.0</v>
      </c>
      <c r="B1362" s="72" t="s">
        <v>2472</v>
      </c>
      <c r="C1362" s="73"/>
      <c r="D1362" s="71">
        <v>9.861100715E9</v>
      </c>
      <c r="E1362" s="72" t="s">
        <v>11</v>
      </c>
      <c r="F1362" s="72" t="s">
        <v>385</v>
      </c>
      <c r="G1362" s="74" t="s">
        <v>1931</v>
      </c>
      <c r="H1362" s="75" t="s">
        <v>1932</v>
      </c>
      <c r="I1362" s="85" t="s">
        <v>1967</v>
      </c>
      <c r="J1362" s="77"/>
      <c r="K1362" s="78" t="s">
        <v>1933</v>
      </c>
      <c r="L1362" s="79"/>
    </row>
    <row r="1363" ht="22.5" customHeight="1">
      <c r="A1363" s="80">
        <v>544.0</v>
      </c>
      <c r="B1363" s="81" t="s">
        <v>2473</v>
      </c>
      <c r="C1363" s="82"/>
      <c r="D1363" s="80">
        <v>6.372228198E9</v>
      </c>
      <c r="E1363" s="81" t="s">
        <v>11</v>
      </c>
      <c r="F1363" s="81" t="s">
        <v>385</v>
      </c>
      <c r="G1363" s="83" t="s">
        <v>1931</v>
      </c>
      <c r="H1363" s="75" t="s">
        <v>1932</v>
      </c>
      <c r="I1363" s="85" t="s">
        <v>1967</v>
      </c>
      <c r="J1363" s="84"/>
      <c r="K1363" s="78" t="s">
        <v>1933</v>
      </c>
      <c r="L1363" s="79"/>
    </row>
    <row r="1364" ht="22.5" customHeight="1">
      <c r="A1364" s="71">
        <v>545.0</v>
      </c>
      <c r="B1364" s="72" t="s">
        <v>2474</v>
      </c>
      <c r="C1364" s="73"/>
      <c r="D1364" s="71">
        <v>9.861188129E9</v>
      </c>
      <c r="E1364" s="72" t="s">
        <v>11</v>
      </c>
      <c r="F1364" s="72" t="s">
        <v>385</v>
      </c>
      <c r="G1364" s="74" t="s">
        <v>1931</v>
      </c>
      <c r="H1364" s="75" t="s">
        <v>1932</v>
      </c>
      <c r="I1364" s="85" t="s">
        <v>1967</v>
      </c>
      <c r="J1364" s="77"/>
      <c r="K1364" s="78" t="s">
        <v>1933</v>
      </c>
      <c r="L1364" s="79"/>
    </row>
    <row r="1365" ht="22.5" customHeight="1">
      <c r="A1365" s="80">
        <v>546.0</v>
      </c>
      <c r="B1365" s="81" t="s">
        <v>2475</v>
      </c>
      <c r="C1365" s="82"/>
      <c r="D1365" s="80">
        <v>9.685251557E9</v>
      </c>
      <c r="E1365" s="81" t="s">
        <v>11</v>
      </c>
      <c r="F1365" s="81" t="s">
        <v>385</v>
      </c>
      <c r="G1365" s="83" t="s">
        <v>1931</v>
      </c>
      <c r="H1365" s="75" t="s">
        <v>1932</v>
      </c>
      <c r="I1365" s="85" t="s">
        <v>1967</v>
      </c>
      <c r="J1365" s="84"/>
      <c r="K1365" s="78" t="s">
        <v>1933</v>
      </c>
      <c r="L1365" s="79"/>
    </row>
    <row r="1366" ht="22.5" customHeight="1">
      <c r="A1366" s="71">
        <v>547.0</v>
      </c>
      <c r="B1366" s="72" t="s">
        <v>2476</v>
      </c>
      <c r="C1366" s="73"/>
      <c r="D1366" s="71">
        <v>9.668705865E9</v>
      </c>
      <c r="E1366" s="72" t="s">
        <v>11</v>
      </c>
      <c r="F1366" s="72" t="s">
        <v>385</v>
      </c>
      <c r="G1366" s="74" t="s">
        <v>1931</v>
      </c>
      <c r="H1366" s="75" t="s">
        <v>1932</v>
      </c>
      <c r="I1366" s="85" t="s">
        <v>1967</v>
      </c>
      <c r="J1366" s="77"/>
      <c r="K1366" s="78" t="s">
        <v>1933</v>
      </c>
      <c r="L1366" s="79"/>
    </row>
    <row r="1367" ht="22.5" customHeight="1">
      <c r="A1367" s="80">
        <v>548.0</v>
      </c>
      <c r="B1367" s="81" t="s">
        <v>2477</v>
      </c>
      <c r="C1367" s="82"/>
      <c r="D1367" s="80">
        <v>8.249828276E9</v>
      </c>
      <c r="E1367" s="81" t="s">
        <v>11</v>
      </c>
      <c r="F1367" s="81" t="s">
        <v>385</v>
      </c>
      <c r="G1367" s="83" t="s">
        <v>1931</v>
      </c>
      <c r="H1367" s="75" t="s">
        <v>1932</v>
      </c>
      <c r="I1367" s="85" t="s">
        <v>1967</v>
      </c>
      <c r="J1367" s="84"/>
      <c r="K1367" s="78" t="s">
        <v>1933</v>
      </c>
      <c r="L1367" s="79"/>
    </row>
    <row r="1368" ht="22.5" customHeight="1">
      <c r="A1368" s="71">
        <v>549.0</v>
      </c>
      <c r="B1368" s="72" t="s">
        <v>2478</v>
      </c>
      <c r="C1368" s="73"/>
      <c r="D1368" s="71">
        <v>7.84702828E9</v>
      </c>
      <c r="E1368" s="72" t="s">
        <v>11</v>
      </c>
      <c r="F1368" s="72" t="s">
        <v>385</v>
      </c>
      <c r="G1368" s="74" t="s">
        <v>1931</v>
      </c>
      <c r="H1368" s="75" t="s">
        <v>1932</v>
      </c>
      <c r="I1368" s="85" t="s">
        <v>1967</v>
      </c>
      <c r="J1368" s="77"/>
      <c r="K1368" s="78" t="s">
        <v>1933</v>
      </c>
      <c r="L1368" s="79"/>
    </row>
    <row r="1369" ht="22.5" customHeight="1">
      <c r="A1369" s="80">
        <v>550.0</v>
      </c>
      <c r="B1369" s="81" t="s">
        <v>2479</v>
      </c>
      <c r="C1369" s="82"/>
      <c r="D1369" s="80">
        <v>8.926065595E9</v>
      </c>
      <c r="E1369" s="81" t="s">
        <v>11</v>
      </c>
      <c r="F1369" s="81" t="s">
        <v>385</v>
      </c>
      <c r="G1369" s="83" t="s">
        <v>1931</v>
      </c>
      <c r="H1369" s="75" t="s">
        <v>1932</v>
      </c>
      <c r="I1369" s="85" t="s">
        <v>1967</v>
      </c>
      <c r="J1369" s="84"/>
      <c r="K1369" s="78" t="s">
        <v>1933</v>
      </c>
      <c r="L1369" s="79"/>
    </row>
    <row r="1370" ht="22.5" customHeight="1">
      <c r="A1370" s="71">
        <v>551.0</v>
      </c>
      <c r="B1370" s="72" t="s">
        <v>2480</v>
      </c>
      <c r="C1370" s="73"/>
      <c r="D1370" s="71">
        <v>7.978572014E9</v>
      </c>
      <c r="E1370" s="72" t="s">
        <v>11</v>
      </c>
      <c r="F1370" s="72" t="s">
        <v>385</v>
      </c>
      <c r="G1370" s="74" t="s">
        <v>1931</v>
      </c>
      <c r="H1370" s="75" t="s">
        <v>1932</v>
      </c>
      <c r="I1370" s="85" t="s">
        <v>1967</v>
      </c>
      <c r="J1370" s="77"/>
      <c r="K1370" s="78" t="s">
        <v>1933</v>
      </c>
      <c r="L1370" s="79"/>
    </row>
    <row r="1371" ht="22.5" customHeight="1">
      <c r="A1371" s="80">
        <v>552.0</v>
      </c>
      <c r="B1371" s="81" t="s">
        <v>2481</v>
      </c>
      <c r="C1371" s="82"/>
      <c r="D1371" s="80">
        <v>9.915460629E9</v>
      </c>
      <c r="E1371" s="81" t="s">
        <v>11</v>
      </c>
      <c r="F1371" s="81" t="s">
        <v>385</v>
      </c>
      <c r="G1371" s="83" t="s">
        <v>1931</v>
      </c>
      <c r="H1371" s="75" t="s">
        <v>1932</v>
      </c>
      <c r="I1371" s="85" t="s">
        <v>1967</v>
      </c>
      <c r="J1371" s="84"/>
      <c r="K1371" s="78" t="s">
        <v>1933</v>
      </c>
      <c r="L1371" s="79"/>
    </row>
    <row r="1372" ht="22.5" customHeight="1">
      <c r="A1372" s="71">
        <v>553.0</v>
      </c>
      <c r="B1372" s="72" t="s">
        <v>2482</v>
      </c>
      <c r="C1372" s="73"/>
      <c r="D1372" s="71">
        <v>6.371566914E9</v>
      </c>
      <c r="E1372" s="72" t="s">
        <v>11</v>
      </c>
      <c r="F1372" s="72" t="s">
        <v>385</v>
      </c>
      <c r="G1372" s="74" t="s">
        <v>1931</v>
      </c>
      <c r="H1372" s="75" t="s">
        <v>1932</v>
      </c>
      <c r="I1372" s="85" t="s">
        <v>1967</v>
      </c>
      <c r="J1372" s="77"/>
      <c r="K1372" s="78" t="s">
        <v>1933</v>
      </c>
      <c r="L1372" s="79"/>
    </row>
    <row r="1373" ht="22.5" customHeight="1">
      <c r="A1373" s="80">
        <v>554.0</v>
      </c>
      <c r="B1373" s="81" t="s">
        <v>2483</v>
      </c>
      <c r="C1373" s="82"/>
      <c r="D1373" s="80">
        <v>8.895336284E9</v>
      </c>
      <c r="E1373" s="81" t="s">
        <v>11</v>
      </c>
      <c r="F1373" s="81" t="s">
        <v>385</v>
      </c>
      <c r="G1373" s="83" t="s">
        <v>1931</v>
      </c>
      <c r="H1373" s="75" t="s">
        <v>1932</v>
      </c>
      <c r="I1373" s="85" t="s">
        <v>1967</v>
      </c>
      <c r="J1373" s="84"/>
      <c r="K1373" s="78" t="s">
        <v>1933</v>
      </c>
      <c r="L1373" s="79"/>
    </row>
    <row r="1374" ht="22.5" customHeight="1">
      <c r="A1374" s="71">
        <v>555.0</v>
      </c>
      <c r="B1374" s="72" t="s">
        <v>2484</v>
      </c>
      <c r="C1374" s="73"/>
      <c r="D1374" s="71">
        <v>9.938211764E9</v>
      </c>
      <c r="E1374" s="72" t="s">
        <v>11</v>
      </c>
      <c r="F1374" s="72" t="s">
        <v>385</v>
      </c>
      <c r="G1374" s="74" t="s">
        <v>1931</v>
      </c>
      <c r="H1374" s="75" t="s">
        <v>1932</v>
      </c>
      <c r="I1374" s="85" t="s">
        <v>1967</v>
      </c>
      <c r="J1374" s="77"/>
      <c r="K1374" s="78" t="s">
        <v>1933</v>
      </c>
      <c r="L1374" s="79"/>
    </row>
    <row r="1375" ht="22.5" customHeight="1">
      <c r="A1375" s="80">
        <v>556.0</v>
      </c>
      <c r="B1375" s="81" t="s">
        <v>2485</v>
      </c>
      <c r="C1375" s="82"/>
      <c r="D1375" s="80">
        <v>9.337862968E9</v>
      </c>
      <c r="E1375" s="81" t="s">
        <v>11</v>
      </c>
      <c r="F1375" s="81" t="s">
        <v>385</v>
      </c>
      <c r="G1375" s="83" t="s">
        <v>1931</v>
      </c>
      <c r="H1375" s="75" t="s">
        <v>1932</v>
      </c>
      <c r="I1375" s="85" t="s">
        <v>1967</v>
      </c>
      <c r="J1375" s="84"/>
      <c r="K1375" s="78" t="s">
        <v>1933</v>
      </c>
      <c r="L1375" s="79"/>
    </row>
    <row r="1376" ht="22.5" customHeight="1">
      <c r="A1376" s="71">
        <v>557.0</v>
      </c>
      <c r="B1376" s="72" t="s">
        <v>2486</v>
      </c>
      <c r="C1376" s="73"/>
      <c r="D1376" s="71">
        <v>9.20177756E9</v>
      </c>
      <c r="E1376" s="72" t="s">
        <v>11</v>
      </c>
      <c r="F1376" s="72" t="s">
        <v>385</v>
      </c>
      <c r="G1376" s="74" t="s">
        <v>1931</v>
      </c>
      <c r="H1376" s="75" t="s">
        <v>1932</v>
      </c>
      <c r="I1376" s="85" t="s">
        <v>1967</v>
      </c>
      <c r="J1376" s="77"/>
      <c r="K1376" s="78" t="s">
        <v>1933</v>
      </c>
      <c r="L1376" s="79"/>
    </row>
    <row r="1377" ht="22.5" customHeight="1">
      <c r="A1377" s="80">
        <v>558.0</v>
      </c>
      <c r="B1377" s="81" t="s">
        <v>2487</v>
      </c>
      <c r="C1377" s="82"/>
      <c r="D1377" s="80">
        <v>9.778764221E9</v>
      </c>
      <c r="E1377" s="81" t="s">
        <v>11</v>
      </c>
      <c r="F1377" s="81" t="s">
        <v>385</v>
      </c>
      <c r="G1377" s="83" t="s">
        <v>1931</v>
      </c>
      <c r="H1377" s="75" t="s">
        <v>1932</v>
      </c>
      <c r="I1377" s="85" t="s">
        <v>1967</v>
      </c>
      <c r="J1377" s="84"/>
      <c r="K1377" s="78" t="s">
        <v>1933</v>
      </c>
      <c r="L1377" s="79"/>
    </row>
    <row r="1378" ht="22.5" customHeight="1">
      <c r="A1378" s="71">
        <v>559.0</v>
      </c>
      <c r="B1378" s="72" t="s">
        <v>2488</v>
      </c>
      <c r="C1378" s="73"/>
      <c r="D1378" s="71">
        <v>9.437060183E9</v>
      </c>
      <c r="E1378" s="72" t="s">
        <v>11</v>
      </c>
      <c r="F1378" s="72" t="s">
        <v>385</v>
      </c>
      <c r="G1378" s="74" t="s">
        <v>1931</v>
      </c>
      <c r="H1378" s="75" t="s">
        <v>1932</v>
      </c>
      <c r="I1378" s="85" t="s">
        <v>1967</v>
      </c>
      <c r="J1378" s="77"/>
      <c r="K1378" s="78" t="s">
        <v>1933</v>
      </c>
      <c r="L1378" s="79"/>
    </row>
    <row r="1379" ht="22.5" customHeight="1">
      <c r="A1379" s="80">
        <v>560.0</v>
      </c>
      <c r="B1379" s="81" t="s">
        <v>2489</v>
      </c>
      <c r="C1379" s="82"/>
      <c r="D1379" s="80">
        <v>9.439453147E9</v>
      </c>
      <c r="E1379" s="81" t="s">
        <v>11</v>
      </c>
      <c r="F1379" s="81" t="s">
        <v>385</v>
      </c>
      <c r="G1379" s="83" t="s">
        <v>1931</v>
      </c>
      <c r="H1379" s="75" t="s">
        <v>1932</v>
      </c>
      <c r="I1379" s="85" t="s">
        <v>1967</v>
      </c>
      <c r="J1379" s="84"/>
      <c r="K1379" s="78" t="s">
        <v>1933</v>
      </c>
      <c r="L1379" s="79"/>
    </row>
    <row r="1380" ht="22.5" customHeight="1">
      <c r="A1380" s="71">
        <v>561.0</v>
      </c>
      <c r="B1380" s="72" t="s">
        <v>2490</v>
      </c>
      <c r="C1380" s="73"/>
      <c r="D1380" s="71">
        <v>9.556203031E9</v>
      </c>
      <c r="E1380" s="72" t="s">
        <v>11</v>
      </c>
      <c r="F1380" s="72" t="s">
        <v>385</v>
      </c>
      <c r="G1380" s="74" t="s">
        <v>1931</v>
      </c>
      <c r="H1380" s="75" t="s">
        <v>1932</v>
      </c>
      <c r="I1380" s="85" t="s">
        <v>1967</v>
      </c>
      <c r="J1380" s="77"/>
      <c r="K1380" s="78" t="s">
        <v>1933</v>
      </c>
      <c r="L1380" s="79"/>
    </row>
    <row r="1381" ht="22.5" customHeight="1">
      <c r="A1381" s="80">
        <v>562.0</v>
      </c>
      <c r="B1381" s="81" t="s">
        <v>2491</v>
      </c>
      <c r="C1381" s="82"/>
      <c r="D1381" s="80">
        <v>9.438088727E9</v>
      </c>
      <c r="E1381" s="81" t="s">
        <v>11</v>
      </c>
      <c r="F1381" s="81" t="s">
        <v>385</v>
      </c>
      <c r="G1381" s="83" t="s">
        <v>1931</v>
      </c>
      <c r="H1381" s="75" t="s">
        <v>1932</v>
      </c>
      <c r="I1381" s="85" t="s">
        <v>1967</v>
      </c>
      <c r="J1381" s="84"/>
      <c r="K1381" s="78" t="s">
        <v>1933</v>
      </c>
      <c r="L1381" s="79"/>
    </row>
    <row r="1382" ht="22.5" customHeight="1">
      <c r="A1382" s="71">
        <v>563.0</v>
      </c>
      <c r="B1382" s="72" t="s">
        <v>2492</v>
      </c>
      <c r="C1382" s="73"/>
      <c r="D1382" s="71">
        <v>8.144310918E9</v>
      </c>
      <c r="E1382" s="72" t="s">
        <v>11</v>
      </c>
      <c r="F1382" s="72" t="s">
        <v>385</v>
      </c>
      <c r="G1382" s="74" t="s">
        <v>1931</v>
      </c>
      <c r="H1382" s="75" t="s">
        <v>1932</v>
      </c>
      <c r="I1382" s="85" t="s">
        <v>1967</v>
      </c>
      <c r="J1382" s="77"/>
      <c r="K1382" s="78" t="s">
        <v>1933</v>
      </c>
      <c r="L1382" s="79"/>
    </row>
    <row r="1383" ht="22.5" customHeight="1">
      <c r="A1383" s="80">
        <v>564.0</v>
      </c>
      <c r="B1383" s="81" t="s">
        <v>2493</v>
      </c>
      <c r="C1383" s="82"/>
      <c r="D1383" s="80">
        <v>9.348619654E9</v>
      </c>
      <c r="E1383" s="81" t="s">
        <v>11</v>
      </c>
      <c r="F1383" s="81" t="s">
        <v>385</v>
      </c>
      <c r="G1383" s="83" t="s">
        <v>1931</v>
      </c>
      <c r="H1383" s="75" t="s">
        <v>1932</v>
      </c>
      <c r="I1383" s="85" t="s">
        <v>1967</v>
      </c>
      <c r="J1383" s="84"/>
      <c r="K1383" s="78" t="s">
        <v>1933</v>
      </c>
      <c r="L1383" s="79"/>
    </row>
    <row r="1384" ht="22.5" customHeight="1">
      <c r="A1384" s="71">
        <v>565.0</v>
      </c>
      <c r="B1384" s="72" t="s">
        <v>2494</v>
      </c>
      <c r="C1384" s="73"/>
      <c r="D1384" s="71">
        <v>9.777809981E9</v>
      </c>
      <c r="E1384" s="72" t="s">
        <v>11</v>
      </c>
      <c r="F1384" s="72" t="s">
        <v>385</v>
      </c>
      <c r="G1384" s="74" t="s">
        <v>1931</v>
      </c>
      <c r="H1384" s="75" t="s">
        <v>1932</v>
      </c>
      <c r="I1384" s="85" t="s">
        <v>1967</v>
      </c>
      <c r="J1384" s="77"/>
      <c r="K1384" s="78" t="s">
        <v>1933</v>
      </c>
      <c r="L1384" s="79"/>
    </row>
    <row r="1385" ht="22.5" customHeight="1">
      <c r="A1385" s="80">
        <v>566.0</v>
      </c>
      <c r="B1385" s="81" t="s">
        <v>2495</v>
      </c>
      <c r="C1385" s="82"/>
      <c r="D1385" s="80">
        <v>9.937072401E9</v>
      </c>
      <c r="E1385" s="81" t="s">
        <v>11</v>
      </c>
      <c r="F1385" s="81" t="s">
        <v>385</v>
      </c>
      <c r="G1385" s="83" t="s">
        <v>1931</v>
      </c>
      <c r="H1385" s="75" t="s">
        <v>1932</v>
      </c>
      <c r="I1385" s="85" t="s">
        <v>1967</v>
      </c>
      <c r="J1385" s="84"/>
      <c r="K1385" s="78" t="s">
        <v>1933</v>
      </c>
      <c r="L1385" s="79"/>
    </row>
    <row r="1386" ht="22.5" customHeight="1">
      <c r="A1386" s="71">
        <v>567.0</v>
      </c>
      <c r="B1386" s="72" t="s">
        <v>2496</v>
      </c>
      <c r="C1386" s="73"/>
      <c r="D1386" s="71">
        <v>9.668538692E9</v>
      </c>
      <c r="E1386" s="72" t="s">
        <v>11</v>
      </c>
      <c r="F1386" s="72" t="s">
        <v>385</v>
      </c>
      <c r="G1386" s="74" t="s">
        <v>1931</v>
      </c>
      <c r="H1386" s="75" t="s">
        <v>1932</v>
      </c>
      <c r="I1386" s="85" t="s">
        <v>1967</v>
      </c>
      <c r="J1386" s="77"/>
      <c r="K1386" s="78" t="s">
        <v>1933</v>
      </c>
      <c r="L1386" s="79"/>
    </row>
    <row r="1387" ht="22.5" customHeight="1">
      <c r="A1387" s="80">
        <v>568.0</v>
      </c>
      <c r="B1387" s="81" t="s">
        <v>2497</v>
      </c>
      <c r="C1387" s="82"/>
      <c r="D1387" s="80">
        <v>9.337573692E9</v>
      </c>
      <c r="E1387" s="81" t="s">
        <v>11</v>
      </c>
      <c r="F1387" s="81" t="s">
        <v>385</v>
      </c>
      <c r="G1387" s="83" t="s">
        <v>1931</v>
      </c>
      <c r="H1387" s="75" t="s">
        <v>1932</v>
      </c>
      <c r="I1387" s="85" t="s">
        <v>1967</v>
      </c>
      <c r="J1387" s="84"/>
      <c r="K1387" s="78" t="s">
        <v>1933</v>
      </c>
      <c r="L1387" s="79"/>
    </row>
    <row r="1388" ht="22.5" customHeight="1">
      <c r="A1388" s="71">
        <v>569.0</v>
      </c>
      <c r="B1388" s="72" t="s">
        <v>2498</v>
      </c>
      <c r="C1388" s="73"/>
      <c r="D1388" s="71">
        <v>8.457982589E9</v>
      </c>
      <c r="E1388" s="72" t="s">
        <v>11</v>
      </c>
      <c r="F1388" s="72" t="s">
        <v>385</v>
      </c>
      <c r="G1388" s="74" t="s">
        <v>1931</v>
      </c>
      <c r="H1388" s="75" t="s">
        <v>1932</v>
      </c>
      <c r="I1388" s="85" t="s">
        <v>1967</v>
      </c>
      <c r="J1388" s="77"/>
      <c r="K1388" s="78" t="s">
        <v>1933</v>
      </c>
      <c r="L1388" s="79"/>
    </row>
    <row r="1389" ht="22.5" customHeight="1">
      <c r="A1389" s="80">
        <v>570.0</v>
      </c>
      <c r="B1389" s="81" t="s">
        <v>2499</v>
      </c>
      <c r="C1389" s="82"/>
      <c r="D1389" s="80">
        <v>7.751988577E9</v>
      </c>
      <c r="E1389" s="81" t="s">
        <v>11</v>
      </c>
      <c r="F1389" s="81" t="s">
        <v>385</v>
      </c>
      <c r="G1389" s="83" t="s">
        <v>1931</v>
      </c>
      <c r="H1389" s="75" t="s">
        <v>1932</v>
      </c>
      <c r="I1389" s="85" t="s">
        <v>1967</v>
      </c>
      <c r="J1389" s="84"/>
      <c r="K1389" s="78" t="s">
        <v>1933</v>
      </c>
      <c r="L1389" s="79"/>
    </row>
    <row r="1390" ht="22.5" customHeight="1">
      <c r="A1390" s="71">
        <v>571.0</v>
      </c>
      <c r="B1390" s="72" t="s">
        <v>2500</v>
      </c>
      <c r="C1390" s="73"/>
      <c r="D1390" s="71">
        <v>9.348716096E9</v>
      </c>
      <c r="E1390" s="72" t="s">
        <v>11</v>
      </c>
      <c r="F1390" s="72" t="s">
        <v>385</v>
      </c>
      <c r="G1390" s="74" t="s">
        <v>1931</v>
      </c>
      <c r="H1390" s="75" t="s">
        <v>1932</v>
      </c>
      <c r="I1390" s="85" t="s">
        <v>1967</v>
      </c>
      <c r="J1390" s="77"/>
      <c r="K1390" s="78" t="s">
        <v>1933</v>
      </c>
      <c r="L1390" s="79"/>
    </row>
    <row r="1391" ht="22.5" customHeight="1">
      <c r="A1391" s="80">
        <v>572.0</v>
      </c>
      <c r="B1391" s="81" t="s">
        <v>2501</v>
      </c>
      <c r="C1391" s="82"/>
      <c r="D1391" s="80">
        <v>9.937808482E9</v>
      </c>
      <c r="E1391" s="81" t="s">
        <v>11</v>
      </c>
      <c r="F1391" s="81" t="s">
        <v>385</v>
      </c>
      <c r="G1391" s="83" t="s">
        <v>1931</v>
      </c>
      <c r="H1391" s="75" t="s">
        <v>1932</v>
      </c>
      <c r="I1391" s="85" t="s">
        <v>1967</v>
      </c>
      <c r="J1391" s="84"/>
      <c r="K1391" s="78" t="s">
        <v>1933</v>
      </c>
      <c r="L1391" s="79"/>
    </row>
    <row r="1392" ht="22.5" customHeight="1">
      <c r="A1392" s="71">
        <v>573.0</v>
      </c>
      <c r="B1392" s="72" t="s">
        <v>2502</v>
      </c>
      <c r="C1392" s="73"/>
      <c r="D1392" s="71">
        <v>8.144154524E9</v>
      </c>
      <c r="E1392" s="72" t="s">
        <v>11</v>
      </c>
      <c r="F1392" s="72" t="s">
        <v>385</v>
      </c>
      <c r="G1392" s="74" t="s">
        <v>1931</v>
      </c>
      <c r="H1392" s="75" t="s">
        <v>1932</v>
      </c>
      <c r="I1392" s="85" t="s">
        <v>1967</v>
      </c>
      <c r="J1392" s="77"/>
      <c r="K1392" s="78" t="s">
        <v>1933</v>
      </c>
      <c r="L1392" s="79"/>
    </row>
    <row r="1393" ht="22.5" customHeight="1">
      <c r="A1393" s="80">
        <v>574.0</v>
      </c>
      <c r="B1393" s="81" t="s">
        <v>2503</v>
      </c>
      <c r="C1393" s="82"/>
      <c r="D1393" s="80">
        <v>7.978224175E9</v>
      </c>
      <c r="E1393" s="81" t="s">
        <v>11</v>
      </c>
      <c r="F1393" s="81" t="s">
        <v>385</v>
      </c>
      <c r="G1393" s="83" t="s">
        <v>1931</v>
      </c>
      <c r="H1393" s="75" t="s">
        <v>1932</v>
      </c>
      <c r="I1393" s="85" t="s">
        <v>1967</v>
      </c>
      <c r="J1393" s="84"/>
      <c r="K1393" s="78" t="s">
        <v>1933</v>
      </c>
      <c r="L1393" s="79"/>
    </row>
    <row r="1394" ht="22.5" customHeight="1">
      <c r="A1394" s="71">
        <v>575.0</v>
      </c>
      <c r="B1394" s="72" t="s">
        <v>2504</v>
      </c>
      <c r="C1394" s="73"/>
      <c r="D1394" s="71">
        <v>9.07831813E9</v>
      </c>
      <c r="E1394" s="72" t="s">
        <v>11</v>
      </c>
      <c r="F1394" s="72" t="s">
        <v>385</v>
      </c>
      <c r="G1394" s="74" t="s">
        <v>1931</v>
      </c>
      <c r="H1394" s="75" t="s">
        <v>1932</v>
      </c>
      <c r="I1394" s="85" t="s">
        <v>1967</v>
      </c>
      <c r="J1394" s="77"/>
      <c r="K1394" s="78" t="s">
        <v>1933</v>
      </c>
      <c r="L1394" s="79"/>
    </row>
    <row r="1395" ht="22.5" customHeight="1">
      <c r="A1395" s="80">
        <v>576.0</v>
      </c>
      <c r="B1395" s="81" t="s">
        <v>2505</v>
      </c>
      <c r="C1395" s="82"/>
      <c r="D1395" s="80">
        <v>9.798535984E9</v>
      </c>
      <c r="E1395" s="81" t="s">
        <v>11</v>
      </c>
      <c r="F1395" s="81" t="s">
        <v>385</v>
      </c>
      <c r="G1395" s="83" t="s">
        <v>1931</v>
      </c>
      <c r="H1395" s="75" t="s">
        <v>1932</v>
      </c>
      <c r="I1395" s="85" t="s">
        <v>1967</v>
      </c>
      <c r="J1395" s="84"/>
      <c r="K1395" s="78" t="s">
        <v>1933</v>
      </c>
      <c r="L1395" s="79"/>
    </row>
    <row r="1396" ht="22.5" customHeight="1">
      <c r="A1396" s="71">
        <v>577.0</v>
      </c>
      <c r="B1396" s="72" t="s">
        <v>2506</v>
      </c>
      <c r="C1396" s="73"/>
      <c r="D1396" s="71">
        <v>9.437948709E9</v>
      </c>
      <c r="E1396" s="72" t="s">
        <v>11</v>
      </c>
      <c r="F1396" s="72" t="s">
        <v>385</v>
      </c>
      <c r="G1396" s="74" t="s">
        <v>1931</v>
      </c>
      <c r="H1396" s="75" t="s">
        <v>1932</v>
      </c>
      <c r="I1396" s="85" t="s">
        <v>1967</v>
      </c>
      <c r="J1396" s="77"/>
      <c r="K1396" s="78" t="s">
        <v>1933</v>
      </c>
      <c r="L1396" s="79"/>
    </row>
    <row r="1397" ht="22.5" customHeight="1">
      <c r="A1397" s="80">
        <v>578.0</v>
      </c>
      <c r="B1397" s="81" t="s">
        <v>2507</v>
      </c>
      <c r="C1397" s="82"/>
      <c r="D1397" s="80">
        <v>8.093399837E9</v>
      </c>
      <c r="E1397" s="81" t="s">
        <v>11</v>
      </c>
      <c r="F1397" s="81" t="s">
        <v>385</v>
      </c>
      <c r="G1397" s="83" t="s">
        <v>1931</v>
      </c>
      <c r="H1397" s="75" t="s">
        <v>1932</v>
      </c>
      <c r="I1397" s="85" t="s">
        <v>1967</v>
      </c>
      <c r="J1397" s="84"/>
      <c r="K1397" s="78" t="s">
        <v>1933</v>
      </c>
      <c r="L1397" s="79"/>
    </row>
    <row r="1398" ht="22.5" customHeight="1">
      <c r="A1398" s="71">
        <v>579.0</v>
      </c>
      <c r="B1398" s="72" t="s">
        <v>2508</v>
      </c>
      <c r="C1398" s="73"/>
      <c r="D1398" s="71">
        <v>8.895639865E9</v>
      </c>
      <c r="E1398" s="72" t="s">
        <v>11</v>
      </c>
      <c r="F1398" s="72" t="s">
        <v>385</v>
      </c>
      <c r="G1398" s="74" t="s">
        <v>1931</v>
      </c>
      <c r="H1398" s="75" t="s">
        <v>1932</v>
      </c>
      <c r="I1398" s="85" t="s">
        <v>1967</v>
      </c>
      <c r="J1398" s="77"/>
      <c r="K1398" s="78" t="s">
        <v>1933</v>
      </c>
      <c r="L1398" s="79"/>
    </row>
    <row r="1399" ht="22.5" customHeight="1">
      <c r="A1399" s="80">
        <v>580.0</v>
      </c>
      <c r="B1399" s="81" t="s">
        <v>2509</v>
      </c>
      <c r="C1399" s="82"/>
      <c r="D1399" s="80">
        <v>9.861172041E9</v>
      </c>
      <c r="E1399" s="81" t="s">
        <v>11</v>
      </c>
      <c r="F1399" s="81" t="s">
        <v>385</v>
      </c>
      <c r="G1399" s="83" t="s">
        <v>1931</v>
      </c>
      <c r="H1399" s="75" t="s">
        <v>1932</v>
      </c>
      <c r="I1399" s="85" t="s">
        <v>1967</v>
      </c>
      <c r="J1399" s="84"/>
      <c r="K1399" s="78" t="s">
        <v>1933</v>
      </c>
      <c r="L1399" s="79"/>
    </row>
    <row r="1400" ht="22.5" customHeight="1">
      <c r="A1400" s="71">
        <v>581.0</v>
      </c>
      <c r="B1400" s="72" t="s">
        <v>2510</v>
      </c>
      <c r="C1400" s="73"/>
      <c r="D1400" s="71">
        <v>9.777924173E9</v>
      </c>
      <c r="E1400" s="72" t="s">
        <v>11</v>
      </c>
      <c r="F1400" s="72" t="s">
        <v>385</v>
      </c>
      <c r="G1400" s="74" t="s">
        <v>1931</v>
      </c>
      <c r="H1400" s="75" t="s">
        <v>1932</v>
      </c>
      <c r="I1400" s="85" t="s">
        <v>1967</v>
      </c>
      <c r="J1400" s="77"/>
      <c r="K1400" s="78" t="s">
        <v>1933</v>
      </c>
      <c r="L1400" s="79"/>
    </row>
    <row r="1401" ht="22.5" customHeight="1">
      <c r="A1401" s="80">
        <v>582.0</v>
      </c>
      <c r="B1401" s="81" t="s">
        <v>2511</v>
      </c>
      <c r="C1401" s="82"/>
      <c r="D1401" s="80">
        <v>8.26062022E9</v>
      </c>
      <c r="E1401" s="81" t="s">
        <v>11</v>
      </c>
      <c r="F1401" s="81" t="s">
        <v>385</v>
      </c>
      <c r="G1401" s="83" t="s">
        <v>1931</v>
      </c>
      <c r="H1401" s="75" t="s">
        <v>1932</v>
      </c>
      <c r="I1401" s="85" t="s">
        <v>1967</v>
      </c>
      <c r="J1401" s="84"/>
      <c r="K1401" s="78" t="s">
        <v>1933</v>
      </c>
      <c r="L1401" s="79"/>
    </row>
    <row r="1402" ht="22.5" customHeight="1">
      <c r="A1402" s="71">
        <v>583.0</v>
      </c>
      <c r="B1402" s="72" t="s">
        <v>2512</v>
      </c>
      <c r="C1402" s="73"/>
      <c r="D1402" s="71">
        <v>9.583492423E9</v>
      </c>
      <c r="E1402" s="72" t="s">
        <v>11</v>
      </c>
      <c r="F1402" s="72" t="s">
        <v>385</v>
      </c>
      <c r="G1402" s="74" t="s">
        <v>1931</v>
      </c>
      <c r="H1402" s="75" t="s">
        <v>1932</v>
      </c>
      <c r="I1402" s="85" t="s">
        <v>1967</v>
      </c>
      <c r="J1402" s="77"/>
      <c r="K1402" s="78" t="s">
        <v>1933</v>
      </c>
      <c r="L1402" s="79"/>
    </row>
    <row r="1403" ht="22.5" customHeight="1">
      <c r="A1403" s="80">
        <v>584.0</v>
      </c>
      <c r="B1403" s="81" t="s">
        <v>2513</v>
      </c>
      <c r="C1403" s="82"/>
      <c r="D1403" s="80">
        <v>8.658337379E9</v>
      </c>
      <c r="E1403" s="81" t="s">
        <v>11</v>
      </c>
      <c r="F1403" s="81" t="s">
        <v>385</v>
      </c>
      <c r="G1403" s="83" t="s">
        <v>1931</v>
      </c>
      <c r="H1403" s="75" t="s">
        <v>1932</v>
      </c>
      <c r="I1403" s="85" t="s">
        <v>1967</v>
      </c>
      <c r="J1403" s="84"/>
      <c r="K1403" s="78" t="s">
        <v>1933</v>
      </c>
      <c r="L1403" s="79"/>
    </row>
    <row r="1404" ht="22.5" customHeight="1">
      <c r="A1404" s="71">
        <v>585.0</v>
      </c>
      <c r="B1404" s="72" t="s">
        <v>2514</v>
      </c>
      <c r="C1404" s="73"/>
      <c r="D1404" s="71">
        <v>9.86100635E9</v>
      </c>
      <c r="E1404" s="72" t="s">
        <v>11</v>
      </c>
      <c r="F1404" s="72" t="s">
        <v>385</v>
      </c>
      <c r="G1404" s="74" t="s">
        <v>1931</v>
      </c>
      <c r="H1404" s="75" t="s">
        <v>1932</v>
      </c>
      <c r="I1404" s="85" t="s">
        <v>1967</v>
      </c>
      <c r="J1404" s="77"/>
      <c r="K1404" s="78" t="s">
        <v>1933</v>
      </c>
      <c r="L1404" s="79"/>
    </row>
    <row r="1405" ht="22.5" customHeight="1">
      <c r="A1405" s="80">
        <v>586.0</v>
      </c>
      <c r="B1405" s="81" t="s">
        <v>2515</v>
      </c>
      <c r="C1405" s="82"/>
      <c r="D1405" s="80">
        <v>8.076655244E9</v>
      </c>
      <c r="E1405" s="81" t="s">
        <v>11</v>
      </c>
      <c r="F1405" s="81" t="s">
        <v>385</v>
      </c>
      <c r="G1405" s="83" t="s">
        <v>1931</v>
      </c>
      <c r="H1405" s="75" t="s">
        <v>1932</v>
      </c>
      <c r="I1405" s="85" t="s">
        <v>1967</v>
      </c>
      <c r="J1405" s="84"/>
      <c r="K1405" s="78" t="s">
        <v>1933</v>
      </c>
      <c r="L1405" s="79"/>
    </row>
    <row r="1406" ht="22.5" customHeight="1">
      <c r="A1406" s="71">
        <v>587.0</v>
      </c>
      <c r="B1406" s="72" t="s">
        <v>2516</v>
      </c>
      <c r="C1406" s="73"/>
      <c r="D1406" s="71">
        <v>7.873451083E9</v>
      </c>
      <c r="E1406" s="72" t="s">
        <v>11</v>
      </c>
      <c r="F1406" s="72" t="s">
        <v>385</v>
      </c>
      <c r="G1406" s="74" t="s">
        <v>1931</v>
      </c>
      <c r="H1406" s="75" t="s">
        <v>1932</v>
      </c>
      <c r="I1406" s="85" t="s">
        <v>1967</v>
      </c>
      <c r="J1406" s="77"/>
      <c r="K1406" s="78" t="s">
        <v>1933</v>
      </c>
      <c r="L1406" s="79"/>
    </row>
    <row r="1407" ht="22.5" customHeight="1">
      <c r="A1407" s="80">
        <v>588.0</v>
      </c>
      <c r="B1407" s="81" t="s">
        <v>2517</v>
      </c>
      <c r="C1407" s="82"/>
      <c r="D1407" s="80">
        <v>7.978758546E9</v>
      </c>
      <c r="E1407" s="81" t="s">
        <v>11</v>
      </c>
      <c r="F1407" s="81" t="s">
        <v>385</v>
      </c>
      <c r="G1407" s="83" t="s">
        <v>1931</v>
      </c>
      <c r="H1407" s="75" t="s">
        <v>1932</v>
      </c>
      <c r="I1407" s="85" t="s">
        <v>1967</v>
      </c>
      <c r="J1407" s="84"/>
      <c r="K1407" s="78" t="s">
        <v>1933</v>
      </c>
      <c r="L1407" s="79"/>
    </row>
    <row r="1408" ht="22.5" customHeight="1">
      <c r="A1408" s="71">
        <v>589.0</v>
      </c>
      <c r="B1408" s="72" t="s">
        <v>2518</v>
      </c>
      <c r="C1408" s="73"/>
      <c r="D1408" s="71">
        <v>9.853144812E9</v>
      </c>
      <c r="E1408" s="72" t="s">
        <v>11</v>
      </c>
      <c r="F1408" s="72" t="s">
        <v>385</v>
      </c>
      <c r="G1408" s="74" t="s">
        <v>1931</v>
      </c>
      <c r="H1408" s="75" t="s">
        <v>1932</v>
      </c>
      <c r="I1408" s="85" t="s">
        <v>1967</v>
      </c>
      <c r="J1408" s="77"/>
      <c r="K1408" s="78" t="s">
        <v>1933</v>
      </c>
      <c r="L1408" s="79"/>
    </row>
    <row r="1409" ht="22.5" customHeight="1">
      <c r="A1409" s="80">
        <v>590.0</v>
      </c>
      <c r="B1409" s="81" t="s">
        <v>2519</v>
      </c>
      <c r="C1409" s="82"/>
      <c r="D1409" s="80">
        <v>9.827819399E9</v>
      </c>
      <c r="E1409" s="81" t="s">
        <v>11</v>
      </c>
      <c r="F1409" s="81" t="s">
        <v>385</v>
      </c>
      <c r="G1409" s="83" t="s">
        <v>1931</v>
      </c>
      <c r="H1409" s="75" t="s">
        <v>1932</v>
      </c>
      <c r="I1409" s="85" t="s">
        <v>1967</v>
      </c>
      <c r="J1409" s="84"/>
      <c r="K1409" s="78" t="s">
        <v>1933</v>
      </c>
      <c r="L1409" s="79"/>
    </row>
    <row r="1410" ht="22.5" customHeight="1">
      <c r="A1410" s="71">
        <v>591.0</v>
      </c>
      <c r="B1410" s="72" t="s">
        <v>2520</v>
      </c>
      <c r="C1410" s="73"/>
      <c r="D1410" s="71">
        <v>9.861498101E9</v>
      </c>
      <c r="E1410" s="72" t="s">
        <v>11</v>
      </c>
      <c r="F1410" s="72" t="s">
        <v>385</v>
      </c>
      <c r="G1410" s="74" t="s">
        <v>1931</v>
      </c>
      <c r="H1410" s="75" t="s">
        <v>1932</v>
      </c>
      <c r="I1410" s="85" t="s">
        <v>1967</v>
      </c>
      <c r="J1410" s="77"/>
      <c r="K1410" s="78" t="s">
        <v>1933</v>
      </c>
      <c r="L1410" s="79"/>
    </row>
    <row r="1411" ht="22.5" customHeight="1">
      <c r="A1411" s="80">
        <v>592.0</v>
      </c>
      <c r="B1411" s="81" t="s">
        <v>2521</v>
      </c>
      <c r="C1411" s="82"/>
      <c r="D1411" s="80">
        <v>9.437257041E9</v>
      </c>
      <c r="E1411" s="81" t="s">
        <v>11</v>
      </c>
      <c r="F1411" s="81" t="s">
        <v>385</v>
      </c>
      <c r="G1411" s="83" t="s">
        <v>1931</v>
      </c>
      <c r="H1411" s="75" t="s">
        <v>1932</v>
      </c>
      <c r="I1411" s="85" t="s">
        <v>1967</v>
      </c>
      <c r="J1411" s="84"/>
      <c r="K1411" s="78" t="s">
        <v>1933</v>
      </c>
      <c r="L1411" s="79"/>
    </row>
    <row r="1412" ht="22.5" customHeight="1">
      <c r="A1412" s="71">
        <v>593.0</v>
      </c>
      <c r="B1412" s="72" t="s">
        <v>2522</v>
      </c>
      <c r="C1412" s="73"/>
      <c r="D1412" s="71">
        <v>8.144902799E9</v>
      </c>
      <c r="E1412" s="72" t="s">
        <v>11</v>
      </c>
      <c r="F1412" s="72" t="s">
        <v>385</v>
      </c>
      <c r="G1412" s="74" t="s">
        <v>1931</v>
      </c>
      <c r="H1412" s="75" t="s">
        <v>1932</v>
      </c>
      <c r="I1412" s="85" t="s">
        <v>1967</v>
      </c>
      <c r="J1412" s="77"/>
      <c r="K1412" s="78" t="s">
        <v>1933</v>
      </c>
      <c r="L1412" s="79"/>
    </row>
    <row r="1413" ht="22.5" customHeight="1">
      <c r="A1413" s="80">
        <v>594.0</v>
      </c>
      <c r="B1413" s="81" t="s">
        <v>2523</v>
      </c>
      <c r="C1413" s="82"/>
      <c r="D1413" s="80">
        <v>7.724823113E9</v>
      </c>
      <c r="E1413" s="81" t="s">
        <v>11</v>
      </c>
      <c r="F1413" s="81" t="s">
        <v>385</v>
      </c>
      <c r="G1413" s="83" t="s">
        <v>1931</v>
      </c>
      <c r="H1413" s="75" t="s">
        <v>1932</v>
      </c>
      <c r="I1413" s="85" t="s">
        <v>1967</v>
      </c>
      <c r="J1413" s="84"/>
      <c r="K1413" s="78" t="s">
        <v>1933</v>
      </c>
      <c r="L1413" s="79"/>
    </row>
    <row r="1414" ht="22.5" customHeight="1">
      <c r="A1414" s="71">
        <v>595.0</v>
      </c>
      <c r="B1414" s="72" t="s">
        <v>2524</v>
      </c>
      <c r="C1414" s="73"/>
      <c r="D1414" s="71">
        <v>7.978845353E9</v>
      </c>
      <c r="E1414" s="72" t="s">
        <v>11</v>
      </c>
      <c r="F1414" s="72" t="s">
        <v>385</v>
      </c>
      <c r="G1414" s="74" t="s">
        <v>1931</v>
      </c>
      <c r="H1414" s="75" t="s">
        <v>1932</v>
      </c>
      <c r="I1414" s="85" t="s">
        <v>1967</v>
      </c>
      <c r="J1414" s="77"/>
      <c r="K1414" s="78" t="s">
        <v>1933</v>
      </c>
      <c r="L1414" s="79"/>
    </row>
    <row r="1415" ht="22.5" customHeight="1">
      <c r="A1415" s="80">
        <v>596.0</v>
      </c>
      <c r="B1415" s="81" t="s">
        <v>2525</v>
      </c>
      <c r="C1415" s="82"/>
      <c r="D1415" s="80">
        <v>9.692035597E9</v>
      </c>
      <c r="E1415" s="81" t="s">
        <v>11</v>
      </c>
      <c r="F1415" s="81" t="s">
        <v>385</v>
      </c>
      <c r="G1415" s="83" t="s">
        <v>1931</v>
      </c>
      <c r="H1415" s="75" t="s">
        <v>1932</v>
      </c>
      <c r="I1415" s="85" t="s">
        <v>1967</v>
      </c>
      <c r="J1415" s="84"/>
      <c r="K1415" s="78" t="s">
        <v>1933</v>
      </c>
      <c r="L1415" s="79"/>
    </row>
    <row r="1416" ht="22.5" customHeight="1">
      <c r="A1416" s="71">
        <v>597.0</v>
      </c>
      <c r="B1416" s="72" t="s">
        <v>2526</v>
      </c>
      <c r="C1416" s="73"/>
      <c r="D1416" s="71">
        <v>9.668832838E9</v>
      </c>
      <c r="E1416" s="72" t="s">
        <v>11</v>
      </c>
      <c r="F1416" s="72" t="s">
        <v>385</v>
      </c>
      <c r="G1416" s="74" t="s">
        <v>1931</v>
      </c>
      <c r="H1416" s="75" t="s">
        <v>1932</v>
      </c>
      <c r="I1416" s="85" t="s">
        <v>1967</v>
      </c>
      <c r="J1416" s="77"/>
      <c r="K1416" s="78" t="s">
        <v>1933</v>
      </c>
      <c r="L1416" s="79"/>
    </row>
    <row r="1417" ht="22.5" customHeight="1">
      <c r="A1417" s="80">
        <v>598.0</v>
      </c>
      <c r="B1417" s="81" t="s">
        <v>2527</v>
      </c>
      <c r="C1417" s="82"/>
      <c r="D1417" s="80">
        <v>8.658504491E9</v>
      </c>
      <c r="E1417" s="81" t="s">
        <v>11</v>
      </c>
      <c r="F1417" s="81" t="s">
        <v>385</v>
      </c>
      <c r="G1417" s="83" t="s">
        <v>1931</v>
      </c>
      <c r="H1417" s="75" t="s">
        <v>1932</v>
      </c>
      <c r="I1417" s="85" t="s">
        <v>1967</v>
      </c>
      <c r="J1417" s="84"/>
      <c r="K1417" s="78" t="s">
        <v>1933</v>
      </c>
      <c r="L1417" s="79"/>
    </row>
    <row r="1418" ht="22.5" customHeight="1">
      <c r="A1418" s="71">
        <v>599.0</v>
      </c>
      <c r="B1418" s="72" t="s">
        <v>2528</v>
      </c>
      <c r="C1418" s="73"/>
      <c r="D1418" s="71">
        <v>8.456901773E9</v>
      </c>
      <c r="E1418" s="72" t="s">
        <v>11</v>
      </c>
      <c r="F1418" s="72" t="s">
        <v>385</v>
      </c>
      <c r="G1418" s="74" t="s">
        <v>1931</v>
      </c>
      <c r="H1418" s="75" t="s">
        <v>1932</v>
      </c>
      <c r="I1418" s="85" t="s">
        <v>1967</v>
      </c>
      <c r="J1418" s="77"/>
      <c r="K1418" s="78" t="s">
        <v>1933</v>
      </c>
      <c r="L1418" s="79"/>
    </row>
    <row r="1419" ht="22.5" customHeight="1">
      <c r="A1419" s="80">
        <v>600.0</v>
      </c>
      <c r="B1419" s="81" t="s">
        <v>2529</v>
      </c>
      <c r="C1419" s="82"/>
      <c r="D1419" s="80">
        <v>9.380693327E9</v>
      </c>
      <c r="E1419" s="81" t="s">
        <v>11</v>
      </c>
      <c r="F1419" s="81" t="s">
        <v>385</v>
      </c>
      <c r="G1419" s="83" t="s">
        <v>1931</v>
      </c>
      <c r="H1419" s="75" t="s">
        <v>1932</v>
      </c>
      <c r="I1419" s="85" t="s">
        <v>1967</v>
      </c>
      <c r="J1419" s="84"/>
      <c r="K1419" s="78" t="s">
        <v>1933</v>
      </c>
      <c r="L1419" s="79"/>
    </row>
    <row r="1420" ht="22.5" customHeight="1">
      <c r="A1420" s="71">
        <v>601.0</v>
      </c>
      <c r="B1420" s="72" t="s">
        <v>2530</v>
      </c>
      <c r="C1420" s="73"/>
      <c r="D1420" s="71">
        <v>9.861653273E9</v>
      </c>
      <c r="E1420" s="72" t="s">
        <v>11</v>
      </c>
      <c r="F1420" s="72" t="s">
        <v>385</v>
      </c>
      <c r="G1420" s="74" t="s">
        <v>1931</v>
      </c>
      <c r="H1420" s="75" t="s">
        <v>1932</v>
      </c>
      <c r="I1420" s="85" t="s">
        <v>1967</v>
      </c>
      <c r="J1420" s="77"/>
      <c r="K1420" s="78" t="s">
        <v>1933</v>
      </c>
      <c r="L1420" s="79"/>
    </row>
    <row r="1421" ht="22.5" customHeight="1">
      <c r="A1421" s="80">
        <v>602.0</v>
      </c>
      <c r="B1421" s="81" t="s">
        <v>2531</v>
      </c>
      <c r="C1421" s="82"/>
      <c r="D1421" s="80">
        <v>8.327760923E9</v>
      </c>
      <c r="E1421" s="81" t="s">
        <v>11</v>
      </c>
      <c r="F1421" s="81" t="s">
        <v>385</v>
      </c>
      <c r="G1421" s="83" t="s">
        <v>1931</v>
      </c>
      <c r="H1421" s="75" t="s">
        <v>1932</v>
      </c>
      <c r="I1421" s="85" t="s">
        <v>1967</v>
      </c>
      <c r="J1421" s="84"/>
      <c r="K1421" s="78" t="s">
        <v>1933</v>
      </c>
      <c r="L1421" s="79"/>
    </row>
    <row r="1422" ht="22.5" customHeight="1">
      <c r="A1422" s="71">
        <v>603.0</v>
      </c>
      <c r="B1422" s="72" t="s">
        <v>2532</v>
      </c>
      <c r="C1422" s="73"/>
      <c r="D1422" s="71">
        <v>7.97852381E9</v>
      </c>
      <c r="E1422" s="72" t="s">
        <v>11</v>
      </c>
      <c r="F1422" s="72" t="s">
        <v>385</v>
      </c>
      <c r="G1422" s="74" t="s">
        <v>1931</v>
      </c>
      <c r="H1422" s="75" t="s">
        <v>1932</v>
      </c>
      <c r="I1422" s="85" t="s">
        <v>1967</v>
      </c>
      <c r="J1422" s="77"/>
      <c r="K1422" s="78" t="s">
        <v>1933</v>
      </c>
      <c r="L1422" s="79"/>
    </row>
    <row r="1423" ht="22.5" customHeight="1">
      <c r="A1423" s="80">
        <v>604.0</v>
      </c>
      <c r="B1423" s="81" t="s">
        <v>2533</v>
      </c>
      <c r="C1423" s="82"/>
      <c r="D1423" s="80">
        <v>9.937458341E9</v>
      </c>
      <c r="E1423" s="81" t="s">
        <v>11</v>
      </c>
      <c r="F1423" s="81" t="s">
        <v>385</v>
      </c>
      <c r="G1423" s="83" t="s">
        <v>1931</v>
      </c>
      <c r="H1423" s="75" t="s">
        <v>1932</v>
      </c>
      <c r="I1423" s="85" t="s">
        <v>1967</v>
      </c>
      <c r="J1423" s="84"/>
      <c r="K1423" s="78" t="s">
        <v>1933</v>
      </c>
      <c r="L1423" s="79"/>
    </row>
    <row r="1424" ht="22.5" customHeight="1">
      <c r="A1424" s="71">
        <v>605.0</v>
      </c>
      <c r="B1424" s="72" t="s">
        <v>2534</v>
      </c>
      <c r="C1424" s="73"/>
      <c r="D1424" s="71">
        <v>9.9386162E9</v>
      </c>
      <c r="E1424" s="72" t="s">
        <v>11</v>
      </c>
      <c r="F1424" s="72" t="s">
        <v>385</v>
      </c>
      <c r="G1424" s="74" t="s">
        <v>1931</v>
      </c>
      <c r="H1424" s="75" t="s">
        <v>1932</v>
      </c>
      <c r="I1424" s="85" t="s">
        <v>1967</v>
      </c>
      <c r="J1424" s="77"/>
      <c r="K1424" s="78" t="s">
        <v>1933</v>
      </c>
      <c r="L1424" s="79"/>
    </row>
    <row r="1425" ht="22.5" customHeight="1">
      <c r="A1425" s="80">
        <v>606.0</v>
      </c>
      <c r="B1425" s="81" t="s">
        <v>2535</v>
      </c>
      <c r="C1425" s="82"/>
      <c r="D1425" s="80">
        <v>8.599840145E9</v>
      </c>
      <c r="E1425" s="81" t="s">
        <v>11</v>
      </c>
      <c r="F1425" s="81" t="s">
        <v>385</v>
      </c>
      <c r="G1425" s="83" t="s">
        <v>1931</v>
      </c>
      <c r="H1425" s="75" t="s">
        <v>1932</v>
      </c>
      <c r="I1425" s="85" t="s">
        <v>1967</v>
      </c>
      <c r="J1425" s="84"/>
      <c r="K1425" s="78" t="s">
        <v>1933</v>
      </c>
      <c r="L1425" s="79"/>
    </row>
    <row r="1426" ht="22.5" customHeight="1">
      <c r="A1426" s="71">
        <v>607.0</v>
      </c>
      <c r="B1426" s="72" t="s">
        <v>2536</v>
      </c>
      <c r="C1426" s="73"/>
      <c r="D1426" s="71">
        <v>9.996152734E9</v>
      </c>
      <c r="E1426" s="72" t="s">
        <v>11</v>
      </c>
      <c r="F1426" s="72" t="s">
        <v>385</v>
      </c>
      <c r="G1426" s="74" t="s">
        <v>1931</v>
      </c>
      <c r="H1426" s="75" t="s">
        <v>1932</v>
      </c>
      <c r="I1426" s="85" t="s">
        <v>1967</v>
      </c>
      <c r="J1426" s="77"/>
      <c r="K1426" s="78" t="s">
        <v>1933</v>
      </c>
      <c r="L1426" s="79"/>
    </row>
    <row r="1427" ht="22.5" customHeight="1">
      <c r="A1427" s="80">
        <v>608.0</v>
      </c>
      <c r="B1427" s="81" t="s">
        <v>2537</v>
      </c>
      <c r="C1427" s="82"/>
      <c r="D1427" s="80">
        <v>8.480494644E9</v>
      </c>
      <c r="E1427" s="81" t="s">
        <v>11</v>
      </c>
      <c r="F1427" s="81" t="s">
        <v>385</v>
      </c>
      <c r="G1427" s="83" t="s">
        <v>1931</v>
      </c>
      <c r="H1427" s="75" t="s">
        <v>1932</v>
      </c>
      <c r="I1427" s="85" t="s">
        <v>1967</v>
      </c>
      <c r="J1427" s="84"/>
      <c r="K1427" s="78" t="s">
        <v>1933</v>
      </c>
      <c r="L1427" s="79"/>
    </row>
    <row r="1428" ht="22.5" customHeight="1">
      <c r="A1428" s="71">
        <v>609.0</v>
      </c>
      <c r="B1428" s="72" t="s">
        <v>2538</v>
      </c>
      <c r="C1428" s="73"/>
      <c r="D1428" s="71">
        <v>6.3711615E9</v>
      </c>
      <c r="E1428" s="72" t="s">
        <v>11</v>
      </c>
      <c r="F1428" s="72" t="s">
        <v>385</v>
      </c>
      <c r="G1428" s="74" t="s">
        <v>1931</v>
      </c>
      <c r="H1428" s="75" t="s">
        <v>1932</v>
      </c>
      <c r="I1428" s="85" t="s">
        <v>1967</v>
      </c>
      <c r="J1428" s="77"/>
      <c r="K1428" s="78" t="s">
        <v>1933</v>
      </c>
      <c r="L1428" s="79"/>
    </row>
    <row r="1429" ht="22.5" customHeight="1">
      <c r="A1429" s="80">
        <v>610.0</v>
      </c>
      <c r="B1429" s="81" t="s">
        <v>2539</v>
      </c>
      <c r="C1429" s="82"/>
      <c r="D1429" s="80">
        <v>9.641125677E9</v>
      </c>
      <c r="E1429" s="81" t="s">
        <v>11</v>
      </c>
      <c r="F1429" s="81" t="s">
        <v>385</v>
      </c>
      <c r="G1429" s="83" t="s">
        <v>1931</v>
      </c>
      <c r="H1429" s="75" t="s">
        <v>1932</v>
      </c>
      <c r="I1429" s="85" t="s">
        <v>1967</v>
      </c>
      <c r="J1429" s="84"/>
      <c r="K1429" s="78" t="s">
        <v>1933</v>
      </c>
      <c r="L1429" s="79"/>
    </row>
    <row r="1430" ht="22.5" customHeight="1">
      <c r="A1430" s="71">
        <v>611.0</v>
      </c>
      <c r="B1430" s="72" t="s">
        <v>2540</v>
      </c>
      <c r="C1430" s="73"/>
      <c r="D1430" s="71">
        <v>9.853217984E9</v>
      </c>
      <c r="E1430" s="72" t="s">
        <v>11</v>
      </c>
      <c r="F1430" s="72" t="s">
        <v>385</v>
      </c>
      <c r="G1430" s="74" t="s">
        <v>1931</v>
      </c>
      <c r="H1430" s="75" t="s">
        <v>1932</v>
      </c>
      <c r="I1430" s="85" t="s">
        <v>1967</v>
      </c>
      <c r="J1430" s="77"/>
      <c r="K1430" s="78" t="s">
        <v>1933</v>
      </c>
      <c r="L1430" s="79"/>
    </row>
    <row r="1431" ht="22.5" customHeight="1">
      <c r="A1431" s="80">
        <v>612.0</v>
      </c>
      <c r="B1431" s="81" t="s">
        <v>2541</v>
      </c>
      <c r="C1431" s="82"/>
      <c r="D1431" s="80">
        <v>8.65852448E9</v>
      </c>
      <c r="E1431" s="81" t="s">
        <v>11</v>
      </c>
      <c r="F1431" s="81" t="s">
        <v>385</v>
      </c>
      <c r="G1431" s="83" t="s">
        <v>1931</v>
      </c>
      <c r="H1431" s="75" t="s">
        <v>1932</v>
      </c>
      <c r="I1431" s="85" t="s">
        <v>1967</v>
      </c>
      <c r="J1431" s="84"/>
      <c r="K1431" s="78" t="s">
        <v>1933</v>
      </c>
      <c r="L1431" s="79"/>
    </row>
    <row r="1432" ht="22.5" customHeight="1">
      <c r="A1432" s="71">
        <v>613.0</v>
      </c>
      <c r="B1432" s="72" t="s">
        <v>2542</v>
      </c>
      <c r="C1432" s="73"/>
      <c r="D1432" s="71">
        <v>8.09351482E9</v>
      </c>
      <c r="E1432" s="72" t="s">
        <v>11</v>
      </c>
      <c r="F1432" s="72" t="s">
        <v>385</v>
      </c>
      <c r="G1432" s="74" t="s">
        <v>1931</v>
      </c>
      <c r="H1432" s="75" t="s">
        <v>1932</v>
      </c>
      <c r="I1432" s="85" t="s">
        <v>1967</v>
      </c>
      <c r="J1432" s="77"/>
      <c r="K1432" s="78" t="s">
        <v>1933</v>
      </c>
      <c r="L1432" s="79"/>
    </row>
    <row r="1433" ht="22.5" customHeight="1">
      <c r="A1433" s="80">
        <v>614.0</v>
      </c>
      <c r="B1433" s="81" t="s">
        <v>2543</v>
      </c>
      <c r="C1433" s="82"/>
      <c r="D1433" s="80">
        <v>9.556408545E9</v>
      </c>
      <c r="E1433" s="81" t="s">
        <v>11</v>
      </c>
      <c r="F1433" s="81" t="s">
        <v>385</v>
      </c>
      <c r="G1433" s="83" t="s">
        <v>1931</v>
      </c>
      <c r="H1433" s="75" t="s">
        <v>1932</v>
      </c>
      <c r="I1433" s="85" t="s">
        <v>1967</v>
      </c>
      <c r="J1433" s="84"/>
      <c r="K1433" s="78" t="s">
        <v>1933</v>
      </c>
      <c r="L1433" s="79"/>
    </row>
    <row r="1434" ht="22.5" customHeight="1">
      <c r="A1434" s="71">
        <v>615.0</v>
      </c>
      <c r="B1434" s="72" t="s">
        <v>2544</v>
      </c>
      <c r="C1434" s="73"/>
      <c r="D1434" s="71">
        <v>8.637089265E9</v>
      </c>
      <c r="E1434" s="72" t="s">
        <v>11</v>
      </c>
      <c r="F1434" s="72" t="s">
        <v>385</v>
      </c>
      <c r="G1434" s="74" t="s">
        <v>1931</v>
      </c>
      <c r="H1434" s="75" t="s">
        <v>1932</v>
      </c>
      <c r="I1434" s="85" t="s">
        <v>1967</v>
      </c>
      <c r="J1434" s="77"/>
      <c r="K1434" s="78" t="s">
        <v>1933</v>
      </c>
      <c r="L1434" s="79"/>
    </row>
    <row r="1435" ht="22.5" customHeight="1">
      <c r="A1435" s="80">
        <v>616.0</v>
      </c>
      <c r="B1435" s="81" t="s">
        <v>2545</v>
      </c>
      <c r="C1435" s="82"/>
      <c r="D1435" s="80">
        <v>7.735085051E9</v>
      </c>
      <c r="E1435" s="81" t="s">
        <v>11</v>
      </c>
      <c r="F1435" s="81" t="s">
        <v>385</v>
      </c>
      <c r="G1435" s="83" t="s">
        <v>1931</v>
      </c>
      <c r="H1435" s="75" t="s">
        <v>1932</v>
      </c>
      <c r="I1435" s="85" t="s">
        <v>1967</v>
      </c>
      <c r="J1435" s="84"/>
      <c r="K1435" s="78" t="s">
        <v>1933</v>
      </c>
      <c r="L1435" s="79"/>
    </row>
    <row r="1436" ht="22.5" customHeight="1">
      <c r="A1436" s="71">
        <v>617.0</v>
      </c>
      <c r="B1436" s="72" t="s">
        <v>2546</v>
      </c>
      <c r="C1436" s="73"/>
      <c r="D1436" s="71">
        <v>8.144168445E9</v>
      </c>
      <c r="E1436" s="72" t="s">
        <v>11</v>
      </c>
      <c r="F1436" s="72" t="s">
        <v>385</v>
      </c>
      <c r="G1436" s="74" t="s">
        <v>1931</v>
      </c>
      <c r="H1436" s="75" t="s">
        <v>1932</v>
      </c>
      <c r="I1436" s="85" t="s">
        <v>1967</v>
      </c>
      <c r="J1436" s="77"/>
      <c r="K1436" s="78" t="s">
        <v>1933</v>
      </c>
      <c r="L1436" s="79"/>
    </row>
    <row r="1437" ht="22.5" customHeight="1">
      <c r="A1437" s="80">
        <v>618.0</v>
      </c>
      <c r="B1437" s="81" t="s">
        <v>2547</v>
      </c>
      <c r="C1437" s="82"/>
      <c r="D1437" s="80">
        <v>8.018828107E9</v>
      </c>
      <c r="E1437" s="81" t="s">
        <v>11</v>
      </c>
      <c r="F1437" s="81" t="s">
        <v>385</v>
      </c>
      <c r="G1437" s="83" t="s">
        <v>1931</v>
      </c>
      <c r="H1437" s="75" t="s">
        <v>1932</v>
      </c>
      <c r="I1437" s="85" t="s">
        <v>1967</v>
      </c>
      <c r="J1437" s="84"/>
      <c r="K1437" s="78" t="s">
        <v>1933</v>
      </c>
      <c r="L1437" s="79"/>
    </row>
    <row r="1438" ht="22.5" customHeight="1">
      <c r="A1438" s="71">
        <v>619.0</v>
      </c>
      <c r="B1438" s="72" t="s">
        <v>2548</v>
      </c>
      <c r="C1438" s="73"/>
      <c r="D1438" s="71">
        <v>7.008146127E9</v>
      </c>
      <c r="E1438" s="72" t="s">
        <v>11</v>
      </c>
      <c r="F1438" s="72" t="s">
        <v>385</v>
      </c>
      <c r="G1438" s="74" t="s">
        <v>1931</v>
      </c>
      <c r="H1438" s="75" t="s">
        <v>1932</v>
      </c>
      <c r="I1438" s="85" t="s">
        <v>1967</v>
      </c>
      <c r="J1438" s="77"/>
      <c r="K1438" s="78" t="s">
        <v>1933</v>
      </c>
      <c r="L1438" s="79"/>
    </row>
    <row r="1439" ht="22.5" customHeight="1">
      <c r="A1439" s="80">
        <v>620.0</v>
      </c>
      <c r="B1439" s="81" t="s">
        <v>2549</v>
      </c>
      <c r="C1439" s="82"/>
      <c r="D1439" s="80">
        <v>6.370467795E9</v>
      </c>
      <c r="E1439" s="81" t="s">
        <v>11</v>
      </c>
      <c r="F1439" s="81" t="s">
        <v>385</v>
      </c>
      <c r="G1439" s="83" t="s">
        <v>1931</v>
      </c>
      <c r="H1439" s="75" t="s">
        <v>1932</v>
      </c>
      <c r="I1439" s="85" t="s">
        <v>1967</v>
      </c>
      <c r="J1439" s="84"/>
      <c r="K1439" s="78" t="s">
        <v>1933</v>
      </c>
      <c r="L1439" s="79"/>
    </row>
    <row r="1440" ht="22.5" customHeight="1">
      <c r="A1440" s="71">
        <v>621.0</v>
      </c>
      <c r="B1440" s="72" t="s">
        <v>2550</v>
      </c>
      <c r="C1440" s="73"/>
      <c r="D1440" s="71">
        <v>9.090208103E9</v>
      </c>
      <c r="E1440" s="72" t="s">
        <v>11</v>
      </c>
      <c r="F1440" s="72" t="s">
        <v>385</v>
      </c>
      <c r="G1440" s="74" t="s">
        <v>1931</v>
      </c>
      <c r="H1440" s="75" t="s">
        <v>1932</v>
      </c>
      <c r="I1440" s="85" t="s">
        <v>1967</v>
      </c>
      <c r="J1440" s="77"/>
      <c r="K1440" s="78" t="s">
        <v>1933</v>
      </c>
      <c r="L1440" s="79"/>
    </row>
    <row r="1441" ht="22.5" customHeight="1">
      <c r="A1441" s="80">
        <v>622.0</v>
      </c>
      <c r="B1441" s="81" t="s">
        <v>2551</v>
      </c>
      <c r="C1441" s="82"/>
      <c r="D1441" s="80">
        <v>9.435528913E9</v>
      </c>
      <c r="E1441" s="81" t="s">
        <v>11</v>
      </c>
      <c r="F1441" s="81" t="s">
        <v>385</v>
      </c>
      <c r="G1441" s="83" t="s">
        <v>1931</v>
      </c>
      <c r="H1441" s="75" t="s">
        <v>1932</v>
      </c>
      <c r="I1441" s="85" t="s">
        <v>1967</v>
      </c>
      <c r="J1441" s="84"/>
      <c r="K1441" s="78" t="s">
        <v>1933</v>
      </c>
      <c r="L1441" s="79"/>
    </row>
    <row r="1442" ht="22.5" customHeight="1">
      <c r="A1442" s="71">
        <v>623.0</v>
      </c>
      <c r="B1442" s="72" t="s">
        <v>2552</v>
      </c>
      <c r="C1442" s="73"/>
      <c r="D1442" s="71">
        <v>9.777268911E9</v>
      </c>
      <c r="E1442" s="72" t="s">
        <v>11</v>
      </c>
      <c r="F1442" s="72" t="s">
        <v>385</v>
      </c>
      <c r="G1442" s="74" t="s">
        <v>1931</v>
      </c>
      <c r="H1442" s="75" t="s">
        <v>1932</v>
      </c>
      <c r="I1442" s="85" t="s">
        <v>1967</v>
      </c>
      <c r="J1442" s="77"/>
      <c r="K1442" s="78" t="s">
        <v>1933</v>
      </c>
      <c r="L1442" s="79"/>
    </row>
    <row r="1443" ht="22.5" customHeight="1">
      <c r="A1443" s="80">
        <v>624.0</v>
      </c>
      <c r="B1443" s="81" t="s">
        <v>2553</v>
      </c>
      <c r="C1443" s="82"/>
      <c r="D1443" s="80">
        <v>8.249132545E9</v>
      </c>
      <c r="E1443" s="81" t="s">
        <v>11</v>
      </c>
      <c r="F1443" s="81" t="s">
        <v>385</v>
      </c>
      <c r="G1443" s="83" t="s">
        <v>1931</v>
      </c>
      <c r="H1443" s="75" t="s">
        <v>1932</v>
      </c>
      <c r="I1443" s="85" t="s">
        <v>1967</v>
      </c>
      <c r="J1443" s="84"/>
      <c r="K1443" s="78" t="s">
        <v>1933</v>
      </c>
      <c r="L1443" s="79"/>
    </row>
    <row r="1444" ht="22.5" customHeight="1">
      <c r="A1444" s="71">
        <v>625.0</v>
      </c>
      <c r="B1444" s="72" t="s">
        <v>2554</v>
      </c>
      <c r="C1444" s="73"/>
      <c r="D1444" s="71">
        <v>7.608032155E9</v>
      </c>
      <c r="E1444" s="72" t="s">
        <v>11</v>
      </c>
      <c r="F1444" s="72" t="s">
        <v>385</v>
      </c>
      <c r="G1444" s="74" t="s">
        <v>1931</v>
      </c>
      <c r="H1444" s="75" t="s">
        <v>1932</v>
      </c>
      <c r="I1444" s="85" t="s">
        <v>1967</v>
      </c>
      <c r="J1444" s="77"/>
      <c r="K1444" s="78" t="s">
        <v>1933</v>
      </c>
      <c r="L1444" s="79"/>
    </row>
    <row r="1445" ht="22.5" customHeight="1">
      <c r="A1445" s="80">
        <v>626.0</v>
      </c>
      <c r="B1445" s="81" t="s">
        <v>2555</v>
      </c>
      <c r="C1445" s="82"/>
      <c r="D1445" s="80">
        <v>6.372798961E9</v>
      </c>
      <c r="E1445" s="81" t="s">
        <v>11</v>
      </c>
      <c r="F1445" s="81" t="s">
        <v>385</v>
      </c>
      <c r="G1445" s="83" t="s">
        <v>1931</v>
      </c>
      <c r="H1445" s="75" t="s">
        <v>1932</v>
      </c>
      <c r="I1445" s="85" t="s">
        <v>1967</v>
      </c>
      <c r="J1445" s="84"/>
      <c r="K1445" s="78" t="s">
        <v>1933</v>
      </c>
      <c r="L1445" s="79"/>
    </row>
    <row r="1446" ht="22.5" customHeight="1">
      <c r="A1446" s="71">
        <v>627.0</v>
      </c>
      <c r="B1446" s="72" t="s">
        <v>2556</v>
      </c>
      <c r="C1446" s="73"/>
      <c r="D1446" s="71">
        <v>9.777067991E9</v>
      </c>
      <c r="E1446" s="72" t="s">
        <v>11</v>
      </c>
      <c r="F1446" s="72" t="s">
        <v>385</v>
      </c>
      <c r="G1446" s="74" t="s">
        <v>1931</v>
      </c>
      <c r="H1446" s="75" t="s">
        <v>1932</v>
      </c>
      <c r="I1446" s="85" t="s">
        <v>1967</v>
      </c>
      <c r="J1446" s="77"/>
      <c r="K1446" s="78" t="s">
        <v>1933</v>
      </c>
      <c r="L1446" s="79"/>
    </row>
    <row r="1447" ht="22.5" customHeight="1">
      <c r="A1447" s="80">
        <v>628.0</v>
      </c>
      <c r="B1447" s="81" t="s">
        <v>2557</v>
      </c>
      <c r="C1447" s="82"/>
      <c r="D1447" s="80">
        <v>7.849063364E9</v>
      </c>
      <c r="E1447" s="81" t="s">
        <v>11</v>
      </c>
      <c r="F1447" s="81" t="s">
        <v>385</v>
      </c>
      <c r="G1447" s="83" t="s">
        <v>1931</v>
      </c>
      <c r="H1447" s="75" t="s">
        <v>1932</v>
      </c>
      <c r="I1447" s="85" t="s">
        <v>1967</v>
      </c>
      <c r="J1447" s="84"/>
      <c r="K1447" s="78" t="s">
        <v>1933</v>
      </c>
      <c r="L1447" s="79"/>
    </row>
    <row r="1448" ht="22.5" customHeight="1">
      <c r="A1448" s="71">
        <v>629.0</v>
      </c>
      <c r="B1448" s="72" t="s">
        <v>2558</v>
      </c>
      <c r="C1448" s="73"/>
      <c r="D1448" s="71">
        <v>8.260422737E9</v>
      </c>
      <c r="E1448" s="72" t="s">
        <v>11</v>
      </c>
      <c r="F1448" s="72" t="s">
        <v>385</v>
      </c>
      <c r="G1448" s="74" t="s">
        <v>1931</v>
      </c>
      <c r="H1448" s="75" t="s">
        <v>1932</v>
      </c>
      <c r="I1448" s="85" t="s">
        <v>1967</v>
      </c>
      <c r="J1448" s="77"/>
      <c r="K1448" s="78" t="s">
        <v>1933</v>
      </c>
      <c r="L1448" s="79"/>
    </row>
    <row r="1449" ht="22.5" customHeight="1">
      <c r="A1449" s="80">
        <v>630.0</v>
      </c>
      <c r="B1449" s="81" t="s">
        <v>2559</v>
      </c>
      <c r="C1449" s="82"/>
      <c r="D1449" s="80">
        <v>7.978387034E9</v>
      </c>
      <c r="E1449" s="81" t="s">
        <v>11</v>
      </c>
      <c r="F1449" s="81" t="s">
        <v>385</v>
      </c>
      <c r="G1449" s="83" t="s">
        <v>1931</v>
      </c>
      <c r="H1449" s="75" t="s">
        <v>1932</v>
      </c>
      <c r="I1449" s="85" t="s">
        <v>1967</v>
      </c>
      <c r="J1449" s="84"/>
      <c r="K1449" s="78" t="s">
        <v>1933</v>
      </c>
      <c r="L1449" s="79"/>
    </row>
    <row r="1450" ht="22.5" customHeight="1">
      <c r="A1450" s="71">
        <v>631.0</v>
      </c>
      <c r="B1450" s="72" t="s">
        <v>2560</v>
      </c>
      <c r="C1450" s="73"/>
      <c r="D1450" s="71">
        <v>7.855884481E9</v>
      </c>
      <c r="E1450" s="72" t="s">
        <v>11</v>
      </c>
      <c r="F1450" s="72" t="s">
        <v>385</v>
      </c>
      <c r="G1450" s="74" t="s">
        <v>1931</v>
      </c>
      <c r="H1450" s="75" t="s">
        <v>1932</v>
      </c>
      <c r="I1450" s="85" t="s">
        <v>1967</v>
      </c>
      <c r="J1450" s="77"/>
      <c r="K1450" s="78" t="s">
        <v>1933</v>
      </c>
      <c r="L1450" s="79"/>
    </row>
    <row r="1451" ht="22.5" customHeight="1">
      <c r="A1451" s="80">
        <v>632.0</v>
      </c>
      <c r="B1451" s="81" t="s">
        <v>2561</v>
      </c>
      <c r="C1451" s="82"/>
      <c r="D1451" s="80">
        <v>9.124325622E9</v>
      </c>
      <c r="E1451" s="81" t="s">
        <v>11</v>
      </c>
      <c r="F1451" s="81" t="s">
        <v>385</v>
      </c>
      <c r="G1451" s="83" t="s">
        <v>1931</v>
      </c>
      <c r="H1451" s="75" t="s">
        <v>1932</v>
      </c>
      <c r="I1451" s="85" t="s">
        <v>1967</v>
      </c>
      <c r="J1451" s="84"/>
      <c r="K1451" s="78" t="s">
        <v>1933</v>
      </c>
      <c r="L1451" s="79"/>
    </row>
    <row r="1452" ht="22.5" customHeight="1">
      <c r="A1452" s="71">
        <v>633.0</v>
      </c>
      <c r="B1452" s="72" t="s">
        <v>2562</v>
      </c>
      <c r="C1452" s="73"/>
      <c r="D1452" s="71">
        <v>8.328815018E9</v>
      </c>
      <c r="E1452" s="72" t="s">
        <v>11</v>
      </c>
      <c r="F1452" s="72" t="s">
        <v>385</v>
      </c>
      <c r="G1452" s="74" t="s">
        <v>1931</v>
      </c>
      <c r="H1452" s="75" t="s">
        <v>1932</v>
      </c>
      <c r="I1452" s="85" t="s">
        <v>1967</v>
      </c>
      <c r="J1452" s="77"/>
      <c r="K1452" s="78" t="s">
        <v>1933</v>
      </c>
      <c r="L1452" s="79"/>
    </row>
    <row r="1453" ht="22.5" customHeight="1">
      <c r="A1453" s="80">
        <v>634.0</v>
      </c>
      <c r="B1453" s="81" t="s">
        <v>2563</v>
      </c>
      <c r="C1453" s="82"/>
      <c r="D1453" s="80">
        <v>9.43824856E9</v>
      </c>
      <c r="E1453" s="81" t="s">
        <v>11</v>
      </c>
      <c r="F1453" s="81" t="s">
        <v>385</v>
      </c>
      <c r="G1453" s="83" t="s">
        <v>1931</v>
      </c>
      <c r="H1453" s="75" t="s">
        <v>1932</v>
      </c>
      <c r="I1453" s="85" t="s">
        <v>1967</v>
      </c>
      <c r="J1453" s="84"/>
      <c r="K1453" s="78" t="s">
        <v>1933</v>
      </c>
      <c r="L1453" s="79"/>
    </row>
    <row r="1454" ht="22.5" customHeight="1">
      <c r="A1454" s="71">
        <v>635.0</v>
      </c>
      <c r="B1454" s="72" t="s">
        <v>2564</v>
      </c>
      <c r="C1454" s="73"/>
      <c r="D1454" s="71">
        <v>9.437907411E9</v>
      </c>
      <c r="E1454" s="72" t="s">
        <v>11</v>
      </c>
      <c r="F1454" s="72" t="s">
        <v>385</v>
      </c>
      <c r="G1454" s="74" t="s">
        <v>1931</v>
      </c>
      <c r="H1454" s="75" t="s">
        <v>1932</v>
      </c>
      <c r="I1454" s="85" t="s">
        <v>1967</v>
      </c>
      <c r="J1454" s="77"/>
      <c r="K1454" s="78" t="s">
        <v>1933</v>
      </c>
      <c r="L1454" s="79"/>
    </row>
    <row r="1455" ht="22.5" customHeight="1">
      <c r="A1455" s="80">
        <v>636.0</v>
      </c>
      <c r="B1455" s="81" t="s">
        <v>2565</v>
      </c>
      <c r="C1455" s="82"/>
      <c r="D1455" s="80">
        <v>9.937536646E9</v>
      </c>
      <c r="E1455" s="81" t="s">
        <v>11</v>
      </c>
      <c r="F1455" s="81" t="s">
        <v>385</v>
      </c>
      <c r="G1455" s="83" t="s">
        <v>1931</v>
      </c>
      <c r="H1455" s="75" t="s">
        <v>1932</v>
      </c>
      <c r="I1455" s="85" t="s">
        <v>1967</v>
      </c>
      <c r="J1455" s="84"/>
      <c r="K1455" s="78" t="s">
        <v>1933</v>
      </c>
      <c r="L1455" s="79"/>
    </row>
    <row r="1456" ht="22.5" customHeight="1">
      <c r="A1456" s="71">
        <v>637.0</v>
      </c>
      <c r="B1456" s="72" t="s">
        <v>2566</v>
      </c>
      <c r="C1456" s="73"/>
      <c r="D1456" s="71">
        <v>9.583061207E9</v>
      </c>
      <c r="E1456" s="72" t="s">
        <v>11</v>
      </c>
      <c r="F1456" s="72" t="s">
        <v>385</v>
      </c>
      <c r="G1456" s="74" t="s">
        <v>1931</v>
      </c>
      <c r="H1456" s="75" t="s">
        <v>1932</v>
      </c>
      <c r="I1456" s="85" t="s">
        <v>1967</v>
      </c>
      <c r="J1456" s="77"/>
      <c r="K1456" s="78" t="s">
        <v>1933</v>
      </c>
      <c r="L1456" s="79"/>
    </row>
    <row r="1457" ht="22.5" customHeight="1">
      <c r="A1457" s="80">
        <v>638.0</v>
      </c>
      <c r="B1457" s="81" t="s">
        <v>2567</v>
      </c>
      <c r="C1457" s="82"/>
      <c r="D1457" s="80">
        <v>6.370136014E9</v>
      </c>
      <c r="E1457" s="81" t="s">
        <v>11</v>
      </c>
      <c r="F1457" s="81" t="s">
        <v>385</v>
      </c>
      <c r="G1457" s="83" t="s">
        <v>1931</v>
      </c>
      <c r="H1457" s="75" t="s">
        <v>1932</v>
      </c>
      <c r="I1457" s="85" t="s">
        <v>1967</v>
      </c>
      <c r="J1457" s="84"/>
      <c r="K1457" s="78" t="s">
        <v>1933</v>
      </c>
      <c r="L1457" s="79"/>
    </row>
    <row r="1458" ht="22.5" customHeight="1">
      <c r="A1458" s="71">
        <v>639.0</v>
      </c>
      <c r="B1458" s="72" t="s">
        <v>2568</v>
      </c>
      <c r="C1458" s="73"/>
      <c r="D1458" s="71">
        <v>9.668981106E9</v>
      </c>
      <c r="E1458" s="72" t="s">
        <v>11</v>
      </c>
      <c r="F1458" s="72" t="s">
        <v>385</v>
      </c>
      <c r="G1458" s="74" t="s">
        <v>1931</v>
      </c>
      <c r="H1458" s="75" t="s">
        <v>1932</v>
      </c>
      <c r="I1458" s="85" t="s">
        <v>1967</v>
      </c>
      <c r="J1458" s="77"/>
      <c r="K1458" s="78" t="s">
        <v>1933</v>
      </c>
      <c r="L1458" s="79"/>
    </row>
    <row r="1459" ht="22.5" customHeight="1">
      <c r="A1459" s="80">
        <v>640.0</v>
      </c>
      <c r="B1459" s="81" t="s">
        <v>2569</v>
      </c>
      <c r="C1459" s="82"/>
      <c r="D1459" s="80">
        <v>7.986415119E9</v>
      </c>
      <c r="E1459" s="81" t="s">
        <v>11</v>
      </c>
      <c r="F1459" s="81" t="s">
        <v>385</v>
      </c>
      <c r="G1459" s="83" t="s">
        <v>1931</v>
      </c>
      <c r="H1459" s="75" t="s">
        <v>1932</v>
      </c>
      <c r="I1459" s="85" t="s">
        <v>1967</v>
      </c>
      <c r="J1459" s="84"/>
      <c r="K1459" s="78" t="s">
        <v>1933</v>
      </c>
      <c r="L1459" s="79"/>
    </row>
    <row r="1460" ht="22.5" customHeight="1">
      <c r="A1460" s="71">
        <v>641.0</v>
      </c>
      <c r="B1460" s="72" t="s">
        <v>2570</v>
      </c>
      <c r="C1460" s="73"/>
      <c r="D1460" s="71">
        <v>9.556031962E9</v>
      </c>
      <c r="E1460" s="72" t="s">
        <v>11</v>
      </c>
      <c r="F1460" s="72" t="s">
        <v>385</v>
      </c>
      <c r="G1460" s="74" t="s">
        <v>1931</v>
      </c>
      <c r="H1460" s="75" t="s">
        <v>1932</v>
      </c>
      <c r="I1460" s="85" t="s">
        <v>1967</v>
      </c>
      <c r="J1460" s="77"/>
      <c r="K1460" s="78" t="s">
        <v>1933</v>
      </c>
      <c r="L1460" s="79"/>
    </row>
    <row r="1461" ht="22.5" customHeight="1">
      <c r="A1461" s="80">
        <v>642.0</v>
      </c>
      <c r="B1461" s="81" t="s">
        <v>2571</v>
      </c>
      <c r="C1461" s="82"/>
      <c r="D1461" s="80">
        <v>7.008225809E9</v>
      </c>
      <c r="E1461" s="81" t="s">
        <v>11</v>
      </c>
      <c r="F1461" s="81" t="s">
        <v>385</v>
      </c>
      <c r="G1461" s="83" t="s">
        <v>1931</v>
      </c>
      <c r="H1461" s="75" t="s">
        <v>1932</v>
      </c>
      <c r="I1461" s="85" t="s">
        <v>1967</v>
      </c>
      <c r="J1461" s="84"/>
      <c r="K1461" s="78" t="s">
        <v>1933</v>
      </c>
      <c r="L1461" s="79"/>
    </row>
    <row r="1462" ht="22.5" customHeight="1">
      <c r="A1462" s="71">
        <v>643.0</v>
      </c>
      <c r="B1462" s="72" t="s">
        <v>2572</v>
      </c>
      <c r="C1462" s="73"/>
      <c r="D1462" s="71">
        <v>7.87262265E9</v>
      </c>
      <c r="E1462" s="72" t="s">
        <v>11</v>
      </c>
      <c r="F1462" s="72" t="s">
        <v>385</v>
      </c>
      <c r="G1462" s="74" t="s">
        <v>1931</v>
      </c>
      <c r="H1462" s="75" t="s">
        <v>1932</v>
      </c>
      <c r="I1462" s="85" t="s">
        <v>1967</v>
      </c>
      <c r="J1462" s="77"/>
      <c r="K1462" s="78" t="s">
        <v>1933</v>
      </c>
      <c r="L1462" s="79"/>
    </row>
    <row r="1463" ht="22.5" customHeight="1">
      <c r="A1463" s="80">
        <v>644.0</v>
      </c>
      <c r="B1463" s="81" t="s">
        <v>2573</v>
      </c>
      <c r="C1463" s="82"/>
      <c r="D1463" s="80">
        <v>7.853944544E9</v>
      </c>
      <c r="E1463" s="81" t="s">
        <v>11</v>
      </c>
      <c r="F1463" s="81" t="s">
        <v>385</v>
      </c>
      <c r="G1463" s="83" t="s">
        <v>1931</v>
      </c>
      <c r="H1463" s="75" t="s">
        <v>1932</v>
      </c>
      <c r="I1463" s="85" t="s">
        <v>1967</v>
      </c>
      <c r="J1463" s="84"/>
      <c r="K1463" s="78" t="s">
        <v>1933</v>
      </c>
      <c r="L1463" s="79"/>
    </row>
    <row r="1464" ht="22.5" customHeight="1">
      <c r="A1464" s="71">
        <v>645.0</v>
      </c>
      <c r="B1464" s="72" t="s">
        <v>2574</v>
      </c>
      <c r="C1464" s="73"/>
      <c r="D1464" s="71">
        <v>7.854886751E9</v>
      </c>
      <c r="E1464" s="72" t="s">
        <v>11</v>
      </c>
      <c r="F1464" s="72" t="s">
        <v>385</v>
      </c>
      <c r="G1464" s="74" t="s">
        <v>1931</v>
      </c>
      <c r="H1464" s="75" t="s">
        <v>1932</v>
      </c>
      <c r="I1464" s="85" t="s">
        <v>1967</v>
      </c>
      <c r="J1464" s="77"/>
      <c r="K1464" s="78" t="s">
        <v>1933</v>
      </c>
      <c r="L1464" s="79"/>
    </row>
    <row r="1465" ht="22.5" customHeight="1">
      <c r="A1465" s="80">
        <v>646.0</v>
      </c>
      <c r="B1465" s="81" t="s">
        <v>2575</v>
      </c>
      <c r="C1465" s="82"/>
      <c r="D1465" s="80">
        <v>7.381459287E9</v>
      </c>
      <c r="E1465" s="81" t="s">
        <v>11</v>
      </c>
      <c r="F1465" s="81" t="s">
        <v>385</v>
      </c>
      <c r="G1465" s="83" t="s">
        <v>1931</v>
      </c>
      <c r="H1465" s="75" t="s">
        <v>1932</v>
      </c>
      <c r="I1465" s="85" t="s">
        <v>1967</v>
      </c>
      <c r="J1465" s="84"/>
      <c r="K1465" s="78" t="s">
        <v>1933</v>
      </c>
      <c r="L1465" s="79"/>
    </row>
    <row r="1466" ht="22.5" customHeight="1">
      <c r="A1466" s="71">
        <v>647.0</v>
      </c>
      <c r="B1466" s="72" t="s">
        <v>2576</v>
      </c>
      <c r="C1466" s="73"/>
      <c r="D1466" s="71">
        <v>7.205963215E9</v>
      </c>
      <c r="E1466" s="72" t="s">
        <v>11</v>
      </c>
      <c r="F1466" s="72" t="s">
        <v>385</v>
      </c>
      <c r="G1466" s="74" t="s">
        <v>1931</v>
      </c>
      <c r="H1466" s="75" t="s">
        <v>1932</v>
      </c>
      <c r="I1466" s="76" t="s">
        <v>1729</v>
      </c>
      <c r="J1466" s="77"/>
      <c r="K1466" s="78" t="s">
        <v>1933</v>
      </c>
      <c r="L1466" s="79"/>
    </row>
    <row r="1467" ht="22.5" customHeight="1">
      <c r="A1467" s="80">
        <v>648.0</v>
      </c>
      <c r="B1467" s="81" t="s">
        <v>2577</v>
      </c>
      <c r="C1467" s="82"/>
      <c r="D1467" s="80">
        <v>9.348012279E9</v>
      </c>
      <c r="E1467" s="81" t="s">
        <v>11</v>
      </c>
      <c r="F1467" s="81" t="s">
        <v>385</v>
      </c>
      <c r="G1467" s="83" t="s">
        <v>1931</v>
      </c>
      <c r="H1467" s="75" t="s">
        <v>1932</v>
      </c>
      <c r="I1467" s="76" t="s">
        <v>1729</v>
      </c>
      <c r="J1467" s="84"/>
      <c r="K1467" s="78" t="s">
        <v>1933</v>
      </c>
      <c r="L1467" s="79"/>
    </row>
    <row r="1468" ht="22.5" customHeight="1">
      <c r="A1468" s="71">
        <v>649.0</v>
      </c>
      <c r="B1468" s="72" t="s">
        <v>2578</v>
      </c>
      <c r="C1468" s="73"/>
      <c r="D1468" s="71">
        <v>7.97896714E9</v>
      </c>
      <c r="E1468" s="72" t="s">
        <v>11</v>
      </c>
      <c r="F1468" s="72" t="s">
        <v>385</v>
      </c>
      <c r="G1468" s="74" t="s">
        <v>1931</v>
      </c>
      <c r="H1468" s="75" t="s">
        <v>1932</v>
      </c>
      <c r="I1468" s="86" t="s">
        <v>1731</v>
      </c>
      <c r="J1468" s="77"/>
      <c r="K1468" s="78" t="s">
        <v>1933</v>
      </c>
      <c r="L1468" s="79"/>
    </row>
    <row r="1469" ht="22.5" customHeight="1">
      <c r="A1469" s="80">
        <v>650.0</v>
      </c>
      <c r="B1469" s="81" t="s">
        <v>2579</v>
      </c>
      <c r="C1469" s="82"/>
      <c r="D1469" s="80">
        <v>7.683803014E9</v>
      </c>
      <c r="E1469" s="81" t="s">
        <v>11</v>
      </c>
      <c r="F1469" s="81" t="s">
        <v>385</v>
      </c>
      <c r="G1469" s="83" t="s">
        <v>1931</v>
      </c>
      <c r="H1469" s="75" t="s">
        <v>1932</v>
      </c>
      <c r="I1469" s="76" t="s">
        <v>1729</v>
      </c>
      <c r="J1469" s="84"/>
      <c r="K1469" s="78" t="s">
        <v>1933</v>
      </c>
      <c r="L1469" s="79"/>
    </row>
    <row r="1470" ht="22.5" customHeight="1">
      <c r="A1470" s="71">
        <v>651.0</v>
      </c>
      <c r="B1470" s="72" t="s">
        <v>2580</v>
      </c>
      <c r="C1470" s="73"/>
      <c r="D1470" s="71">
        <v>6.372569691E9</v>
      </c>
      <c r="E1470" s="72" t="s">
        <v>11</v>
      </c>
      <c r="F1470" s="72" t="s">
        <v>385</v>
      </c>
      <c r="G1470" s="74" t="s">
        <v>1931</v>
      </c>
      <c r="H1470" s="75" t="s">
        <v>1932</v>
      </c>
      <c r="I1470" s="87" t="s">
        <v>2581</v>
      </c>
      <c r="J1470" s="77"/>
      <c r="K1470" s="78" t="s">
        <v>1933</v>
      </c>
      <c r="L1470" s="79"/>
    </row>
    <row r="1471" ht="22.5" customHeight="1">
      <c r="A1471" s="80">
        <v>652.0</v>
      </c>
      <c r="B1471" s="81" t="s">
        <v>2582</v>
      </c>
      <c r="C1471" s="82"/>
      <c r="D1471" s="80">
        <v>7.20558862E9</v>
      </c>
      <c r="E1471" s="81" t="s">
        <v>11</v>
      </c>
      <c r="F1471" s="81" t="s">
        <v>385</v>
      </c>
      <c r="G1471" s="83" t="s">
        <v>1931</v>
      </c>
      <c r="H1471" s="75" t="s">
        <v>1932</v>
      </c>
      <c r="I1471" s="87" t="s">
        <v>2581</v>
      </c>
      <c r="J1471" s="84"/>
      <c r="K1471" s="78" t="s">
        <v>1933</v>
      </c>
      <c r="L1471" s="79"/>
    </row>
    <row r="1472" ht="22.5" customHeight="1">
      <c r="A1472" s="71">
        <v>653.0</v>
      </c>
      <c r="B1472" s="72" t="s">
        <v>2583</v>
      </c>
      <c r="C1472" s="73"/>
      <c r="D1472" s="71">
        <v>9.777513009E9</v>
      </c>
      <c r="E1472" s="72" t="s">
        <v>11</v>
      </c>
      <c r="F1472" s="72" t="s">
        <v>385</v>
      </c>
      <c r="G1472" s="74" t="s">
        <v>1931</v>
      </c>
      <c r="H1472" s="75" t="s">
        <v>1932</v>
      </c>
      <c r="I1472" s="86" t="s">
        <v>1731</v>
      </c>
      <c r="J1472" s="77"/>
      <c r="K1472" s="78" t="s">
        <v>1933</v>
      </c>
      <c r="L1472" s="79"/>
    </row>
    <row r="1473" ht="22.5" customHeight="1">
      <c r="A1473" s="80">
        <v>654.0</v>
      </c>
      <c r="B1473" s="81" t="s">
        <v>2584</v>
      </c>
      <c r="C1473" s="82"/>
      <c r="D1473" s="80">
        <v>7.609003776E9</v>
      </c>
      <c r="E1473" s="81" t="s">
        <v>11</v>
      </c>
      <c r="F1473" s="81" t="s">
        <v>385</v>
      </c>
      <c r="G1473" s="83" t="s">
        <v>1931</v>
      </c>
      <c r="H1473" s="75" t="s">
        <v>1932</v>
      </c>
      <c r="I1473" s="76" t="s">
        <v>1729</v>
      </c>
      <c r="J1473" s="84"/>
      <c r="K1473" s="78" t="s">
        <v>1933</v>
      </c>
      <c r="L1473" s="79"/>
    </row>
    <row r="1474" ht="22.5" customHeight="1">
      <c r="A1474" s="71">
        <v>655.0</v>
      </c>
      <c r="B1474" s="72" t="s">
        <v>2585</v>
      </c>
      <c r="C1474" s="73"/>
      <c r="D1474" s="71">
        <v>8.984652174E9</v>
      </c>
      <c r="E1474" s="72" t="s">
        <v>11</v>
      </c>
      <c r="F1474" s="72" t="s">
        <v>385</v>
      </c>
      <c r="G1474" s="74" t="s">
        <v>1931</v>
      </c>
      <c r="H1474" s="75" t="s">
        <v>1932</v>
      </c>
      <c r="I1474" s="87" t="s">
        <v>2581</v>
      </c>
      <c r="J1474" s="77"/>
      <c r="K1474" s="78" t="s">
        <v>1933</v>
      </c>
      <c r="L1474" s="79"/>
    </row>
    <row r="1475" ht="22.5" customHeight="1">
      <c r="A1475" s="80">
        <v>656.0</v>
      </c>
      <c r="B1475" s="81" t="s">
        <v>2586</v>
      </c>
      <c r="C1475" s="82"/>
      <c r="D1475" s="80">
        <v>6.372526523E9</v>
      </c>
      <c r="E1475" s="81" t="s">
        <v>11</v>
      </c>
      <c r="F1475" s="81" t="s">
        <v>385</v>
      </c>
      <c r="G1475" s="83" t="s">
        <v>1931</v>
      </c>
      <c r="H1475" s="75" t="s">
        <v>1932</v>
      </c>
      <c r="I1475" s="76" t="s">
        <v>1729</v>
      </c>
      <c r="J1475" s="84"/>
      <c r="K1475" s="78" t="s">
        <v>1933</v>
      </c>
      <c r="L1475" s="79"/>
    </row>
    <row r="1476" ht="22.5" customHeight="1">
      <c r="A1476" s="71">
        <v>657.0</v>
      </c>
      <c r="B1476" s="72" t="s">
        <v>2587</v>
      </c>
      <c r="C1476" s="73"/>
      <c r="D1476" s="71">
        <v>9.861311004E9</v>
      </c>
      <c r="E1476" s="72" t="s">
        <v>11</v>
      </c>
      <c r="F1476" s="72" t="s">
        <v>385</v>
      </c>
      <c r="G1476" s="74" t="s">
        <v>1931</v>
      </c>
      <c r="H1476" s="75" t="s">
        <v>1932</v>
      </c>
      <c r="I1476" s="76" t="s">
        <v>1729</v>
      </c>
      <c r="J1476" s="77"/>
      <c r="K1476" s="78" t="s">
        <v>1933</v>
      </c>
      <c r="L1476" s="79"/>
    </row>
    <row r="1477" ht="22.5" customHeight="1">
      <c r="A1477" s="80">
        <v>658.0</v>
      </c>
      <c r="B1477" s="81" t="s">
        <v>2588</v>
      </c>
      <c r="C1477" s="82"/>
      <c r="D1477" s="80">
        <v>9.861309212E9</v>
      </c>
      <c r="E1477" s="81" t="s">
        <v>11</v>
      </c>
      <c r="F1477" s="81" t="s">
        <v>385</v>
      </c>
      <c r="G1477" s="83" t="s">
        <v>1931</v>
      </c>
      <c r="H1477" s="75" t="s">
        <v>1932</v>
      </c>
      <c r="I1477" s="87" t="s">
        <v>2581</v>
      </c>
      <c r="J1477" s="84"/>
      <c r="K1477" s="78" t="s">
        <v>1933</v>
      </c>
      <c r="L1477" s="79"/>
    </row>
    <row r="1478" ht="22.5" customHeight="1">
      <c r="A1478" s="71">
        <v>659.0</v>
      </c>
      <c r="B1478" s="72" t="s">
        <v>2589</v>
      </c>
      <c r="C1478" s="73"/>
      <c r="D1478" s="71">
        <v>9.938918417E9</v>
      </c>
      <c r="E1478" s="72" t="s">
        <v>11</v>
      </c>
      <c r="F1478" s="72" t="s">
        <v>385</v>
      </c>
      <c r="G1478" s="74" t="s">
        <v>1931</v>
      </c>
      <c r="H1478" s="75" t="s">
        <v>1932</v>
      </c>
      <c r="I1478" s="87" t="s">
        <v>2581</v>
      </c>
      <c r="J1478" s="77"/>
      <c r="K1478" s="78" t="s">
        <v>1933</v>
      </c>
      <c r="L1478" s="79"/>
    </row>
    <row r="1479" ht="22.5" customHeight="1">
      <c r="A1479" s="80">
        <v>660.0</v>
      </c>
      <c r="B1479" s="81" t="s">
        <v>2590</v>
      </c>
      <c r="C1479" s="82"/>
      <c r="D1479" s="80">
        <v>9.437504124E9</v>
      </c>
      <c r="E1479" s="81" t="s">
        <v>11</v>
      </c>
      <c r="F1479" s="81" t="s">
        <v>385</v>
      </c>
      <c r="G1479" s="83" t="s">
        <v>1931</v>
      </c>
      <c r="H1479" s="75" t="s">
        <v>1932</v>
      </c>
      <c r="I1479" s="76" t="s">
        <v>1729</v>
      </c>
      <c r="J1479" s="84"/>
      <c r="K1479" s="78" t="s">
        <v>1933</v>
      </c>
      <c r="L1479" s="79"/>
    </row>
    <row r="1480" ht="22.5" customHeight="1">
      <c r="A1480" s="71">
        <v>661.0</v>
      </c>
      <c r="B1480" s="72" t="s">
        <v>2591</v>
      </c>
      <c r="C1480" s="73"/>
      <c r="D1480" s="71">
        <v>9.776957368E9</v>
      </c>
      <c r="E1480" s="72" t="s">
        <v>11</v>
      </c>
      <c r="F1480" s="72" t="s">
        <v>385</v>
      </c>
      <c r="G1480" s="74" t="s">
        <v>1931</v>
      </c>
      <c r="H1480" s="75" t="s">
        <v>1932</v>
      </c>
      <c r="I1480" s="76" t="s">
        <v>1729</v>
      </c>
      <c r="J1480" s="77"/>
      <c r="K1480" s="78" t="s">
        <v>1933</v>
      </c>
      <c r="L1480" s="79"/>
    </row>
    <row r="1481" ht="22.5" customHeight="1">
      <c r="A1481" s="80">
        <v>662.0</v>
      </c>
      <c r="B1481" s="81" t="s">
        <v>2592</v>
      </c>
      <c r="C1481" s="82"/>
      <c r="D1481" s="80">
        <v>9.437236118E9</v>
      </c>
      <c r="E1481" s="81" t="s">
        <v>11</v>
      </c>
      <c r="F1481" s="81" t="s">
        <v>385</v>
      </c>
      <c r="G1481" s="83" t="s">
        <v>1931</v>
      </c>
      <c r="H1481" s="75" t="s">
        <v>1932</v>
      </c>
      <c r="I1481" s="76" t="s">
        <v>1729</v>
      </c>
      <c r="J1481" s="84"/>
      <c r="K1481" s="78" t="s">
        <v>1933</v>
      </c>
      <c r="L1481" s="79"/>
    </row>
    <row r="1482" ht="22.5" customHeight="1">
      <c r="A1482" s="71">
        <v>663.0</v>
      </c>
      <c r="B1482" s="72" t="s">
        <v>2593</v>
      </c>
      <c r="C1482" s="73"/>
      <c r="D1482" s="71">
        <v>8.302943822E9</v>
      </c>
      <c r="E1482" s="72" t="s">
        <v>11</v>
      </c>
      <c r="F1482" s="72" t="s">
        <v>385</v>
      </c>
      <c r="G1482" s="74" t="s">
        <v>1931</v>
      </c>
      <c r="H1482" s="75" t="s">
        <v>1932</v>
      </c>
      <c r="I1482" s="85" t="s">
        <v>1967</v>
      </c>
      <c r="J1482" s="77"/>
      <c r="K1482" s="78" t="s">
        <v>1933</v>
      </c>
      <c r="L1482" s="79"/>
    </row>
    <row r="1483" ht="22.5" customHeight="1">
      <c r="A1483" s="80">
        <v>664.0</v>
      </c>
      <c r="B1483" s="81" t="s">
        <v>2594</v>
      </c>
      <c r="C1483" s="82"/>
      <c r="D1483" s="80">
        <v>8.14416221E9</v>
      </c>
      <c r="E1483" s="81" t="s">
        <v>11</v>
      </c>
      <c r="F1483" s="81" t="s">
        <v>385</v>
      </c>
      <c r="G1483" s="83" t="s">
        <v>1931</v>
      </c>
      <c r="H1483" s="75" t="s">
        <v>1932</v>
      </c>
      <c r="I1483" s="85" t="s">
        <v>1967</v>
      </c>
      <c r="J1483" s="84"/>
      <c r="K1483" s="78" t="s">
        <v>1933</v>
      </c>
      <c r="L1483" s="79"/>
    </row>
    <row r="1484" ht="22.5" customHeight="1">
      <c r="A1484" s="71">
        <v>665.0</v>
      </c>
      <c r="B1484" s="72" t="s">
        <v>2595</v>
      </c>
      <c r="C1484" s="73"/>
      <c r="D1484" s="71">
        <v>9.777537665E9</v>
      </c>
      <c r="E1484" s="72" t="s">
        <v>11</v>
      </c>
      <c r="F1484" s="72" t="s">
        <v>385</v>
      </c>
      <c r="G1484" s="74" t="s">
        <v>1931</v>
      </c>
      <c r="H1484" s="75" t="s">
        <v>1932</v>
      </c>
      <c r="I1484" s="87" t="s">
        <v>2581</v>
      </c>
      <c r="J1484" s="77"/>
      <c r="K1484" s="78" t="s">
        <v>1933</v>
      </c>
      <c r="L1484" s="79"/>
    </row>
    <row r="1485" ht="22.5" customHeight="1">
      <c r="A1485" s="80">
        <v>666.0</v>
      </c>
      <c r="B1485" s="81" t="s">
        <v>2596</v>
      </c>
      <c r="C1485" s="82"/>
      <c r="D1485" s="80">
        <v>9.437095184E9</v>
      </c>
      <c r="E1485" s="81" t="s">
        <v>11</v>
      </c>
      <c r="F1485" s="81" t="s">
        <v>385</v>
      </c>
      <c r="G1485" s="83" t="s">
        <v>1931</v>
      </c>
      <c r="H1485" s="75" t="s">
        <v>1932</v>
      </c>
      <c r="I1485" s="85" t="s">
        <v>1967</v>
      </c>
      <c r="J1485" s="84"/>
      <c r="K1485" s="78" t="s">
        <v>1933</v>
      </c>
      <c r="L1485" s="79"/>
    </row>
    <row r="1486" ht="22.5" customHeight="1">
      <c r="A1486" s="71">
        <v>667.0</v>
      </c>
      <c r="B1486" s="72" t="s">
        <v>2597</v>
      </c>
      <c r="C1486" s="73"/>
      <c r="D1486" s="71">
        <v>9.437817224E9</v>
      </c>
      <c r="E1486" s="72" t="s">
        <v>11</v>
      </c>
      <c r="F1486" s="72" t="s">
        <v>385</v>
      </c>
      <c r="G1486" s="74" t="s">
        <v>1931</v>
      </c>
      <c r="H1486" s="75" t="s">
        <v>1932</v>
      </c>
      <c r="I1486" s="87" t="s">
        <v>2581</v>
      </c>
      <c r="J1486" s="77"/>
      <c r="K1486" s="78" t="s">
        <v>1933</v>
      </c>
      <c r="L1486" s="79"/>
    </row>
    <row r="1487" ht="22.5" customHeight="1">
      <c r="A1487" s="80">
        <v>668.0</v>
      </c>
      <c r="B1487" s="81" t="s">
        <v>2598</v>
      </c>
      <c r="C1487" s="82"/>
      <c r="D1487" s="80">
        <v>8.789349567E9</v>
      </c>
      <c r="E1487" s="81" t="s">
        <v>11</v>
      </c>
      <c r="F1487" s="81" t="s">
        <v>385</v>
      </c>
      <c r="G1487" s="83" t="s">
        <v>1931</v>
      </c>
      <c r="H1487" s="75" t="s">
        <v>1932</v>
      </c>
      <c r="I1487" s="76" t="s">
        <v>1729</v>
      </c>
      <c r="J1487" s="84"/>
      <c r="K1487" s="78" t="s">
        <v>1933</v>
      </c>
      <c r="L1487" s="79"/>
    </row>
    <row r="1488" ht="22.5" customHeight="1">
      <c r="A1488" s="71">
        <v>669.0</v>
      </c>
      <c r="B1488" s="72" t="s">
        <v>2535</v>
      </c>
      <c r="C1488" s="73"/>
      <c r="D1488" s="71">
        <v>9.090406009E9</v>
      </c>
      <c r="E1488" s="72" t="s">
        <v>11</v>
      </c>
      <c r="F1488" s="72" t="s">
        <v>385</v>
      </c>
      <c r="G1488" s="74" t="s">
        <v>1931</v>
      </c>
      <c r="H1488" s="75" t="s">
        <v>1932</v>
      </c>
      <c r="I1488" s="76" t="s">
        <v>1729</v>
      </c>
      <c r="J1488" s="77"/>
      <c r="K1488" s="78" t="s">
        <v>1933</v>
      </c>
      <c r="L1488" s="79"/>
    </row>
    <row r="1489" ht="22.5" customHeight="1">
      <c r="A1489" s="80">
        <v>670.0</v>
      </c>
      <c r="B1489" s="81" t="s">
        <v>2599</v>
      </c>
      <c r="C1489" s="82"/>
      <c r="D1489" s="80">
        <v>7.328849177E9</v>
      </c>
      <c r="E1489" s="81" t="s">
        <v>11</v>
      </c>
      <c r="F1489" s="81" t="s">
        <v>385</v>
      </c>
      <c r="G1489" s="83" t="s">
        <v>1931</v>
      </c>
      <c r="H1489" s="75" t="s">
        <v>1932</v>
      </c>
      <c r="I1489" s="87" t="s">
        <v>2581</v>
      </c>
      <c r="J1489" s="84"/>
      <c r="K1489" s="78" t="s">
        <v>1933</v>
      </c>
      <c r="L1489" s="79"/>
    </row>
    <row r="1490" ht="22.5" customHeight="1">
      <c r="A1490" s="71">
        <v>671.0</v>
      </c>
      <c r="B1490" s="72" t="s">
        <v>2600</v>
      </c>
      <c r="C1490" s="73"/>
      <c r="D1490" s="71">
        <v>9.937384087E9</v>
      </c>
      <c r="E1490" s="72" t="s">
        <v>11</v>
      </c>
      <c r="F1490" s="72" t="s">
        <v>385</v>
      </c>
      <c r="G1490" s="74" t="s">
        <v>1931</v>
      </c>
      <c r="H1490" s="75" t="s">
        <v>1932</v>
      </c>
      <c r="I1490" s="76" t="s">
        <v>1729</v>
      </c>
      <c r="J1490" s="77"/>
      <c r="K1490" s="78" t="s">
        <v>1933</v>
      </c>
      <c r="L1490" s="79"/>
    </row>
    <row r="1491" ht="22.5" customHeight="1">
      <c r="A1491" s="80">
        <v>672.0</v>
      </c>
      <c r="B1491" s="81" t="s">
        <v>2601</v>
      </c>
      <c r="C1491" s="82"/>
      <c r="D1491" s="80">
        <v>6.370590121E9</v>
      </c>
      <c r="E1491" s="81" t="s">
        <v>11</v>
      </c>
      <c r="F1491" s="81" t="s">
        <v>385</v>
      </c>
      <c r="G1491" s="83" t="s">
        <v>1931</v>
      </c>
      <c r="H1491" s="75" t="s">
        <v>1932</v>
      </c>
      <c r="I1491" s="76" t="s">
        <v>1729</v>
      </c>
      <c r="J1491" s="84"/>
      <c r="K1491" s="78" t="s">
        <v>1933</v>
      </c>
      <c r="L1491" s="79"/>
    </row>
    <row r="1492" ht="22.5" customHeight="1">
      <c r="A1492" s="71">
        <v>673.0</v>
      </c>
      <c r="B1492" s="72" t="s">
        <v>2602</v>
      </c>
      <c r="C1492" s="73"/>
      <c r="D1492" s="71">
        <v>9.348606167E9</v>
      </c>
      <c r="E1492" s="72" t="s">
        <v>11</v>
      </c>
      <c r="F1492" s="72" t="s">
        <v>385</v>
      </c>
      <c r="G1492" s="74" t="s">
        <v>1931</v>
      </c>
      <c r="H1492" s="75" t="s">
        <v>1932</v>
      </c>
      <c r="I1492" s="76" t="s">
        <v>1729</v>
      </c>
      <c r="J1492" s="77"/>
      <c r="K1492" s="78" t="s">
        <v>1933</v>
      </c>
      <c r="L1492" s="79"/>
    </row>
    <row r="1493" ht="22.5" customHeight="1">
      <c r="A1493" s="80">
        <v>674.0</v>
      </c>
      <c r="B1493" s="81" t="s">
        <v>2603</v>
      </c>
      <c r="C1493" s="82"/>
      <c r="D1493" s="80">
        <v>9.439984296E9</v>
      </c>
      <c r="E1493" s="81" t="s">
        <v>11</v>
      </c>
      <c r="F1493" s="81" t="s">
        <v>385</v>
      </c>
      <c r="G1493" s="83" t="s">
        <v>1931</v>
      </c>
      <c r="H1493" s="75" t="s">
        <v>1932</v>
      </c>
      <c r="I1493" s="87" t="s">
        <v>2581</v>
      </c>
      <c r="J1493" s="84"/>
      <c r="K1493" s="78" t="s">
        <v>1933</v>
      </c>
      <c r="L1493" s="79"/>
    </row>
    <row r="1494" ht="22.5" customHeight="1">
      <c r="A1494" s="71">
        <v>675.0</v>
      </c>
      <c r="B1494" s="72" t="s">
        <v>2604</v>
      </c>
      <c r="C1494" s="73"/>
      <c r="D1494" s="71">
        <v>9.69265806E9</v>
      </c>
      <c r="E1494" s="72" t="s">
        <v>11</v>
      </c>
      <c r="F1494" s="72" t="s">
        <v>385</v>
      </c>
      <c r="G1494" s="74" t="s">
        <v>1931</v>
      </c>
      <c r="H1494" s="75" t="s">
        <v>1932</v>
      </c>
      <c r="I1494" s="76" t="s">
        <v>1729</v>
      </c>
      <c r="J1494" s="77"/>
      <c r="K1494" s="78" t="s">
        <v>1933</v>
      </c>
      <c r="L1494" s="79"/>
    </row>
    <row r="1495" ht="22.5" customHeight="1">
      <c r="A1495" s="80">
        <v>676.0</v>
      </c>
      <c r="B1495" s="81" t="s">
        <v>2605</v>
      </c>
      <c r="C1495" s="82"/>
      <c r="D1495" s="80">
        <v>8.658714201E9</v>
      </c>
      <c r="E1495" s="81" t="s">
        <v>11</v>
      </c>
      <c r="F1495" s="81" t="s">
        <v>385</v>
      </c>
      <c r="G1495" s="83" t="s">
        <v>1931</v>
      </c>
      <c r="H1495" s="75" t="s">
        <v>1932</v>
      </c>
      <c r="I1495" s="85" t="s">
        <v>1967</v>
      </c>
      <c r="J1495" s="84"/>
      <c r="K1495" s="78" t="s">
        <v>1933</v>
      </c>
      <c r="L1495" s="79"/>
    </row>
    <row r="1496" ht="22.5" customHeight="1">
      <c r="A1496" s="71">
        <v>677.0</v>
      </c>
      <c r="B1496" s="72" t="s">
        <v>2606</v>
      </c>
      <c r="C1496" s="73"/>
      <c r="D1496" s="71">
        <v>9.937042251E9</v>
      </c>
      <c r="E1496" s="72" t="s">
        <v>11</v>
      </c>
      <c r="F1496" s="72" t="s">
        <v>385</v>
      </c>
      <c r="G1496" s="74" t="s">
        <v>1931</v>
      </c>
      <c r="H1496" s="75" t="s">
        <v>1932</v>
      </c>
      <c r="I1496" s="76" t="s">
        <v>1729</v>
      </c>
      <c r="J1496" s="77"/>
      <c r="K1496" s="78" t="s">
        <v>1933</v>
      </c>
      <c r="L1496" s="79"/>
    </row>
    <row r="1497" ht="22.5" customHeight="1">
      <c r="A1497" s="80">
        <v>678.0</v>
      </c>
      <c r="B1497" s="81" t="s">
        <v>2607</v>
      </c>
      <c r="C1497" s="82"/>
      <c r="D1497" s="80">
        <v>9.938106903E9</v>
      </c>
      <c r="E1497" s="81" t="s">
        <v>11</v>
      </c>
      <c r="F1497" s="81" t="s">
        <v>385</v>
      </c>
      <c r="G1497" s="83" t="s">
        <v>1931</v>
      </c>
      <c r="H1497" s="75" t="s">
        <v>1932</v>
      </c>
      <c r="I1497" s="76" t="s">
        <v>1729</v>
      </c>
      <c r="J1497" s="84"/>
      <c r="K1497" s="78" t="s">
        <v>1933</v>
      </c>
      <c r="L1497" s="79"/>
    </row>
    <row r="1498" ht="22.5" customHeight="1">
      <c r="A1498" s="71">
        <v>679.0</v>
      </c>
      <c r="B1498" s="72" t="s">
        <v>2608</v>
      </c>
      <c r="C1498" s="73"/>
      <c r="D1498" s="71">
        <v>6.371261482E9</v>
      </c>
      <c r="E1498" s="72" t="s">
        <v>11</v>
      </c>
      <c r="F1498" s="72" t="s">
        <v>385</v>
      </c>
      <c r="G1498" s="74" t="s">
        <v>1931</v>
      </c>
      <c r="H1498" s="75" t="s">
        <v>1932</v>
      </c>
      <c r="I1498" s="76" t="s">
        <v>1729</v>
      </c>
      <c r="J1498" s="77"/>
      <c r="K1498" s="78" t="s">
        <v>1933</v>
      </c>
      <c r="L1498" s="79"/>
    </row>
    <row r="1499" ht="22.5" customHeight="1">
      <c r="A1499" s="80">
        <v>680.0</v>
      </c>
      <c r="B1499" s="81" t="s">
        <v>2609</v>
      </c>
      <c r="C1499" s="82"/>
      <c r="D1499" s="80">
        <v>6.371887901E9</v>
      </c>
      <c r="E1499" s="81" t="s">
        <v>11</v>
      </c>
      <c r="F1499" s="81" t="s">
        <v>385</v>
      </c>
      <c r="G1499" s="83" t="s">
        <v>1931</v>
      </c>
      <c r="H1499" s="75" t="s">
        <v>1932</v>
      </c>
      <c r="I1499" s="76" t="s">
        <v>1729</v>
      </c>
      <c r="J1499" s="84"/>
      <c r="K1499" s="78" t="s">
        <v>1933</v>
      </c>
      <c r="L1499" s="79"/>
    </row>
    <row r="1500" ht="22.5" customHeight="1">
      <c r="A1500" s="71">
        <v>681.0</v>
      </c>
      <c r="B1500" s="72" t="s">
        <v>2610</v>
      </c>
      <c r="C1500" s="73"/>
      <c r="D1500" s="71">
        <v>7.846965495E9</v>
      </c>
      <c r="E1500" s="72" t="s">
        <v>11</v>
      </c>
      <c r="F1500" s="72" t="s">
        <v>385</v>
      </c>
      <c r="G1500" s="74" t="s">
        <v>1931</v>
      </c>
      <c r="H1500" s="75" t="s">
        <v>1932</v>
      </c>
      <c r="I1500" s="76" t="s">
        <v>1729</v>
      </c>
      <c r="J1500" s="77"/>
      <c r="K1500" s="78" t="s">
        <v>1933</v>
      </c>
      <c r="L1500" s="79"/>
    </row>
    <row r="1501" ht="22.5" customHeight="1">
      <c r="A1501" s="80">
        <v>682.0</v>
      </c>
      <c r="B1501" s="81" t="s">
        <v>2611</v>
      </c>
      <c r="C1501" s="82"/>
      <c r="D1501" s="80">
        <v>7.852964121E9</v>
      </c>
      <c r="E1501" s="81" t="s">
        <v>11</v>
      </c>
      <c r="F1501" s="81" t="s">
        <v>385</v>
      </c>
      <c r="G1501" s="83" t="s">
        <v>1931</v>
      </c>
      <c r="H1501" s="75" t="s">
        <v>1932</v>
      </c>
      <c r="I1501" s="85" t="s">
        <v>1967</v>
      </c>
      <c r="J1501" s="84"/>
      <c r="K1501" s="78" t="s">
        <v>1933</v>
      </c>
      <c r="L1501" s="79"/>
    </row>
    <row r="1502" ht="22.5" customHeight="1">
      <c r="A1502" s="71">
        <v>683.0</v>
      </c>
      <c r="B1502" s="72" t="s">
        <v>2612</v>
      </c>
      <c r="C1502" s="73"/>
      <c r="D1502" s="71">
        <v>8.249765249E9</v>
      </c>
      <c r="E1502" s="72" t="s">
        <v>11</v>
      </c>
      <c r="F1502" s="72" t="s">
        <v>385</v>
      </c>
      <c r="G1502" s="74" t="s">
        <v>1931</v>
      </c>
      <c r="H1502" s="75" t="s">
        <v>1932</v>
      </c>
      <c r="I1502" s="87" t="s">
        <v>2581</v>
      </c>
      <c r="J1502" s="77"/>
      <c r="K1502" s="78" t="s">
        <v>1933</v>
      </c>
      <c r="L1502" s="79"/>
    </row>
    <row r="1503" ht="22.5" customHeight="1">
      <c r="A1503" s="80">
        <v>684.0</v>
      </c>
      <c r="B1503" s="81" t="s">
        <v>2613</v>
      </c>
      <c r="C1503" s="82"/>
      <c r="D1503" s="80">
        <v>8.328950914E9</v>
      </c>
      <c r="E1503" s="81" t="s">
        <v>11</v>
      </c>
      <c r="F1503" s="81" t="s">
        <v>385</v>
      </c>
      <c r="G1503" s="83" t="s">
        <v>1931</v>
      </c>
      <c r="H1503" s="75" t="s">
        <v>1932</v>
      </c>
      <c r="I1503" s="87" t="s">
        <v>2581</v>
      </c>
      <c r="J1503" s="84"/>
      <c r="K1503" s="78" t="s">
        <v>1933</v>
      </c>
      <c r="L1503" s="79"/>
    </row>
    <row r="1504" ht="22.5" customHeight="1">
      <c r="A1504" s="71">
        <v>685.0</v>
      </c>
      <c r="B1504" s="72" t="s">
        <v>2614</v>
      </c>
      <c r="C1504" s="73"/>
      <c r="D1504" s="71">
        <v>9.078672075E9</v>
      </c>
      <c r="E1504" s="72" t="s">
        <v>11</v>
      </c>
      <c r="F1504" s="72" t="s">
        <v>385</v>
      </c>
      <c r="G1504" s="74" t="s">
        <v>1931</v>
      </c>
      <c r="H1504" s="75" t="s">
        <v>1932</v>
      </c>
      <c r="I1504" s="76" t="s">
        <v>1729</v>
      </c>
      <c r="J1504" s="77"/>
      <c r="K1504" s="78" t="s">
        <v>1933</v>
      </c>
      <c r="L1504" s="79"/>
    </row>
    <row r="1505" ht="22.5" customHeight="1">
      <c r="A1505" s="80">
        <v>686.0</v>
      </c>
      <c r="B1505" s="81" t="s">
        <v>2615</v>
      </c>
      <c r="C1505" s="82"/>
      <c r="D1505" s="80">
        <v>9.861382137E9</v>
      </c>
      <c r="E1505" s="81" t="s">
        <v>11</v>
      </c>
      <c r="F1505" s="81" t="s">
        <v>385</v>
      </c>
      <c r="G1505" s="83" t="s">
        <v>1931</v>
      </c>
      <c r="H1505" s="75" t="s">
        <v>1932</v>
      </c>
      <c r="I1505" s="76" t="s">
        <v>1729</v>
      </c>
      <c r="J1505" s="84"/>
      <c r="K1505" s="78" t="s">
        <v>1933</v>
      </c>
      <c r="L1505" s="79"/>
    </row>
    <row r="1506" ht="22.5" customHeight="1">
      <c r="A1506" s="71">
        <v>687.0</v>
      </c>
      <c r="B1506" s="72" t="s">
        <v>2616</v>
      </c>
      <c r="C1506" s="73"/>
      <c r="D1506" s="71">
        <v>6.371694939E9</v>
      </c>
      <c r="E1506" s="72" t="s">
        <v>11</v>
      </c>
      <c r="F1506" s="72" t="s">
        <v>385</v>
      </c>
      <c r="G1506" s="74" t="s">
        <v>1931</v>
      </c>
      <c r="H1506" s="75" t="s">
        <v>1932</v>
      </c>
      <c r="I1506" s="76" t="s">
        <v>1729</v>
      </c>
      <c r="J1506" s="77"/>
      <c r="K1506" s="78" t="s">
        <v>1933</v>
      </c>
      <c r="L1506" s="79"/>
    </row>
    <row r="1507" ht="22.5" customHeight="1">
      <c r="A1507" s="80">
        <v>688.0</v>
      </c>
      <c r="B1507" s="81" t="s">
        <v>2617</v>
      </c>
      <c r="C1507" s="82"/>
      <c r="D1507" s="80">
        <v>9.348622693E9</v>
      </c>
      <c r="E1507" s="81" t="s">
        <v>11</v>
      </c>
      <c r="F1507" s="81" t="s">
        <v>385</v>
      </c>
      <c r="G1507" s="83" t="s">
        <v>1931</v>
      </c>
      <c r="H1507" s="75" t="s">
        <v>1932</v>
      </c>
      <c r="I1507" s="76" t="s">
        <v>1729</v>
      </c>
      <c r="J1507" s="84"/>
      <c r="K1507" s="78" t="s">
        <v>1933</v>
      </c>
      <c r="L1507" s="79"/>
    </row>
    <row r="1508" ht="22.5" customHeight="1">
      <c r="A1508" s="71">
        <v>689.0</v>
      </c>
      <c r="B1508" s="72" t="s">
        <v>2618</v>
      </c>
      <c r="C1508" s="73"/>
      <c r="D1508" s="71">
        <v>7.89431238E9</v>
      </c>
      <c r="E1508" s="72" t="s">
        <v>11</v>
      </c>
      <c r="F1508" s="72" t="s">
        <v>385</v>
      </c>
      <c r="G1508" s="74" t="s">
        <v>1931</v>
      </c>
      <c r="H1508" s="75" t="s">
        <v>1932</v>
      </c>
      <c r="I1508" s="85" t="s">
        <v>1967</v>
      </c>
      <c r="J1508" s="77"/>
      <c r="K1508" s="78" t="s">
        <v>1933</v>
      </c>
      <c r="L1508" s="79"/>
    </row>
    <row r="1509" ht="22.5" customHeight="1">
      <c r="A1509" s="80">
        <v>690.0</v>
      </c>
      <c r="B1509" s="81" t="s">
        <v>2619</v>
      </c>
      <c r="C1509" s="82"/>
      <c r="D1509" s="80">
        <v>7.978256694E9</v>
      </c>
      <c r="E1509" s="81" t="s">
        <v>11</v>
      </c>
      <c r="F1509" s="81" t="s">
        <v>385</v>
      </c>
      <c r="G1509" s="83" t="s">
        <v>1931</v>
      </c>
      <c r="H1509" s="75" t="s">
        <v>1932</v>
      </c>
      <c r="I1509" s="76" t="s">
        <v>1729</v>
      </c>
      <c r="J1509" s="84"/>
      <c r="K1509" s="78" t="s">
        <v>1933</v>
      </c>
      <c r="L1509" s="79"/>
    </row>
    <row r="1510" ht="22.5" customHeight="1">
      <c r="A1510" s="71">
        <v>691.0</v>
      </c>
      <c r="B1510" s="72" t="s">
        <v>2620</v>
      </c>
      <c r="C1510" s="73"/>
      <c r="D1510" s="71">
        <v>6.371744621E9</v>
      </c>
      <c r="E1510" s="72" t="s">
        <v>11</v>
      </c>
      <c r="F1510" s="72" t="s">
        <v>385</v>
      </c>
      <c r="G1510" s="74" t="s">
        <v>1931</v>
      </c>
      <c r="H1510" s="75" t="s">
        <v>1932</v>
      </c>
      <c r="I1510" s="87" t="s">
        <v>2581</v>
      </c>
      <c r="J1510" s="77"/>
      <c r="K1510" s="78" t="s">
        <v>1933</v>
      </c>
      <c r="L1510" s="79"/>
    </row>
    <row r="1511" ht="22.5" customHeight="1">
      <c r="A1511" s="80">
        <v>692.0</v>
      </c>
      <c r="B1511" s="81" t="s">
        <v>2621</v>
      </c>
      <c r="C1511" s="82"/>
      <c r="D1511" s="80">
        <v>9.776444745E9</v>
      </c>
      <c r="E1511" s="81" t="s">
        <v>11</v>
      </c>
      <c r="F1511" s="81" t="s">
        <v>385</v>
      </c>
      <c r="G1511" s="83" t="s">
        <v>1931</v>
      </c>
      <c r="H1511" s="75" t="s">
        <v>1932</v>
      </c>
      <c r="I1511" s="76" t="s">
        <v>1729</v>
      </c>
      <c r="J1511" s="84"/>
      <c r="K1511" s="78" t="s">
        <v>1933</v>
      </c>
      <c r="L1511" s="79"/>
    </row>
    <row r="1512" ht="22.5" customHeight="1">
      <c r="A1512" s="71">
        <v>693.0</v>
      </c>
      <c r="B1512" s="72" t="s">
        <v>2622</v>
      </c>
      <c r="C1512" s="73"/>
      <c r="D1512" s="71">
        <v>7.978110724E9</v>
      </c>
      <c r="E1512" s="72" t="s">
        <v>11</v>
      </c>
      <c r="F1512" s="72" t="s">
        <v>385</v>
      </c>
      <c r="G1512" s="74" t="s">
        <v>1931</v>
      </c>
      <c r="H1512" s="75" t="s">
        <v>1932</v>
      </c>
      <c r="I1512" s="85" t="s">
        <v>1967</v>
      </c>
      <c r="J1512" s="77"/>
      <c r="K1512" s="78" t="s">
        <v>1933</v>
      </c>
      <c r="L1512" s="79"/>
    </row>
    <row r="1513" ht="22.5" customHeight="1">
      <c r="A1513" s="80">
        <v>694.0</v>
      </c>
      <c r="B1513" s="81" t="s">
        <v>2623</v>
      </c>
      <c r="C1513" s="82"/>
      <c r="D1513" s="80">
        <v>9.439821566E9</v>
      </c>
      <c r="E1513" s="81" t="s">
        <v>11</v>
      </c>
      <c r="F1513" s="81" t="s">
        <v>385</v>
      </c>
      <c r="G1513" s="83" t="s">
        <v>1931</v>
      </c>
      <c r="H1513" s="75" t="s">
        <v>1932</v>
      </c>
      <c r="I1513" s="85" t="s">
        <v>1967</v>
      </c>
      <c r="J1513" s="84"/>
      <c r="K1513" s="78" t="s">
        <v>1933</v>
      </c>
      <c r="L1513" s="79"/>
    </row>
    <row r="1514" ht="22.5" customHeight="1">
      <c r="A1514" s="71">
        <v>695.0</v>
      </c>
      <c r="B1514" s="72" t="s">
        <v>2624</v>
      </c>
      <c r="C1514" s="73"/>
      <c r="D1514" s="71">
        <v>9.43861862E9</v>
      </c>
      <c r="E1514" s="72" t="s">
        <v>11</v>
      </c>
      <c r="F1514" s="72" t="s">
        <v>385</v>
      </c>
      <c r="G1514" s="74" t="s">
        <v>1931</v>
      </c>
      <c r="H1514" s="75" t="s">
        <v>1932</v>
      </c>
      <c r="I1514" s="85" t="s">
        <v>1967</v>
      </c>
      <c r="J1514" s="77"/>
      <c r="K1514" s="78" t="s">
        <v>1933</v>
      </c>
      <c r="L1514" s="79"/>
    </row>
    <row r="1515" ht="22.5" customHeight="1">
      <c r="A1515" s="80">
        <v>696.0</v>
      </c>
      <c r="B1515" s="81" t="s">
        <v>2625</v>
      </c>
      <c r="C1515" s="82"/>
      <c r="D1515" s="80">
        <v>7.87385552E9</v>
      </c>
      <c r="E1515" s="81" t="s">
        <v>11</v>
      </c>
      <c r="F1515" s="81" t="s">
        <v>385</v>
      </c>
      <c r="G1515" s="83" t="s">
        <v>1931</v>
      </c>
      <c r="H1515" s="75" t="s">
        <v>1932</v>
      </c>
      <c r="I1515" s="85" t="s">
        <v>1967</v>
      </c>
      <c r="J1515" s="84"/>
      <c r="K1515" s="78" t="s">
        <v>1933</v>
      </c>
      <c r="L1515" s="79"/>
    </row>
    <row r="1516" ht="22.5" customHeight="1">
      <c r="A1516" s="71">
        <v>697.0</v>
      </c>
      <c r="B1516" s="72" t="s">
        <v>2626</v>
      </c>
      <c r="C1516" s="73"/>
      <c r="D1516" s="71">
        <v>8.210431531E9</v>
      </c>
      <c r="E1516" s="72" t="s">
        <v>11</v>
      </c>
      <c r="F1516" s="72" t="s">
        <v>385</v>
      </c>
      <c r="G1516" s="74" t="s">
        <v>1931</v>
      </c>
      <c r="H1516" s="75" t="s">
        <v>1932</v>
      </c>
      <c r="I1516" s="76" t="s">
        <v>1729</v>
      </c>
      <c r="J1516" s="77"/>
      <c r="K1516" s="78" t="s">
        <v>1933</v>
      </c>
      <c r="L1516" s="79"/>
    </row>
    <row r="1517" ht="22.5" customHeight="1">
      <c r="A1517" s="80">
        <v>698.0</v>
      </c>
      <c r="B1517" s="81" t="s">
        <v>2627</v>
      </c>
      <c r="C1517" s="82"/>
      <c r="D1517" s="80">
        <v>8.917364684E9</v>
      </c>
      <c r="E1517" s="81" t="s">
        <v>11</v>
      </c>
      <c r="F1517" s="81" t="s">
        <v>385</v>
      </c>
      <c r="G1517" s="83" t="s">
        <v>1931</v>
      </c>
      <c r="H1517" s="75" t="s">
        <v>1932</v>
      </c>
      <c r="I1517" s="76" t="s">
        <v>1729</v>
      </c>
      <c r="J1517" s="84"/>
      <c r="K1517" s="78" t="s">
        <v>1933</v>
      </c>
      <c r="L1517" s="79"/>
    </row>
    <row r="1518" ht="22.5" customHeight="1">
      <c r="A1518" s="71">
        <v>699.0</v>
      </c>
      <c r="B1518" s="72" t="s">
        <v>2628</v>
      </c>
      <c r="C1518" s="73"/>
      <c r="D1518" s="71">
        <v>9.692673871E9</v>
      </c>
      <c r="E1518" s="72" t="s">
        <v>11</v>
      </c>
      <c r="F1518" s="72" t="s">
        <v>385</v>
      </c>
      <c r="G1518" s="74" t="s">
        <v>1931</v>
      </c>
      <c r="H1518" s="75" t="s">
        <v>1932</v>
      </c>
      <c r="I1518" s="76" t="s">
        <v>1729</v>
      </c>
      <c r="J1518" s="77"/>
      <c r="K1518" s="78" t="s">
        <v>1933</v>
      </c>
      <c r="L1518" s="79"/>
    </row>
    <row r="1519" ht="22.5" customHeight="1">
      <c r="A1519" s="80">
        <v>700.0</v>
      </c>
      <c r="B1519" s="81" t="s">
        <v>2629</v>
      </c>
      <c r="C1519" s="82"/>
      <c r="D1519" s="80">
        <v>9.437903946E9</v>
      </c>
      <c r="E1519" s="81" t="s">
        <v>11</v>
      </c>
      <c r="F1519" s="81" t="s">
        <v>385</v>
      </c>
      <c r="G1519" s="83" t="s">
        <v>1931</v>
      </c>
      <c r="H1519" s="75" t="s">
        <v>1932</v>
      </c>
      <c r="I1519" s="76" t="s">
        <v>1729</v>
      </c>
      <c r="J1519" s="84"/>
      <c r="K1519" s="78" t="s">
        <v>1933</v>
      </c>
      <c r="L1519" s="79"/>
    </row>
    <row r="1520" ht="22.5" customHeight="1">
      <c r="A1520" s="71">
        <v>701.0</v>
      </c>
      <c r="B1520" s="72" t="s">
        <v>2630</v>
      </c>
      <c r="C1520" s="73"/>
      <c r="D1520" s="71">
        <v>9.438070619E9</v>
      </c>
      <c r="E1520" s="72" t="s">
        <v>11</v>
      </c>
      <c r="F1520" s="72" t="s">
        <v>385</v>
      </c>
      <c r="G1520" s="74" t="s">
        <v>1931</v>
      </c>
      <c r="H1520" s="75" t="s">
        <v>1932</v>
      </c>
      <c r="I1520" s="85" t="s">
        <v>1967</v>
      </c>
      <c r="J1520" s="77"/>
      <c r="K1520" s="78" t="s">
        <v>1933</v>
      </c>
      <c r="L1520" s="79"/>
    </row>
    <row r="1521" ht="22.5" customHeight="1">
      <c r="A1521" s="80">
        <v>702.0</v>
      </c>
      <c r="B1521" s="81" t="s">
        <v>2631</v>
      </c>
      <c r="C1521" s="82"/>
      <c r="D1521" s="80">
        <v>9.040108648E9</v>
      </c>
      <c r="E1521" s="81" t="s">
        <v>11</v>
      </c>
      <c r="F1521" s="81" t="s">
        <v>385</v>
      </c>
      <c r="G1521" s="83" t="s">
        <v>1931</v>
      </c>
      <c r="H1521" s="75" t="s">
        <v>1932</v>
      </c>
      <c r="I1521" s="76" t="s">
        <v>1729</v>
      </c>
      <c r="J1521" s="84"/>
      <c r="K1521" s="78" t="s">
        <v>1933</v>
      </c>
      <c r="L1521" s="79"/>
    </row>
    <row r="1522" ht="22.5" customHeight="1">
      <c r="A1522" s="71">
        <v>703.0</v>
      </c>
      <c r="B1522" s="72" t="s">
        <v>2632</v>
      </c>
      <c r="C1522" s="73"/>
      <c r="D1522" s="71">
        <v>9.337677853E9</v>
      </c>
      <c r="E1522" s="72" t="s">
        <v>11</v>
      </c>
      <c r="F1522" s="72" t="s">
        <v>385</v>
      </c>
      <c r="G1522" s="74" t="s">
        <v>1931</v>
      </c>
      <c r="H1522" s="75" t="s">
        <v>1932</v>
      </c>
      <c r="I1522" s="76" t="s">
        <v>1729</v>
      </c>
      <c r="J1522" s="77"/>
      <c r="K1522" s="78" t="s">
        <v>1933</v>
      </c>
      <c r="L1522" s="79"/>
    </row>
    <row r="1523" ht="22.5" customHeight="1">
      <c r="A1523" s="80">
        <v>704.0</v>
      </c>
      <c r="B1523" s="81" t="s">
        <v>2633</v>
      </c>
      <c r="C1523" s="82"/>
      <c r="D1523" s="80">
        <v>6.371774976E9</v>
      </c>
      <c r="E1523" s="81" t="s">
        <v>11</v>
      </c>
      <c r="F1523" s="81" t="s">
        <v>385</v>
      </c>
      <c r="G1523" s="83" t="s">
        <v>1931</v>
      </c>
      <c r="H1523" s="75" t="s">
        <v>1932</v>
      </c>
      <c r="I1523" s="76" t="s">
        <v>1729</v>
      </c>
      <c r="J1523" s="84"/>
      <c r="K1523" s="78" t="s">
        <v>1933</v>
      </c>
      <c r="L1523" s="79"/>
    </row>
    <row r="1524" ht="22.5" customHeight="1">
      <c r="A1524" s="71">
        <v>705.0</v>
      </c>
      <c r="B1524" s="72" t="s">
        <v>2634</v>
      </c>
      <c r="C1524" s="73"/>
      <c r="D1524" s="71">
        <v>9.337028381E9</v>
      </c>
      <c r="E1524" s="72" t="s">
        <v>11</v>
      </c>
      <c r="F1524" s="72" t="s">
        <v>385</v>
      </c>
      <c r="G1524" s="74" t="s">
        <v>1931</v>
      </c>
      <c r="H1524" s="75" t="s">
        <v>1932</v>
      </c>
      <c r="I1524" s="85" t="s">
        <v>1967</v>
      </c>
      <c r="J1524" s="77"/>
      <c r="K1524" s="78" t="s">
        <v>1933</v>
      </c>
      <c r="L1524" s="79"/>
    </row>
    <row r="1525" ht="22.5" customHeight="1">
      <c r="A1525" s="80">
        <v>706.0</v>
      </c>
      <c r="B1525" s="81" t="s">
        <v>2635</v>
      </c>
      <c r="C1525" s="82"/>
      <c r="D1525" s="80">
        <v>6.370682436E9</v>
      </c>
      <c r="E1525" s="81" t="s">
        <v>11</v>
      </c>
      <c r="F1525" s="81" t="s">
        <v>385</v>
      </c>
      <c r="G1525" s="83" t="s">
        <v>1931</v>
      </c>
      <c r="H1525" s="75" t="s">
        <v>1932</v>
      </c>
      <c r="I1525" s="85" t="s">
        <v>1967</v>
      </c>
      <c r="J1525" s="84"/>
      <c r="K1525" s="78" t="s">
        <v>1933</v>
      </c>
      <c r="L1525" s="79"/>
    </row>
    <row r="1526" ht="22.5" customHeight="1">
      <c r="A1526" s="71">
        <v>707.0</v>
      </c>
      <c r="B1526" s="72" t="s">
        <v>2636</v>
      </c>
      <c r="C1526" s="73"/>
      <c r="D1526" s="71">
        <v>7.855069219E9</v>
      </c>
      <c r="E1526" s="72" t="s">
        <v>11</v>
      </c>
      <c r="F1526" s="72" t="s">
        <v>385</v>
      </c>
      <c r="G1526" s="74" t="s">
        <v>1931</v>
      </c>
      <c r="H1526" s="75" t="s">
        <v>1932</v>
      </c>
      <c r="I1526" s="76" t="s">
        <v>1729</v>
      </c>
      <c r="J1526" s="77"/>
      <c r="K1526" s="78" t="s">
        <v>1933</v>
      </c>
      <c r="L1526" s="79"/>
    </row>
    <row r="1527" ht="22.5" customHeight="1">
      <c r="A1527" s="80">
        <v>708.0</v>
      </c>
      <c r="B1527" s="81" t="s">
        <v>2637</v>
      </c>
      <c r="C1527" s="82"/>
      <c r="D1527" s="80">
        <v>9.337503603E9</v>
      </c>
      <c r="E1527" s="81" t="s">
        <v>11</v>
      </c>
      <c r="F1527" s="81" t="s">
        <v>385</v>
      </c>
      <c r="G1527" s="83" t="s">
        <v>1931</v>
      </c>
      <c r="H1527" s="75" t="s">
        <v>1932</v>
      </c>
      <c r="I1527" s="85" t="s">
        <v>1967</v>
      </c>
      <c r="J1527" s="84"/>
      <c r="K1527" s="78" t="s">
        <v>1933</v>
      </c>
      <c r="L1527" s="79"/>
    </row>
    <row r="1528" ht="22.5" customHeight="1">
      <c r="A1528" s="71">
        <v>709.0</v>
      </c>
      <c r="B1528" s="72" t="s">
        <v>2638</v>
      </c>
      <c r="C1528" s="73"/>
      <c r="D1528" s="71">
        <v>8.249993427E9</v>
      </c>
      <c r="E1528" s="72" t="s">
        <v>11</v>
      </c>
      <c r="F1528" s="72" t="s">
        <v>385</v>
      </c>
      <c r="G1528" s="74" t="s">
        <v>1931</v>
      </c>
      <c r="H1528" s="75" t="s">
        <v>1932</v>
      </c>
      <c r="I1528" s="76" t="s">
        <v>1729</v>
      </c>
      <c r="J1528" s="77"/>
      <c r="K1528" s="78" t="s">
        <v>1933</v>
      </c>
      <c r="L1528" s="79"/>
    </row>
    <row r="1529" ht="22.5" customHeight="1">
      <c r="A1529" s="80">
        <v>710.0</v>
      </c>
      <c r="B1529" s="81" t="s">
        <v>2639</v>
      </c>
      <c r="C1529" s="82"/>
      <c r="D1529" s="80">
        <v>9.893240356E9</v>
      </c>
      <c r="E1529" s="81" t="s">
        <v>11</v>
      </c>
      <c r="F1529" s="81" t="s">
        <v>385</v>
      </c>
      <c r="G1529" s="83" t="s">
        <v>1931</v>
      </c>
      <c r="H1529" s="75" t="s">
        <v>1932</v>
      </c>
      <c r="I1529" s="76" t="s">
        <v>1729</v>
      </c>
      <c r="J1529" s="84"/>
      <c r="K1529" s="78" t="s">
        <v>1933</v>
      </c>
      <c r="L1529" s="79"/>
    </row>
    <row r="1530" ht="22.5" customHeight="1">
      <c r="A1530" s="71">
        <v>711.0</v>
      </c>
      <c r="B1530" s="72" t="s">
        <v>2640</v>
      </c>
      <c r="C1530" s="73"/>
      <c r="D1530" s="71">
        <v>9.643466438E9</v>
      </c>
      <c r="E1530" s="72" t="s">
        <v>11</v>
      </c>
      <c r="F1530" s="72" t="s">
        <v>385</v>
      </c>
      <c r="G1530" s="74" t="s">
        <v>1931</v>
      </c>
      <c r="H1530" s="75" t="s">
        <v>1932</v>
      </c>
      <c r="I1530" s="87" t="s">
        <v>2581</v>
      </c>
      <c r="J1530" s="77"/>
      <c r="K1530" s="78" t="s">
        <v>1933</v>
      </c>
      <c r="L1530" s="79"/>
    </row>
    <row r="1531" ht="22.5" customHeight="1">
      <c r="A1531" s="80">
        <v>712.0</v>
      </c>
      <c r="B1531" s="81" t="s">
        <v>2641</v>
      </c>
      <c r="C1531" s="82"/>
      <c r="D1531" s="80">
        <v>9.692197238E9</v>
      </c>
      <c r="E1531" s="81" t="s">
        <v>11</v>
      </c>
      <c r="F1531" s="81" t="s">
        <v>385</v>
      </c>
      <c r="G1531" s="83" t="s">
        <v>1931</v>
      </c>
      <c r="H1531" s="75" t="s">
        <v>1932</v>
      </c>
      <c r="I1531" s="85" t="s">
        <v>1967</v>
      </c>
      <c r="J1531" s="84"/>
      <c r="K1531" s="78" t="s">
        <v>1933</v>
      </c>
      <c r="L1531" s="79"/>
    </row>
    <row r="1532" ht="22.5" customHeight="1">
      <c r="A1532" s="71">
        <v>713.0</v>
      </c>
      <c r="B1532" s="72" t="s">
        <v>2642</v>
      </c>
      <c r="C1532" s="73"/>
      <c r="D1532" s="71">
        <v>7.008962011E9</v>
      </c>
      <c r="E1532" s="72" t="s">
        <v>11</v>
      </c>
      <c r="F1532" s="72" t="s">
        <v>385</v>
      </c>
      <c r="G1532" s="74" t="s">
        <v>1931</v>
      </c>
      <c r="H1532" s="75" t="s">
        <v>1932</v>
      </c>
      <c r="I1532" s="76" t="s">
        <v>1729</v>
      </c>
      <c r="J1532" s="77"/>
      <c r="K1532" s="78" t="s">
        <v>1933</v>
      </c>
      <c r="L1532" s="79"/>
    </row>
    <row r="1533" ht="22.5" customHeight="1">
      <c r="A1533" s="80">
        <v>714.0</v>
      </c>
      <c r="B1533" s="81" t="s">
        <v>2643</v>
      </c>
      <c r="C1533" s="82"/>
      <c r="D1533" s="80">
        <v>8.249451081E9</v>
      </c>
      <c r="E1533" s="81" t="s">
        <v>11</v>
      </c>
      <c r="F1533" s="81" t="s">
        <v>385</v>
      </c>
      <c r="G1533" s="83" t="s">
        <v>1931</v>
      </c>
      <c r="H1533" s="75" t="s">
        <v>1932</v>
      </c>
      <c r="I1533" s="85" t="s">
        <v>1967</v>
      </c>
      <c r="J1533" s="84"/>
      <c r="K1533" s="78" t="s">
        <v>1933</v>
      </c>
      <c r="L1533" s="79"/>
    </row>
    <row r="1534" ht="22.5" customHeight="1">
      <c r="A1534" s="71">
        <v>715.0</v>
      </c>
      <c r="B1534" s="72" t="s">
        <v>2644</v>
      </c>
      <c r="C1534" s="73"/>
      <c r="D1534" s="71">
        <v>8.328885389E9</v>
      </c>
      <c r="E1534" s="72" t="s">
        <v>11</v>
      </c>
      <c r="F1534" s="72" t="s">
        <v>385</v>
      </c>
      <c r="G1534" s="74" t="s">
        <v>1931</v>
      </c>
      <c r="H1534" s="75" t="s">
        <v>1932</v>
      </c>
      <c r="I1534" s="85" t="s">
        <v>1967</v>
      </c>
      <c r="J1534" s="77"/>
      <c r="K1534" s="78" t="s">
        <v>1933</v>
      </c>
      <c r="L1534" s="79"/>
    </row>
    <row r="1535" ht="22.5" customHeight="1">
      <c r="A1535" s="80">
        <v>716.0</v>
      </c>
      <c r="B1535" s="81" t="s">
        <v>2645</v>
      </c>
      <c r="C1535" s="82"/>
      <c r="D1535" s="80">
        <v>8.521495688E9</v>
      </c>
      <c r="E1535" s="81" t="s">
        <v>11</v>
      </c>
      <c r="F1535" s="81" t="s">
        <v>385</v>
      </c>
      <c r="G1535" s="83" t="s">
        <v>1931</v>
      </c>
      <c r="H1535" s="75" t="s">
        <v>1932</v>
      </c>
      <c r="I1535" s="85" t="s">
        <v>1967</v>
      </c>
      <c r="J1535" s="84"/>
      <c r="K1535" s="78" t="s">
        <v>1933</v>
      </c>
      <c r="L1535" s="79"/>
    </row>
    <row r="1536" ht="22.5" customHeight="1">
      <c r="A1536" s="71">
        <v>717.0</v>
      </c>
      <c r="B1536" s="72" t="s">
        <v>2646</v>
      </c>
      <c r="C1536" s="73"/>
      <c r="D1536" s="71">
        <v>8.917325299E9</v>
      </c>
      <c r="E1536" s="72" t="s">
        <v>11</v>
      </c>
      <c r="F1536" s="72" t="s">
        <v>385</v>
      </c>
      <c r="G1536" s="74" t="s">
        <v>1931</v>
      </c>
      <c r="H1536" s="75" t="s">
        <v>1932</v>
      </c>
      <c r="I1536" s="85" t="s">
        <v>1967</v>
      </c>
      <c r="J1536" s="77"/>
      <c r="K1536" s="78" t="s">
        <v>1933</v>
      </c>
      <c r="L1536" s="79"/>
    </row>
    <row r="1537" ht="22.5" customHeight="1">
      <c r="A1537" s="80">
        <v>718.0</v>
      </c>
      <c r="B1537" s="81" t="s">
        <v>2647</v>
      </c>
      <c r="C1537" s="82"/>
      <c r="D1537" s="80">
        <v>9.082627539E9</v>
      </c>
      <c r="E1537" s="81" t="s">
        <v>11</v>
      </c>
      <c r="F1537" s="81" t="s">
        <v>385</v>
      </c>
      <c r="G1537" s="83" t="s">
        <v>1931</v>
      </c>
      <c r="H1537" s="75" t="s">
        <v>1932</v>
      </c>
      <c r="I1537" s="85" t="s">
        <v>1967</v>
      </c>
      <c r="J1537" s="84"/>
      <c r="K1537" s="78" t="s">
        <v>1933</v>
      </c>
      <c r="L1537" s="79"/>
    </row>
    <row r="1538" ht="22.5" customHeight="1">
      <c r="A1538" s="71">
        <v>719.0</v>
      </c>
      <c r="B1538" s="72" t="s">
        <v>2648</v>
      </c>
      <c r="C1538" s="73"/>
      <c r="D1538" s="71">
        <v>8.249673975E9</v>
      </c>
      <c r="E1538" s="72" t="s">
        <v>11</v>
      </c>
      <c r="F1538" s="72" t="s">
        <v>385</v>
      </c>
      <c r="G1538" s="74" t="s">
        <v>1931</v>
      </c>
      <c r="H1538" s="75" t="s">
        <v>1932</v>
      </c>
      <c r="I1538" s="76" t="s">
        <v>1729</v>
      </c>
      <c r="J1538" s="77"/>
      <c r="K1538" s="78" t="s">
        <v>1933</v>
      </c>
      <c r="L1538" s="79"/>
    </row>
    <row r="1539" ht="22.5" customHeight="1">
      <c r="A1539" s="80">
        <v>720.0</v>
      </c>
      <c r="B1539" s="81" t="s">
        <v>2649</v>
      </c>
      <c r="C1539" s="82"/>
      <c r="D1539" s="80">
        <v>9.777976514E9</v>
      </c>
      <c r="E1539" s="81" t="s">
        <v>11</v>
      </c>
      <c r="F1539" s="81" t="s">
        <v>385</v>
      </c>
      <c r="G1539" s="83" t="s">
        <v>1931</v>
      </c>
      <c r="H1539" s="75" t="s">
        <v>1932</v>
      </c>
      <c r="I1539" s="76" t="s">
        <v>1729</v>
      </c>
      <c r="J1539" s="84"/>
      <c r="K1539" s="78" t="s">
        <v>1933</v>
      </c>
      <c r="L1539" s="79"/>
    </row>
    <row r="1540" ht="22.5" customHeight="1">
      <c r="A1540" s="71">
        <v>721.0</v>
      </c>
      <c r="B1540" s="72" t="s">
        <v>2650</v>
      </c>
      <c r="C1540" s="73"/>
      <c r="D1540" s="71">
        <v>7.008015882E9</v>
      </c>
      <c r="E1540" s="72" t="s">
        <v>11</v>
      </c>
      <c r="F1540" s="72" t="s">
        <v>385</v>
      </c>
      <c r="G1540" s="74" t="s">
        <v>1931</v>
      </c>
      <c r="H1540" s="75" t="s">
        <v>1932</v>
      </c>
      <c r="I1540" s="85" t="s">
        <v>1967</v>
      </c>
      <c r="J1540" s="77"/>
      <c r="K1540" s="78" t="s">
        <v>1933</v>
      </c>
      <c r="L1540" s="79"/>
    </row>
    <row r="1541" ht="22.5" customHeight="1">
      <c r="A1541" s="80">
        <v>722.0</v>
      </c>
      <c r="B1541" s="81" t="s">
        <v>2651</v>
      </c>
      <c r="C1541" s="82"/>
      <c r="D1541" s="80">
        <v>9.658959426E9</v>
      </c>
      <c r="E1541" s="81" t="s">
        <v>11</v>
      </c>
      <c r="F1541" s="81" t="s">
        <v>385</v>
      </c>
      <c r="G1541" s="83" t="s">
        <v>1931</v>
      </c>
      <c r="H1541" s="75" t="s">
        <v>1932</v>
      </c>
      <c r="I1541" s="85" t="s">
        <v>1967</v>
      </c>
      <c r="J1541" s="84"/>
      <c r="K1541" s="78" t="s">
        <v>1933</v>
      </c>
      <c r="L1541" s="79"/>
    </row>
    <row r="1542" ht="22.5" customHeight="1">
      <c r="A1542" s="71">
        <v>723.0</v>
      </c>
      <c r="B1542" s="72" t="s">
        <v>2652</v>
      </c>
      <c r="C1542" s="73"/>
      <c r="D1542" s="71">
        <v>6.20204827E9</v>
      </c>
      <c r="E1542" s="72" t="s">
        <v>11</v>
      </c>
      <c r="F1542" s="72" t="s">
        <v>385</v>
      </c>
      <c r="G1542" s="74" t="s">
        <v>1931</v>
      </c>
      <c r="H1542" s="75" t="s">
        <v>1932</v>
      </c>
      <c r="I1542" s="85" t="s">
        <v>1967</v>
      </c>
      <c r="J1542" s="77"/>
      <c r="K1542" s="78" t="s">
        <v>1933</v>
      </c>
      <c r="L1542" s="79"/>
    </row>
    <row r="1543" ht="22.5" customHeight="1">
      <c r="A1543" s="80">
        <v>724.0</v>
      </c>
      <c r="B1543" s="81" t="s">
        <v>2653</v>
      </c>
      <c r="C1543" s="82"/>
      <c r="D1543" s="80">
        <v>9.938053608E9</v>
      </c>
      <c r="E1543" s="81" t="s">
        <v>11</v>
      </c>
      <c r="F1543" s="81" t="s">
        <v>385</v>
      </c>
      <c r="G1543" s="83" t="s">
        <v>1931</v>
      </c>
      <c r="H1543" s="75" t="s">
        <v>1932</v>
      </c>
      <c r="I1543" s="85" t="s">
        <v>1967</v>
      </c>
      <c r="J1543" s="84"/>
      <c r="K1543" s="78" t="s">
        <v>1933</v>
      </c>
      <c r="L1543" s="79"/>
    </row>
    <row r="1544" ht="22.5" customHeight="1">
      <c r="A1544" s="71">
        <v>725.0</v>
      </c>
      <c r="B1544" s="72" t="s">
        <v>2654</v>
      </c>
      <c r="C1544" s="73"/>
      <c r="D1544" s="71">
        <v>9.827847605E9</v>
      </c>
      <c r="E1544" s="72" t="s">
        <v>11</v>
      </c>
      <c r="F1544" s="72" t="s">
        <v>385</v>
      </c>
      <c r="G1544" s="74" t="s">
        <v>1931</v>
      </c>
      <c r="H1544" s="75" t="s">
        <v>1932</v>
      </c>
      <c r="I1544" s="76" t="s">
        <v>1729</v>
      </c>
      <c r="J1544" s="77"/>
      <c r="K1544" s="78" t="s">
        <v>1933</v>
      </c>
      <c r="L1544" s="79"/>
    </row>
    <row r="1545" ht="22.5" customHeight="1">
      <c r="A1545" s="80">
        <v>726.0</v>
      </c>
      <c r="B1545" s="81" t="s">
        <v>2655</v>
      </c>
      <c r="C1545" s="82"/>
      <c r="D1545" s="80">
        <v>8.45806702E9</v>
      </c>
      <c r="E1545" s="81" t="s">
        <v>11</v>
      </c>
      <c r="F1545" s="81" t="s">
        <v>385</v>
      </c>
      <c r="G1545" s="83" t="s">
        <v>1931</v>
      </c>
      <c r="H1545" s="75" t="s">
        <v>1932</v>
      </c>
      <c r="I1545" s="87" t="s">
        <v>2581</v>
      </c>
      <c r="J1545" s="84"/>
      <c r="K1545" s="78" t="s">
        <v>1933</v>
      </c>
      <c r="L1545" s="79"/>
    </row>
    <row r="1546" ht="22.5" customHeight="1">
      <c r="A1546" s="71">
        <v>727.0</v>
      </c>
      <c r="B1546" s="72" t="s">
        <v>2656</v>
      </c>
      <c r="C1546" s="73"/>
      <c r="D1546" s="71">
        <v>8.917528842E9</v>
      </c>
      <c r="E1546" s="72" t="s">
        <v>11</v>
      </c>
      <c r="F1546" s="72" t="s">
        <v>385</v>
      </c>
      <c r="G1546" s="74" t="s">
        <v>1931</v>
      </c>
      <c r="H1546" s="75" t="s">
        <v>1932</v>
      </c>
      <c r="I1546" s="76" t="s">
        <v>1729</v>
      </c>
      <c r="J1546" s="77"/>
      <c r="K1546" s="78" t="s">
        <v>1933</v>
      </c>
      <c r="L1546" s="79"/>
    </row>
    <row r="1547" ht="22.5" customHeight="1">
      <c r="A1547" s="80">
        <v>728.0</v>
      </c>
      <c r="B1547" s="81" t="s">
        <v>2657</v>
      </c>
      <c r="C1547" s="82"/>
      <c r="D1547" s="80">
        <v>9.437848965E9</v>
      </c>
      <c r="E1547" s="81" t="s">
        <v>11</v>
      </c>
      <c r="F1547" s="81" t="s">
        <v>385</v>
      </c>
      <c r="G1547" s="83" t="s">
        <v>1931</v>
      </c>
      <c r="H1547" s="75" t="s">
        <v>1932</v>
      </c>
      <c r="I1547" s="87" t="s">
        <v>2581</v>
      </c>
      <c r="J1547" s="84"/>
      <c r="K1547" s="78" t="s">
        <v>1933</v>
      </c>
      <c r="L1547" s="79"/>
    </row>
    <row r="1548" ht="22.5" customHeight="1">
      <c r="A1548" s="71">
        <v>729.0</v>
      </c>
      <c r="B1548" s="72" t="s">
        <v>2658</v>
      </c>
      <c r="C1548" s="73"/>
      <c r="D1548" s="71">
        <v>9.33721983E9</v>
      </c>
      <c r="E1548" s="72" t="s">
        <v>11</v>
      </c>
      <c r="F1548" s="72" t="s">
        <v>385</v>
      </c>
      <c r="G1548" s="74" t="s">
        <v>1931</v>
      </c>
      <c r="H1548" s="75" t="s">
        <v>1932</v>
      </c>
      <c r="I1548" s="76" t="s">
        <v>1729</v>
      </c>
      <c r="J1548" s="77"/>
      <c r="K1548" s="78" t="s">
        <v>1933</v>
      </c>
      <c r="L1548" s="79"/>
    </row>
    <row r="1549" ht="22.5" customHeight="1">
      <c r="A1549" s="80">
        <v>730.0</v>
      </c>
      <c r="B1549" s="81" t="s">
        <v>2659</v>
      </c>
      <c r="C1549" s="82"/>
      <c r="D1549" s="80">
        <v>8.144267756E9</v>
      </c>
      <c r="E1549" s="81" t="s">
        <v>11</v>
      </c>
      <c r="F1549" s="81" t="s">
        <v>385</v>
      </c>
      <c r="G1549" s="83" t="s">
        <v>1931</v>
      </c>
      <c r="H1549" s="75" t="s">
        <v>1932</v>
      </c>
      <c r="I1549" s="86" t="s">
        <v>1731</v>
      </c>
      <c r="J1549" s="84"/>
      <c r="K1549" s="78" t="s">
        <v>1933</v>
      </c>
      <c r="L1549" s="79"/>
    </row>
    <row r="1550" ht="22.5" customHeight="1">
      <c r="A1550" s="71">
        <v>731.0</v>
      </c>
      <c r="B1550" s="72" t="s">
        <v>2660</v>
      </c>
      <c r="C1550" s="73"/>
      <c r="D1550" s="71">
        <v>9.040312191E9</v>
      </c>
      <c r="E1550" s="72" t="s">
        <v>11</v>
      </c>
      <c r="F1550" s="72" t="s">
        <v>385</v>
      </c>
      <c r="G1550" s="74" t="s">
        <v>1931</v>
      </c>
      <c r="H1550" s="75" t="s">
        <v>1932</v>
      </c>
      <c r="I1550" s="76" t="s">
        <v>1729</v>
      </c>
      <c r="J1550" s="77"/>
      <c r="K1550" s="78" t="s">
        <v>1933</v>
      </c>
      <c r="L1550" s="79"/>
    </row>
    <row r="1551" ht="22.5" customHeight="1">
      <c r="A1551" s="80">
        <v>732.0</v>
      </c>
      <c r="B1551" s="81" t="s">
        <v>2661</v>
      </c>
      <c r="C1551" s="82"/>
      <c r="D1551" s="80">
        <v>9.938090194E9</v>
      </c>
      <c r="E1551" s="81" t="s">
        <v>11</v>
      </c>
      <c r="F1551" s="81" t="s">
        <v>385</v>
      </c>
      <c r="G1551" s="83" t="s">
        <v>1931</v>
      </c>
      <c r="H1551" s="75" t="s">
        <v>1932</v>
      </c>
      <c r="I1551" s="86" t="s">
        <v>1731</v>
      </c>
      <c r="J1551" s="84"/>
      <c r="K1551" s="78" t="s">
        <v>1933</v>
      </c>
      <c r="L1551" s="79"/>
    </row>
    <row r="1552" ht="22.5" customHeight="1">
      <c r="A1552" s="71">
        <v>733.0</v>
      </c>
      <c r="B1552" s="72" t="s">
        <v>2662</v>
      </c>
      <c r="C1552" s="73"/>
      <c r="D1552" s="71">
        <v>9.040260773E9</v>
      </c>
      <c r="E1552" s="72" t="s">
        <v>11</v>
      </c>
      <c r="F1552" s="72" t="s">
        <v>385</v>
      </c>
      <c r="G1552" s="74" t="s">
        <v>1931</v>
      </c>
      <c r="H1552" s="75" t="s">
        <v>1932</v>
      </c>
      <c r="I1552" s="76" t="s">
        <v>1729</v>
      </c>
      <c r="J1552" s="77"/>
      <c r="K1552" s="78" t="s">
        <v>1933</v>
      </c>
      <c r="L1552" s="79"/>
    </row>
    <row r="1553" ht="22.5" customHeight="1">
      <c r="A1553" s="80">
        <v>734.0</v>
      </c>
      <c r="B1553" s="81" t="s">
        <v>2663</v>
      </c>
      <c r="C1553" s="82"/>
      <c r="D1553" s="80">
        <v>8.309463498E9</v>
      </c>
      <c r="E1553" s="81" t="s">
        <v>11</v>
      </c>
      <c r="F1553" s="81" t="s">
        <v>385</v>
      </c>
      <c r="G1553" s="83" t="s">
        <v>1931</v>
      </c>
      <c r="H1553" s="75" t="s">
        <v>1932</v>
      </c>
      <c r="I1553" s="76" t="s">
        <v>1729</v>
      </c>
      <c r="J1553" s="84"/>
      <c r="K1553" s="78" t="s">
        <v>1933</v>
      </c>
      <c r="L1553" s="79"/>
    </row>
    <row r="1554" ht="22.5" customHeight="1">
      <c r="A1554" s="71">
        <v>735.0</v>
      </c>
      <c r="B1554" s="72" t="s">
        <v>2664</v>
      </c>
      <c r="C1554" s="73"/>
      <c r="D1554" s="71">
        <v>7.788962635E9</v>
      </c>
      <c r="E1554" s="72" t="s">
        <v>11</v>
      </c>
      <c r="F1554" s="72" t="s">
        <v>385</v>
      </c>
      <c r="G1554" s="74" t="s">
        <v>1931</v>
      </c>
      <c r="H1554" s="75" t="s">
        <v>1932</v>
      </c>
      <c r="I1554" s="86" t="s">
        <v>1731</v>
      </c>
      <c r="J1554" s="77"/>
      <c r="K1554" s="78" t="s">
        <v>1933</v>
      </c>
      <c r="L1554" s="79"/>
    </row>
    <row r="1555" ht="22.5" customHeight="1">
      <c r="A1555" s="80">
        <v>736.0</v>
      </c>
      <c r="B1555" s="81" t="s">
        <v>2665</v>
      </c>
      <c r="C1555" s="82"/>
      <c r="D1555" s="80">
        <v>8.917582272E9</v>
      </c>
      <c r="E1555" s="81" t="s">
        <v>11</v>
      </c>
      <c r="F1555" s="81" t="s">
        <v>385</v>
      </c>
      <c r="G1555" s="83" t="s">
        <v>1931</v>
      </c>
      <c r="H1555" s="75" t="s">
        <v>1932</v>
      </c>
      <c r="I1555" s="87" t="s">
        <v>2581</v>
      </c>
      <c r="J1555" s="84"/>
      <c r="K1555" s="78" t="s">
        <v>1933</v>
      </c>
      <c r="L1555" s="79"/>
    </row>
    <row r="1556" ht="22.5" customHeight="1">
      <c r="A1556" s="71">
        <v>737.0</v>
      </c>
      <c r="B1556" s="72" t="s">
        <v>2666</v>
      </c>
      <c r="C1556" s="73"/>
      <c r="D1556" s="71">
        <v>8.249869537E9</v>
      </c>
      <c r="E1556" s="72" t="s">
        <v>11</v>
      </c>
      <c r="F1556" s="72" t="s">
        <v>385</v>
      </c>
      <c r="G1556" s="74" t="s">
        <v>1931</v>
      </c>
      <c r="H1556" s="75" t="s">
        <v>1932</v>
      </c>
      <c r="I1556" s="87" t="s">
        <v>2581</v>
      </c>
      <c r="J1556" s="77"/>
      <c r="K1556" s="78" t="s">
        <v>1933</v>
      </c>
      <c r="L1556" s="79"/>
    </row>
    <row r="1557" ht="22.5" customHeight="1">
      <c r="A1557" s="80">
        <v>738.0</v>
      </c>
      <c r="B1557" s="81" t="s">
        <v>2667</v>
      </c>
      <c r="C1557" s="82"/>
      <c r="D1557" s="80">
        <v>9.938875502E9</v>
      </c>
      <c r="E1557" s="81" t="s">
        <v>11</v>
      </c>
      <c r="F1557" s="81" t="s">
        <v>385</v>
      </c>
      <c r="G1557" s="83" t="s">
        <v>1931</v>
      </c>
      <c r="H1557" s="75" t="s">
        <v>1932</v>
      </c>
      <c r="I1557" s="76" t="s">
        <v>1729</v>
      </c>
      <c r="J1557" s="84"/>
      <c r="K1557" s="78" t="s">
        <v>1933</v>
      </c>
      <c r="L1557" s="79"/>
    </row>
    <row r="1558" ht="22.5" customHeight="1">
      <c r="A1558" s="71">
        <v>739.0</v>
      </c>
      <c r="B1558" s="72" t="s">
        <v>2668</v>
      </c>
      <c r="C1558" s="73"/>
      <c r="D1558" s="71">
        <v>7.873010111E9</v>
      </c>
      <c r="E1558" s="72" t="s">
        <v>11</v>
      </c>
      <c r="F1558" s="72" t="s">
        <v>385</v>
      </c>
      <c r="G1558" s="74" t="s">
        <v>1931</v>
      </c>
      <c r="H1558" s="75" t="s">
        <v>1932</v>
      </c>
      <c r="I1558" s="86" t="s">
        <v>1731</v>
      </c>
      <c r="J1558" s="77"/>
      <c r="K1558" s="78" t="s">
        <v>1933</v>
      </c>
      <c r="L1558" s="79"/>
    </row>
    <row r="1559" ht="22.5" customHeight="1">
      <c r="A1559" s="80">
        <v>740.0</v>
      </c>
      <c r="B1559" s="81" t="s">
        <v>2669</v>
      </c>
      <c r="C1559" s="82"/>
      <c r="D1559" s="80">
        <v>8.14447139E9</v>
      </c>
      <c r="E1559" s="81" t="s">
        <v>11</v>
      </c>
      <c r="F1559" s="81" t="s">
        <v>385</v>
      </c>
      <c r="G1559" s="83" t="s">
        <v>1931</v>
      </c>
      <c r="H1559" s="75" t="s">
        <v>1932</v>
      </c>
      <c r="I1559" s="76" t="s">
        <v>1729</v>
      </c>
      <c r="J1559" s="84"/>
      <c r="K1559" s="78" t="s">
        <v>1933</v>
      </c>
      <c r="L1559" s="79"/>
    </row>
    <row r="1560" ht="22.5" customHeight="1">
      <c r="A1560" s="71">
        <v>741.0</v>
      </c>
      <c r="B1560" s="72" t="s">
        <v>2670</v>
      </c>
      <c r="C1560" s="73"/>
      <c r="D1560" s="71">
        <v>8.328899059E9</v>
      </c>
      <c r="E1560" s="72" t="s">
        <v>11</v>
      </c>
      <c r="F1560" s="72" t="s">
        <v>385</v>
      </c>
      <c r="G1560" s="74" t="s">
        <v>1931</v>
      </c>
      <c r="H1560" s="75" t="s">
        <v>1932</v>
      </c>
      <c r="I1560" s="86" t="s">
        <v>1731</v>
      </c>
      <c r="J1560" s="77"/>
      <c r="K1560" s="78" t="s">
        <v>1933</v>
      </c>
      <c r="L1560" s="79"/>
    </row>
    <row r="1561" ht="22.5" customHeight="1">
      <c r="A1561" s="80">
        <v>742.0</v>
      </c>
      <c r="B1561" s="81" t="s">
        <v>2671</v>
      </c>
      <c r="C1561" s="82"/>
      <c r="D1561" s="80">
        <v>9.437604283E9</v>
      </c>
      <c r="E1561" s="81" t="s">
        <v>11</v>
      </c>
      <c r="F1561" s="81" t="s">
        <v>385</v>
      </c>
      <c r="G1561" s="83" t="s">
        <v>1931</v>
      </c>
      <c r="H1561" s="75" t="s">
        <v>1932</v>
      </c>
      <c r="I1561" s="86" t="s">
        <v>1731</v>
      </c>
      <c r="J1561" s="84"/>
      <c r="K1561" s="78" t="s">
        <v>1933</v>
      </c>
      <c r="L1561" s="79"/>
    </row>
    <row r="1562" ht="22.5" customHeight="1">
      <c r="A1562" s="71">
        <v>743.0</v>
      </c>
      <c r="B1562" s="72" t="s">
        <v>2672</v>
      </c>
      <c r="C1562" s="73"/>
      <c r="D1562" s="71">
        <v>8.260148811E9</v>
      </c>
      <c r="E1562" s="72" t="s">
        <v>11</v>
      </c>
      <c r="F1562" s="72" t="s">
        <v>385</v>
      </c>
      <c r="G1562" s="74" t="s">
        <v>1931</v>
      </c>
      <c r="H1562" s="75" t="s">
        <v>1932</v>
      </c>
      <c r="I1562" s="76" t="s">
        <v>1729</v>
      </c>
      <c r="J1562" s="77"/>
      <c r="K1562" s="78" t="s">
        <v>1933</v>
      </c>
      <c r="L1562" s="79"/>
    </row>
    <row r="1563" ht="22.5" customHeight="1">
      <c r="A1563" s="80">
        <v>744.0</v>
      </c>
      <c r="B1563" s="81" t="s">
        <v>2673</v>
      </c>
      <c r="C1563" s="82"/>
      <c r="D1563" s="80">
        <v>9.437205223E9</v>
      </c>
      <c r="E1563" s="72" t="s">
        <v>11</v>
      </c>
      <c r="F1563" s="82"/>
      <c r="G1563" s="83" t="s">
        <v>1931</v>
      </c>
      <c r="H1563" s="75" t="s">
        <v>1932</v>
      </c>
      <c r="I1563" s="87" t="s">
        <v>2581</v>
      </c>
      <c r="J1563" s="84"/>
      <c r="K1563" s="78" t="s">
        <v>1933</v>
      </c>
      <c r="L1563" s="79"/>
    </row>
    <row r="1564" ht="22.5" customHeight="1">
      <c r="A1564" s="71">
        <v>745.0</v>
      </c>
      <c r="B1564" s="72" t="s">
        <v>2674</v>
      </c>
      <c r="C1564" s="73"/>
      <c r="D1564" s="71">
        <v>7.008715256E9</v>
      </c>
      <c r="E1564" s="72" t="s">
        <v>11</v>
      </c>
      <c r="F1564" s="73"/>
      <c r="G1564" s="74" t="s">
        <v>1931</v>
      </c>
      <c r="H1564" s="75" t="s">
        <v>1932</v>
      </c>
      <c r="I1564" s="76" t="s">
        <v>1729</v>
      </c>
      <c r="J1564" s="77"/>
      <c r="K1564" s="78" t="s">
        <v>1933</v>
      </c>
      <c r="L1564" s="79"/>
    </row>
    <row r="1565" ht="22.5" customHeight="1">
      <c r="A1565" s="80">
        <v>746.0</v>
      </c>
      <c r="B1565" s="81" t="s">
        <v>2675</v>
      </c>
      <c r="C1565" s="82"/>
      <c r="D1565" s="80">
        <v>7.077860349E9</v>
      </c>
      <c r="E1565" s="72" t="s">
        <v>11</v>
      </c>
      <c r="F1565" s="82"/>
      <c r="G1565" s="83" t="s">
        <v>1931</v>
      </c>
      <c r="H1565" s="75" t="s">
        <v>1932</v>
      </c>
      <c r="I1565" s="87" t="s">
        <v>2581</v>
      </c>
      <c r="J1565" s="84"/>
      <c r="K1565" s="78" t="s">
        <v>1933</v>
      </c>
      <c r="L1565" s="79"/>
    </row>
    <row r="1566" ht="22.5" customHeight="1">
      <c r="A1566" s="71">
        <v>747.0</v>
      </c>
      <c r="B1566" s="72" t="s">
        <v>2676</v>
      </c>
      <c r="C1566" s="73"/>
      <c r="D1566" s="71">
        <v>9.4384395E9</v>
      </c>
      <c r="E1566" s="72" t="s">
        <v>11</v>
      </c>
      <c r="F1566" s="73"/>
      <c r="G1566" s="74" t="s">
        <v>1931</v>
      </c>
      <c r="H1566" s="75" t="s">
        <v>1932</v>
      </c>
      <c r="I1566" s="85" t="s">
        <v>1967</v>
      </c>
      <c r="J1566" s="77"/>
      <c r="K1566" s="78" t="s">
        <v>1933</v>
      </c>
      <c r="L1566" s="79"/>
    </row>
    <row r="1567" ht="22.5" customHeight="1">
      <c r="A1567" s="80">
        <v>748.0</v>
      </c>
      <c r="B1567" s="81" t="s">
        <v>2677</v>
      </c>
      <c r="C1567" s="82"/>
      <c r="D1567" s="80">
        <v>7.008775195E9</v>
      </c>
      <c r="E1567" s="72" t="s">
        <v>11</v>
      </c>
      <c r="F1567" s="82"/>
      <c r="G1567" s="83" t="s">
        <v>1931</v>
      </c>
      <c r="H1567" s="75" t="s">
        <v>1932</v>
      </c>
      <c r="I1567" s="76" t="s">
        <v>1729</v>
      </c>
      <c r="J1567" s="84"/>
      <c r="K1567" s="78" t="s">
        <v>1933</v>
      </c>
      <c r="L1567" s="79"/>
    </row>
    <row r="1568" ht="22.5" customHeight="1">
      <c r="A1568" s="71">
        <v>749.0</v>
      </c>
      <c r="B1568" s="72" t="s">
        <v>2678</v>
      </c>
      <c r="C1568" s="73"/>
      <c r="D1568" s="71">
        <v>9.938638956E9</v>
      </c>
      <c r="E1568" s="72" t="s">
        <v>11</v>
      </c>
      <c r="F1568" s="73"/>
      <c r="G1568" s="74" t="s">
        <v>1931</v>
      </c>
      <c r="H1568" s="75" t="s">
        <v>1932</v>
      </c>
      <c r="I1568" s="76" t="s">
        <v>1729</v>
      </c>
      <c r="J1568" s="77"/>
      <c r="K1568" s="78" t="s">
        <v>1933</v>
      </c>
      <c r="L1568" s="79"/>
    </row>
    <row r="1569" ht="22.5" customHeight="1">
      <c r="A1569" s="80">
        <v>750.0</v>
      </c>
      <c r="B1569" s="81" t="s">
        <v>2679</v>
      </c>
      <c r="C1569" s="82"/>
      <c r="D1569" s="80">
        <v>8.457952512E9</v>
      </c>
      <c r="E1569" s="72" t="s">
        <v>11</v>
      </c>
      <c r="F1569" s="82"/>
      <c r="G1569" s="83" t="s">
        <v>1931</v>
      </c>
      <c r="H1569" s="75" t="s">
        <v>1932</v>
      </c>
      <c r="I1569" s="87" t="s">
        <v>2581</v>
      </c>
      <c r="J1569" s="84"/>
      <c r="K1569" s="78" t="s">
        <v>1933</v>
      </c>
      <c r="L1569" s="79"/>
    </row>
    <row r="1570" ht="22.5" customHeight="1">
      <c r="A1570" s="71">
        <v>751.0</v>
      </c>
      <c r="B1570" s="72" t="s">
        <v>2680</v>
      </c>
      <c r="C1570" s="73"/>
      <c r="D1570" s="71">
        <v>7.205744061E9</v>
      </c>
      <c r="E1570" s="72" t="s">
        <v>11</v>
      </c>
      <c r="F1570" s="73"/>
      <c r="G1570" s="74" t="s">
        <v>1931</v>
      </c>
      <c r="H1570" s="75" t="s">
        <v>1932</v>
      </c>
      <c r="I1570" s="87" t="s">
        <v>2581</v>
      </c>
      <c r="J1570" s="77"/>
      <c r="K1570" s="78" t="s">
        <v>1933</v>
      </c>
      <c r="L1570" s="79"/>
    </row>
    <row r="1571" ht="22.5" customHeight="1">
      <c r="A1571" s="80">
        <v>752.0</v>
      </c>
      <c r="B1571" s="81" t="s">
        <v>2681</v>
      </c>
      <c r="C1571" s="82"/>
      <c r="D1571" s="80">
        <v>7.008186499E9</v>
      </c>
      <c r="E1571" s="72" t="s">
        <v>11</v>
      </c>
      <c r="F1571" s="82"/>
      <c r="G1571" s="83" t="s">
        <v>1931</v>
      </c>
      <c r="H1571" s="75" t="s">
        <v>1932</v>
      </c>
      <c r="I1571" s="85" t="s">
        <v>1967</v>
      </c>
      <c r="J1571" s="84"/>
      <c r="K1571" s="78" t="s">
        <v>1933</v>
      </c>
      <c r="L1571" s="79"/>
    </row>
    <row r="1572" ht="22.5" customHeight="1">
      <c r="A1572" s="71">
        <v>753.0</v>
      </c>
      <c r="B1572" s="72" t="s">
        <v>2682</v>
      </c>
      <c r="C1572" s="73"/>
      <c r="D1572" s="71">
        <v>7.751099625E9</v>
      </c>
      <c r="E1572" s="72" t="s">
        <v>11</v>
      </c>
      <c r="F1572" s="73"/>
      <c r="G1572" s="74" t="s">
        <v>1931</v>
      </c>
      <c r="H1572" s="75" t="s">
        <v>1932</v>
      </c>
      <c r="I1572" s="85" t="s">
        <v>1967</v>
      </c>
      <c r="J1572" s="77"/>
      <c r="K1572" s="78" t="s">
        <v>1933</v>
      </c>
      <c r="L1572" s="79"/>
    </row>
    <row r="1573" ht="22.5" customHeight="1">
      <c r="A1573" s="80">
        <v>754.0</v>
      </c>
      <c r="B1573" s="81" t="s">
        <v>2683</v>
      </c>
      <c r="C1573" s="82"/>
      <c r="D1573" s="80">
        <v>8.144394787E9</v>
      </c>
      <c r="E1573" s="72" t="s">
        <v>11</v>
      </c>
      <c r="F1573" s="82"/>
      <c r="G1573" s="83" t="s">
        <v>1931</v>
      </c>
      <c r="H1573" s="75" t="s">
        <v>1932</v>
      </c>
      <c r="I1573" s="85" t="s">
        <v>1967</v>
      </c>
      <c r="J1573" s="84"/>
      <c r="K1573" s="78" t="s">
        <v>1933</v>
      </c>
      <c r="L1573" s="79"/>
    </row>
    <row r="1574" ht="22.5" customHeight="1">
      <c r="A1574" s="71">
        <v>755.0</v>
      </c>
      <c r="B1574" s="72" t="s">
        <v>2684</v>
      </c>
      <c r="C1574" s="73"/>
      <c r="D1574" s="71">
        <v>9.938808185E9</v>
      </c>
      <c r="E1574" s="72" t="s">
        <v>11</v>
      </c>
      <c r="F1574" s="73"/>
      <c r="G1574" s="74" t="s">
        <v>1931</v>
      </c>
      <c r="H1574" s="75" t="s">
        <v>1932</v>
      </c>
      <c r="I1574" s="85" t="s">
        <v>1967</v>
      </c>
      <c r="J1574" s="77"/>
      <c r="K1574" s="78" t="s">
        <v>1933</v>
      </c>
      <c r="L1574" s="79"/>
    </row>
    <row r="1575" ht="22.5" customHeight="1">
      <c r="A1575" s="80">
        <v>756.0</v>
      </c>
      <c r="B1575" s="81" t="s">
        <v>2685</v>
      </c>
      <c r="C1575" s="82"/>
      <c r="D1575" s="80">
        <v>8.249649552E9</v>
      </c>
      <c r="E1575" s="72" t="s">
        <v>11</v>
      </c>
      <c r="F1575" s="82"/>
      <c r="G1575" s="83" t="s">
        <v>1931</v>
      </c>
      <c r="H1575" s="75" t="s">
        <v>1932</v>
      </c>
      <c r="I1575" s="85" t="s">
        <v>1967</v>
      </c>
      <c r="J1575" s="84"/>
      <c r="K1575" s="78" t="s">
        <v>1933</v>
      </c>
      <c r="L1575" s="79"/>
    </row>
    <row r="1576" ht="22.5" customHeight="1">
      <c r="A1576" s="71">
        <v>757.0</v>
      </c>
      <c r="B1576" s="72" t="s">
        <v>2686</v>
      </c>
      <c r="C1576" s="73"/>
      <c r="D1576" s="71">
        <v>7.97832741E9</v>
      </c>
      <c r="E1576" s="72" t="s">
        <v>11</v>
      </c>
      <c r="F1576" s="73"/>
      <c r="G1576" s="74" t="s">
        <v>1931</v>
      </c>
      <c r="H1576" s="75" t="s">
        <v>1932</v>
      </c>
      <c r="I1576" s="76" t="s">
        <v>1729</v>
      </c>
      <c r="J1576" s="77"/>
      <c r="K1576" s="78" t="s">
        <v>1933</v>
      </c>
      <c r="L1576" s="79"/>
    </row>
    <row r="1577" ht="22.5" customHeight="1">
      <c r="A1577" s="80">
        <v>758.0</v>
      </c>
      <c r="B1577" s="81" t="s">
        <v>2687</v>
      </c>
      <c r="C1577" s="82"/>
      <c r="D1577" s="80">
        <v>9.437181843E9</v>
      </c>
      <c r="E1577" s="72" t="s">
        <v>11</v>
      </c>
      <c r="F1577" s="82"/>
      <c r="G1577" s="83" t="s">
        <v>1931</v>
      </c>
      <c r="H1577" s="75" t="s">
        <v>1932</v>
      </c>
      <c r="I1577" s="87" t="s">
        <v>2581</v>
      </c>
      <c r="J1577" s="84"/>
      <c r="K1577" s="78" t="s">
        <v>1933</v>
      </c>
      <c r="L1577" s="79"/>
    </row>
    <row r="1578" ht="22.5" customHeight="1">
      <c r="A1578" s="71">
        <v>759.0</v>
      </c>
      <c r="B1578" s="72" t="s">
        <v>2688</v>
      </c>
      <c r="C1578" s="73"/>
      <c r="D1578" s="71">
        <v>9.338011165E9</v>
      </c>
      <c r="E1578" s="72" t="s">
        <v>11</v>
      </c>
      <c r="F1578" s="73"/>
      <c r="G1578" s="74" t="s">
        <v>1931</v>
      </c>
      <c r="H1578" s="75" t="s">
        <v>1932</v>
      </c>
      <c r="I1578" s="85" t="s">
        <v>1967</v>
      </c>
      <c r="J1578" s="77"/>
      <c r="K1578" s="78" t="s">
        <v>1933</v>
      </c>
      <c r="L1578" s="79"/>
    </row>
    <row r="1579" ht="22.5" customHeight="1">
      <c r="A1579" s="80">
        <v>760.0</v>
      </c>
      <c r="B1579" s="81" t="s">
        <v>2689</v>
      </c>
      <c r="C1579" s="82"/>
      <c r="D1579" s="80">
        <v>8.018938312E9</v>
      </c>
      <c r="E1579" s="72" t="s">
        <v>11</v>
      </c>
      <c r="F1579" s="82"/>
      <c r="G1579" s="83" t="s">
        <v>1931</v>
      </c>
      <c r="H1579" s="75" t="s">
        <v>1932</v>
      </c>
      <c r="I1579" s="85" t="s">
        <v>1967</v>
      </c>
      <c r="J1579" s="84"/>
      <c r="K1579" s="78" t="s">
        <v>1933</v>
      </c>
      <c r="L1579" s="79"/>
    </row>
    <row r="1580" ht="22.5" customHeight="1">
      <c r="A1580" s="71">
        <v>761.0</v>
      </c>
      <c r="B1580" s="72" t="s">
        <v>2690</v>
      </c>
      <c r="C1580" s="73"/>
      <c r="D1580" s="71">
        <v>7.205710881E9</v>
      </c>
      <c r="E1580" s="72" t="s">
        <v>11</v>
      </c>
      <c r="F1580" s="73"/>
      <c r="G1580" s="74" t="s">
        <v>1931</v>
      </c>
      <c r="H1580" s="75" t="s">
        <v>1932</v>
      </c>
      <c r="I1580" s="85" t="s">
        <v>1967</v>
      </c>
      <c r="J1580" s="77"/>
      <c r="K1580" s="78" t="s">
        <v>1933</v>
      </c>
      <c r="L1580" s="79"/>
    </row>
    <row r="1581" ht="22.5" customHeight="1">
      <c r="A1581" s="80">
        <v>762.0</v>
      </c>
      <c r="B1581" s="81" t="s">
        <v>2691</v>
      </c>
      <c r="C1581" s="82"/>
      <c r="D1581" s="80">
        <v>9.438625192E9</v>
      </c>
      <c r="E1581" s="72" t="s">
        <v>11</v>
      </c>
      <c r="F1581" s="82"/>
      <c r="G1581" s="83" t="s">
        <v>1931</v>
      </c>
      <c r="H1581" s="75" t="s">
        <v>1932</v>
      </c>
      <c r="I1581" s="85" t="s">
        <v>1967</v>
      </c>
      <c r="J1581" s="84"/>
      <c r="K1581" s="78" t="s">
        <v>1933</v>
      </c>
      <c r="L1581" s="79"/>
    </row>
    <row r="1582" ht="22.5" customHeight="1">
      <c r="A1582" s="71">
        <v>763.0</v>
      </c>
      <c r="B1582" s="72" t="s">
        <v>2692</v>
      </c>
      <c r="C1582" s="73"/>
      <c r="D1582" s="71">
        <v>9.777664092E9</v>
      </c>
      <c r="E1582" s="72" t="s">
        <v>11</v>
      </c>
      <c r="F1582" s="73"/>
      <c r="G1582" s="74" t="s">
        <v>1931</v>
      </c>
      <c r="H1582" s="75" t="s">
        <v>1932</v>
      </c>
      <c r="I1582" s="85" t="s">
        <v>1967</v>
      </c>
      <c r="J1582" s="77"/>
      <c r="K1582" s="78" t="s">
        <v>1933</v>
      </c>
      <c r="L1582" s="79"/>
    </row>
    <row r="1583" ht="22.5" customHeight="1">
      <c r="A1583" s="80">
        <v>764.0</v>
      </c>
      <c r="B1583" s="81" t="s">
        <v>2693</v>
      </c>
      <c r="C1583" s="82"/>
      <c r="D1583" s="80">
        <v>8.018491684E9</v>
      </c>
      <c r="E1583" s="72" t="s">
        <v>11</v>
      </c>
      <c r="F1583" s="82"/>
      <c r="G1583" s="83" t="s">
        <v>1931</v>
      </c>
      <c r="H1583" s="75" t="s">
        <v>1932</v>
      </c>
      <c r="I1583" s="85" t="s">
        <v>1967</v>
      </c>
      <c r="J1583" s="84"/>
      <c r="K1583" s="78" t="s">
        <v>1933</v>
      </c>
      <c r="L1583" s="79"/>
    </row>
    <row r="1584" ht="22.5" customHeight="1">
      <c r="A1584" s="71">
        <v>765.0</v>
      </c>
      <c r="B1584" s="72" t="s">
        <v>2694</v>
      </c>
      <c r="C1584" s="73"/>
      <c r="D1584" s="71">
        <v>7.205499798E9</v>
      </c>
      <c r="E1584" s="72" t="s">
        <v>11</v>
      </c>
      <c r="F1584" s="73"/>
      <c r="G1584" s="74" t="s">
        <v>1931</v>
      </c>
      <c r="H1584" s="75" t="s">
        <v>1932</v>
      </c>
      <c r="I1584" s="85" t="s">
        <v>1967</v>
      </c>
      <c r="J1584" s="77"/>
      <c r="K1584" s="78" t="s">
        <v>1933</v>
      </c>
      <c r="L1584" s="79"/>
    </row>
    <row r="1585" ht="22.5" customHeight="1">
      <c r="A1585" s="80">
        <v>766.0</v>
      </c>
      <c r="B1585" s="81" t="s">
        <v>2030</v>
      </c>
      <c r="C1585" s="82"/>
      <c r="D1585" s="80">
        <v>8.117989569E9</v>
      </c>
      <c r="E1585" s="72" t="s">
        <v>11</v>
      </c>
      <c r="F1585" s="82"/>
      <c r="G1585" s="83" t="s">
        <v>1931</v>
      </c>
      <c r="H1585" s="75" t="s">
        <v>1932</v>
      </c>
      <c r="I1585" s="85" t="s">
        <v>1967</v>
      </c>
      <c r="J1585" s="84"/>
      <c r="K1585" s="78" t="s">
        <v>1933</v>
      </c>
      <c r="L1585" s="79"/>
    </row>
    <row r="1586" ht="22.5" customHeight="1">
      <c r="A1586" s="71">
        <v>767.0</v>
      </c>
      <c r="B1586" s="72" t="s">
        <v>2695</v>
      </c>
      <c r="C1586" s="73"/>
      <c r="D1586" s="71">
        <v>9.861371457E9</v>
      </c>
      <c r="E1586" s="72" t="s">
        <v>11</v>
      </c>
      <c r="F1586" s="73"/>
      <c r="G1586" s="74" t="s">
        <v>1931</v>
      </c>
      <c r="H1586" s="75" t="s">
        <v>1932</v>
      </c>
      <c r="I1586" s="85" t="s">
        <v>1967</v>
      </c>
      <c r="J1586" s="77"/>
      <c r="K1586" s="78" t="s">
        <v>1933</v>
      </c>
      <c r="L1586" s="79"/>
    </row>
    <row r="1587" ht="22.5" customHeight="1">
      <c r="A1587" s="80">
        <v>768.0</v>
      </c>
      <c r="B1587" s="81" t="s">
        <v>2696</v>
      </c>
      <c r="C1587" s="82"/>
      <c r="D1587" s="80">
        <v>9.938533751E9</v>
      </c>
      <c r="E1587" s="72" t="s">
        <v>11</v>
      </c>
      <c r="F1587" s="82"/>
      <c r="G1587" s="83" t="s">
        <v>1931</v>
      </c>
      <c r="H1587" s="75" t="s">
        <v>1932</v>
      </c>
      <c r="I1587" s="85" t="s">
        <v>1967</v>
      </c>
      <c r="J1587" s="84"/>
      <c r="K1587" s="78" t="s">
        <v>1933</v>
      </c>
      <c r="L1587" s="79"/>
    </row>
    <row r="1588" ht="22.5" customHeight="1">
      <c r="A1588" s="71">
        <v>769.0</v>
      </c>
      <c r="B1588" s="72" t="s">
        <v>2697</v>
      </c>
      <c r="C1588" s="73"/>
      <c r="D1588" s="71">
        <v>8.908966504E9</v>
      </c>
      <c r="E1588" s="72" t="s">
        <v>11</v>
      </c>
      <c r="F1588" s="73"/>
      <c r="G1588" s="74" t="s">
        <v>1931</v>
      </c>
      <c r="H1588" s="75" t="s">
        <v>1932</v>
      </c>
      <c r="I1588" s="85" t="s">
        <v>1967</v>
      </c>
      <c r="J1588" s="77"/>
      <c r="K1588" s="78" t="s">
        <v>1933</v>
      </c>
      <c r="L1588" s="79"/>
    </row>
    <row r="1589" ht="22.5" customHeight="1">
      <c r="A1589" s="80">
        <v>770.0</v>
      </c>
      <c r="B1589" s="81" t="s">
        <v>2698</v>
      </c>
      <c r="C1589" s="82"/>
      <c r="D1589" s="80">
        <v>9.937768425E9</v>
      </c>
      <c r="E1589" s="72" t="s">
        <v>11</v>
      </c>
      <c r="F1589" s="82"/>
      <c r="G1589" s="83" t="s">
        <v>1931</v>
      </c>
      <c r="H1589" s="75" t="s">
        <v>1932</v>
      </c>
      <c r="I1589" s="85" t="s">
        <v>1967</v>
      </c>
      <c r="J1589" s="84"/>
      <c r="K1589" s="78" t="s">
        <v>1933</v>
      </c>
      <c r="L1589" s="79"/>
    </row>
    <row r="1590" ht="22.5" customHeight="1">
      <c r="A1590" s="71">
        <v>771.0</v>
      </c>
      <c r="B1590" s="72" t="s">
        <v>2699</v>
      </c>
      <c r="C1590" s="73"/>
      <c r="D1590" s="71">
        <v>6.371656349E9</v>
      </c>
      <c r="E1590" s="72" t="s">
        <v>11</v>
      </c>
      <c r="F1590" s="73"/>
      <c r="G1590" s="74" t="s">
        <v>1931</v>
      </c>
      <c r="H1590" s="75" t="s">
        <v>1932</v>
      </c>
      <c r="I1590" s="85" t="s">
        <v>1967</v>
      </c>
      <c r="J1590" s="77"/>
      <c r="K1590" s="78" t="s">
        <v>1933</v>
      </c>
      <c r="L1590" s="79"/>
    </row>
    <row r="1591" ht="22.5" customHeight="1">
      <c r="A1591" s="80">
        <v>772.0</v>
      </c>
      <c r="B1591" s="81" t="s">
        <v>2700</v>
      </c>
      <c r="C1591" s="82"/>
      <c r="D1591" s="80">
        <v>7.008012213E9</v>
      </c>
      <c r="E1591" s="72" t="s">
        <v>11</v>
      </c>
      <c r="F1591" s="82"/>
      <c r="G1591" s="83" t="s">
        <v>1931</v>
      </c>
      <c r="H1591" s="75" t="s">
        <v>1932</v>
      </c>
      <c r="I1591" s="85" t="s">
        <v>1967</v>
      </c>
      <c r="J1591" s="84"/>
      <c r="K1591" s="78" t="s">
        <v>1933</v>
      </c>
      <c r="L1591" s="79"/>
    </row>
    <row r="1592" ht="22.5" customHeight="1">
      <c r="A1592" s="71">
        <v>773.0</v>
      </c>
      <c r="B1592" s="72" t="s">
        <v>2701</v>
      </c>
      <c r="C1592" s="73"/>
      <c r="D1592" s="71">
        <v>9.69212109E9</v>
      </c>
      <c r="E1592" s="72" t="s">
        <v>11</v>
      </c>
      <c r="F1592" s="73"/>
      <c r="G1592" s="74" t="s">
        <v>1931</v>
      </c>
      <c r="H1592" s="75" t="s">
        <v>1932</v>
      </c>
      <c r="I1592" s="85" t="s">
        <v>1967</v>
      </c>
      <c r="J1592" s="77"/>
      <c r="K1592" s="78" t="s">
        <v>1933</v>
      </c>
      <c r="L1592" s="79"/>
    </row>
    <row r="1593" ht="22.5" customHeight="1">
      <c r="A1593" s="80">
        <v>774.0</v>
      </c>
      <c r="B1593" s="81" t="s">
        <v>2702</v>
      </c>
      <c r="C1593" s="82"/>
      <c r="D1593" s="80">
        <v>8.895047729E9</v>
      </c>
      <c r="E1593" s="72" t="s">
        <v>11</v>
      </c>
      <c r="F1593" s="82"/>
      <c r="G1593" s="83" t="s">
        <v>1931</v>
      </c>
      <c r="H1593" s="75" t="s">
        <v>1932</v>
      </c>
      <c r="I1593" s="85" t="s">
        <v>1967</v>
      </c>
      <c r="J1593" s="84"/>
      <c r="K1593" s="78" t="s">
        <v>1933</v>
      </c>
      <c r="L1593" s="79"/>
    </row>
    <row r="1594" ht="22.5" customHeight="1">
      <c r="A1594" s="71">
        <v>775.0</v>
      </c>
      <c r="B1594" s="72" t="s">
        <v>2703</v>
      </c>
      <c r="C1594" s="73"/>
      <c r="D1594" s="71">
        <v>7.735606794E9</v>
      </c>
      <c r="E1594" s="72" t="s">
        <v>11</v>
      </c>
      <c r="F1594" s="73"/>
      <c r="G1594" s="74" t="s">
        <v>1931</v>
      </c>
      <c r="H1594" s="75" t="s">
        <v>1932</v>
      </c>
      <c r="I1594" s="85" t="s">
        <v>1967</v>
      </c>
      <c r="J1594" s="77"/>
      <c r="K1594" s="78" t="s">
        <v>1933</v>
      </c>
      <c r="L1594" s="79"/>
    </row>
    <row r="1595" ht="22.5" customHeight="1">
      <c r="A1595" s="80">
        <v>776.0</v>
      </c>
      <c r="B1595" s="81" t="s">
        <v>2704</v>
      </c>
      <c r="C1595" s="82"/>
      <c r="D1595" s="80">
        <v>7.846830672E9</v>
      </c>
      <c r="E1595" s="72" t="s">
        <v>11</v>
      </c>
      <c r="F1595" s="82"/>
      <c r="G1595" s="83" t="s">
        <v>1931</v>
      </c>
      <c r="H1595" s="75" t="s">
        <v>1932</v>
      </c>
      <c r="I1595" s="85" t="s">
        <v>1967</v>
      </c>
      <c r="J1595" s="84"/>
      <c r="K1595" s="78" t="s">
        <v>1933</v>
      </c>
      <c r="L1595" s="79"/>
    </row>
    <row r="1596" ht="22.5" customHeight="1">
      <c r="A1596" s="71">
        <v>777.0</v>
      </c>
      <c r="B1596" s="72" t="s">
        <v>2705</v>
      </c>
      <c r="C1596" s="73"/>
      <c r="D1596" s="71">
        <v>7.077311312E9</v>
      </c>
      <c r="E1596" s="72" t="s">
        <v>11</v>
      </c>
      <c r="F1596" s="73"/>
      <c r="G1596" s="74" t="s">
        <v>1931</v>
      </c>
      <c r="H1596" s="75" t="s">
        <v>1932</v>
      </c>
      <c r="I1596" s="87" t="s">
        <v>2581</v>
      </c>
      <c r="J1596" s="77"/>
      <c r="K1596" s="78" t="s">
        <v>1933</v>
      </c>
      <c r="L1596" s="79"/>
    </row>
    <row r="1597" ht="22.5" customHeight="1">
      <c r="A1597" s="80">
        <v>778.0</v>
      </c>
      <c r="B1597" s="81" t="s">
        <v>2706</v>
      </c>
      <c r="C1597" s="82"/>
      <c r="D1597" s="80">
        <v>7.008570779E9</v>
      </c>
      <c r="E1597" s="72" t="s">
        <v>11</v>
      </c>
      <c r="F1597" s="82"/>
      <c r="G1597" s="83" t="s">
        <v>1931</v>
      </c>
      <c r="H1597" s="75" t="s">
        <v>1932</v>
      </c>
      <c r="I1597" s="85" t="s">
        <v>1967</v>
      </c>
      <c r="J1597" s="84"/>
      <c r="K1597" s="78" t="s">
        <v>1933</v>
      </c>
      <c r="L1597" s="79"/>
    </row>
    <row r="1598" ht="22.5" customHeight="1">
      <c r="A1598" s="71">
        <v>779.0</v>
      </c>
      <c r="B1598" s="72" t="s">
        <v>2707</v>
      </c>
      <c r="C1598" s="73"/>
      <c r="D1598" s="71">
        <v>7.97885767E9</v>
      </c>
      <c r="E1598" s="72" t="s">
        <v>11</v>
      </c>
      <c r="F1598" s="73"/>
      <c r="G1598" s="74" t="s">
        <v>1931</v>
      </c>
      <c r="H1598" s="75" t="s">
        <v>1932</v>
      </c>
      <c r="I1598" s="85" t="s">
        <v>1967</v>
      </c>
      <c r="J1598" s="77"/>
      <c r="K1598" s="78" t="s">
        <v>1933</v>
      </c>
      <c r="L1598" s="79"/>
    </row>
    <row r="1599" ht="22.5" customHeight="1">
      <c r="A1599" s="80">
        <v>780.0</v>
      </c>
      <c r="B1599" s="81" t="s">
        <v>2708</v>
      </c>
      <c r="C1599" s="82"/>
      <c r="D1599" s="80">
        <v>9.827067842E9</v>
      </c>
      <c r="E1599" s="72" t="s">
        <v>11</v>
      </c>
      <c r="F1599" s="82"/>
      <c r="G1599" s="83" t="s">
        <v>1931</v>
      </c>
      <c r="H1599" s="75" t="s">
        <v>1932</v>
      </c>
      <c r="I1599" s="85" t="s">
        <v>1967</v>
      </c>
      <c r="J1599" s="84"/>
      <c r="K1599" s="78" t="s">
        <v>1933</v>
      </c>
      <c r="L1599" s="79"/>
    </row>
    <row r="1600" ht="22.5" customHeight="1">
      <c r="A1600" s="71">
        <v>781.0</v>
      </c>
      <c r="B1600" s="72" t="s">
        <v>2709</v>
      </c>
      <c r="C1600" s="73"/>
      <c r="D1600" s="71">
        <v>7.853833304E9</v>
      </c>
      <c r="E1600" s="72" t="s">
        <v>11</v>
      </c>
      <c r="F1600" s="73"/>
      <c r="G1600" s="74" t="s">
        <v>1931</v>
      </c>
      <c r="H1600" s="75" t="s">
        <v>1932</v>
      </c>
      <c r="I1600" s="85" t="s">
        <v>1967</v>
      </c>
      <c r="J1600" s="77"/>
      <c r="K1600" s="78" t="s">
        <v>1933</v>
      </c>
      <c r="L1600" s="79"/>
    </row>
    <row r="1601" ht="22.5" customHeight="1">
      <c r="A1601" s="80">
        <v>782.0</v>
      </c>
      <c r="B1601" s="81" t="s">
        <v>2710</v>
      </c>
      <c r="C1601" s="82"/>
      <c r="D1601" s="80">
        <v>6.371475683E9</v>
      </c>
      <c r="E1601" s="72" t="s">
        <v>11</v>
      </c>
      <c r="F1601" s="82"/>
      <c r="G1601" s="83" t="s">
        <v>1931</v>
      </c>
      <c r="H1601" s="75" t="s">
        <v>1932</v>
      </c>
      <c r="I1601" s="87" t="s">
        <v>2581</v>
      </c>
      <c r="J1601" s="84"/>
      <c r="K1601" s="78" t="s">
        <v>1933</v>
      </c>
      <c r="L1601" s="79"/>
    </row>
    <row r="1602" ht="22.5" customHeight="1">
      <c r="A1602" s="71">
        <v>783.0</v>
      </c>
      <c r="B1602" s="72" t="s">
        <v>2711</v>
      </c>
      <c r="C1602" s="73"/>
      <c r="D1602" s="71">
        <v>7.008571755E9</v>
      </c>
      <c r="E1602" s="72" t="s">
        <v>11</v>
      </c>
      <c r="F1602" s="73"/>
      <c r="G1602" s="74" t="s">
        <v>1931</v>
      </c>
      <c r="H1602" s="75" t="s">
        <v>1932</v>
      </c>
      <c r="I1602" s="85" t="s">
        <v>1967</v>
      </c>
      <c r="J1602" s="77"/>
      <c r="K1602" s="78" t="s">
        <v>1933</v>
      </c>
      <c r="L1602" s="79"/>
    </row>
    <row r="1603" ht="22.5" customHeight="1">
      <c r="A1603" s="80">
        <v>784.0</v>
      </c>
      <c r="B1603" s="81" t="s">
        <v>2712</v>
      </c>
      <c r="C1603" s="82"/>
      <c r="D1603" s="80">
        <v>7.325994369E9</v>
      </c>
      <c r="E1603" s="72" t="s">
        <v>11</v>
      </c>
      <c r="F1603" s="82"/>
      <c r="G1603" s="83" t="s">
        <v>1931</v>
      </c>
      <c r="H1603" s="75" t="s">
        <v>1932</v>
      </c>
      <c r="I1603" s="85" t="s">
        <v>1967</v>
      </c>
      <c r="J1603" s="84"/>
      <c r="K1603" s="78" t="s">
        <v>1933</v>
      </c>
      <c r="L1603" s="79"/>
    </row>
    <row r="1604" ht="22.5" customHeight="1">
      <c r="A1604" s="71">
        <v>785.0</v>
      </c>
      <c r="B1604" s="72" t="s">
        <v>2713</v>
      </c>
      <c r="C1604" s="73"/>
      <c r="D1604" s="71">
        <v>9.93847654E9</v>
      </c>
      <c r="E1604" s="72" t="s">
        <v>11</v>
      </c>
      <c r="F1604" s="73"/>
      <c r="G1604" s="74" t="s">
        <v>1931</v>
      </c>
      <c r="H1604" s="75" t="s">
        <v>1932</v>
      </c>
      <c r="I1604" s="85" t="s">
        <v>1967</v>
      </c>
      <c r="J1604" s="77"/>
      <c r="K1604" s="78" t="s">
        <v>1933</v>
      </c>
      <c r="L1604" s="79"/>
    </row>
    <row r="1605" ht="22.5" customHeight="1">
      <c r="A1605" s="80">
        <v>786.0</v>
      </c>
      <c r="B1605" s="81" t="s">
        <v>2714</v>
      </c>
      <c r="C1605" s="82"/>
      <c r="D1605" s="80">
        <v>9.93861649E9</v>
      </c>
      <c r="E1605" s="72" t="s">
        <v>11</v>
      </c>
      <c r="F1605" s="82"/>
      <c r="G1605" s="83" t="s">
        <v>1931</v>
      </c>
      <c r="H1605" s="75" t="s">
        <v>1932</v>
      </c>
      <c r="I1605" s="85" t="s">
        <v>1967</v>
      </c>
      <c r="J1605" s="84"/>
      <c r="K1605" s="78" t="s">
        <v>1933</v>
      </c>
      <c r="L1605" s="79"/>
    </row>
    <row r="1606" ht="22.5" customHeight="1">
      <c r="A1606" s="71">
        <v>787.0</v>
      </c>
      <c r="B1606" s="72" t="s">
        <v>2715</v>
      </c>
      <c r="C1606" s="73"/>
      <c r="D1606" s="71">
        <v>7.84806266E9</v>
      </c>
      <c r="E1606" s="72" t="s">
        <v>11</v>
      </c>
      <c r="F1606" s="73"/>
      <c r="G1606" s="74" t="s">
        <v>1931</v>
      </c>
      <c r="H1606" s="75" t="s">
        <v>1932</v>
      </c>
      <c r="I1606" s="85" t="s">
        <v>1967</v>
      </c>
      <c r="J1606" s="77"/>
      <c r="K1606" s="78" t="s">
        <v>1933</v>
      </c>
      <c r="L1606" s="79"/>
    </row>
    <row r="1607" ht="22.5" customHeight="1">
      <c r="A1607" s="80">
        <v>788.0</v>
      </c>
      <c r="B1607" s="81" t="s">
        <v>2716</v>
      </c>
      <c r="C1607" s="82"/>
      <c r="D1607" s="80">
        <v>7.888317825E9</v>
      </c>
      <c r="E1607" s="72" t="s">
        <v>11</v>
      </c>
      <c r="F1607" s="82"/>
      <c r="G1607" s="83" t="s">
        <v>1931</v>
      </c>
      <c r="H1607" s="75" t="s">
        <v>1932</v>
      </c>
      <c r="I1607" s="87" t="s">
        <v>2581</v>
      </c>
      <c r="J1607" s="84"/>
      <c r="K1607" s="78" t="s">
        <v>1933</v>
      </c>
      <c r="L1607" s="79"/>
    </row>
    <row r="1608" ht="22.5" customHeight="1">
      <c r="A1608" s="71">
        <v>789.0</v>
      </c>
      <c r="B1608" s="72" t="s">
        <v>2717</v>
      </c>
      <c r="C1608" s="73"/>
      <c r="D1608" s="71">
        <v>9.337155585E9</v>
      </c>
      <c r="E1608" s="72" t="s">
        <v>11</v>
      </c>
      <c r="F1608" s="73"/>
      <c r="G1608" s="74" t="s">
        <v>1931</v>
      </c>
      <c r="H1608" s="75" t="s">
        <v>1932</v>
      </c>
      <c r="I1608" s="87" t="s">
        <v>2581</v>
      </c>
      <c r="J1608" s="77"/>
      <c r="K1608" s="78" t="s">
        <v>1933</v>
      </c>
      <c r="L1608" s="79"/>
    </row>
    <row r="1609" ht="22.5" customHeight="1">
      <c r="A1609" s="80">
        <v>790.0</v>
      </c>
      <c r="B1609" s="81" t="s">
        <v>2718</v>
      </c>
      <c r="C1609" s="82"/>
      <c r="D1609" s="80">
        <v>9.861467995E9</v>
      </c>
      <c r="E1609" s="72" t="s">
        <v>11</v>
      </c>
      <c r="F1609" s="82"/>
      <c r="G1609" s="83" t="s">
        <v>1931</v>
      </c>
      <c r="H1609" s="75" t="s">
        <v>1932</v>
      </c>
      <c r="I1609" s="87" t="s">
        <v>2581</v>
      </c>
      <c r="J1609" s="84"/>
      <c r="K1609" s="78" t="s">
        <v>1933</v>
      </c>
      <c r="L1609" s="79"/>
    </row>
    <row r="1610" ht="22.5" customHeight="1">
      <c r="A1610" s="71">
        <v>791.0</v>
      </c>
      <c r="B1610" s="72" t="s">
        <v>2719</v>
      </c>
      <c r="C1610" s="73"/>
      <c r="D1610" s="71">
        <v>7.735580905E9</v>
      </c>
      <c r="E1610" s="72" t="s">
        <v>11</v>
      </c>
      <c r="F1610" s="73"/>
      <c r="G1610" s="74" t="s">
        <v>1931</v>
      </c>
      <c r="H1610" s="75" t="s">
        <v>1932</v>
      </c>
      <c r="I1610" s="87" t="s">
        <v>2581</v>
      </c>
      <c r="J1610" s="77"/>
      <c r="K1610" s="78" t="s">
        <v>1933</v>
      </c>
      <c r="L1610" s="79"/>
    </row>
    <row r="1611" ht="22.5" customHeight="1">
      <c r="A1611" s="80">
        <v>792.0</v>
      </c>
      <c r="B1611" s="81" t="s">
        <v>2720</v>
      </c>
      <c r="C1611" s="82"/>
      <c r="D1611" s="80">
        <v>9.778870193E9</v>
      </c>
      <c r="E1611" s="72" t="s">
        <v>11</v>
      </c>
      <c r="F1611" s="82"/>
      <c r="G1611" s="83" t="s">
        <v>1931</v>
      </c>
      <c r="H1611" s="75" t="s">
        <v>1932</v>
      </c>
      <c r="I1611" s="85" t="s">
        <v>1967</v>
      </c>
      <c r="J1611" s="84"/>
      <c r="K1611" s="78" t="s">
        <v>1933</v>
      </c>
      <c r="L1611" s="79"/>
    </row>
    <row r="1612" ht="22.5" customHeight="1">
      <c r="A1612" s="71">
        <v>793.0</v>
      </c>
      <c r="B1612" s="72" t="s">
        <v>2721</v>
      </c>
      <c r="C1612" s="73"/>
      <c r="D1612" s="71">
        <v>9.437467921E9</v>
      </c>
      <c r="E1612" s="72" t="s">
        <v>11</v>
      </c>
      <c r="F1612" s="73"/>
      <c r="G1612" s="74" t="s">
        <v>1931</v>
      </c>
      <c r="H1612" s="75" t="s">
        <v>1932</v>
      </c>
      <c r="I1612" s="87" t="s">
        <v>2581</v>
      </c>
      <c r="J1612" s="77"/>
      <c r="K1612" s="78" t="s">
        <v>1933</v>
      </c>
      <c r="L1612" s="79"/>
    </row>
    <row r="1613" ht="22.5" customHeight="1">
      <c r="A1613" s="80">
        <v>794.0</v>
      </c>
      <c r="B1613" s="81" t="s">
        <v>2722</v>
      </c>
      <c r="C1613" s="82"/>
      <c r="D1613" s="80">
        <v>7.327084815E9</v>
      </c>
      <c r="E1613" s="72" t="s">
        <v>11</v>
      </c>
      <c r="F1613" s="82"/>
      <c r="G1613" s="83" t="s">
        <v>1931</v>
      </c>
      <c r="H1613" s="75" t="s">
        <v>1932</v>
      </c>
      <c r="I1613" s="87" t="s">
        <v>2581</v>
      </c>
      <c r="J1613" s="84"/>
      <c r="K1613" s="78" t="s">
        <v>1933</v>
      </c>
      <c r="L1613" s="79"/>
    </row>
    <row r="1614" ht="22.5" customHeight="1">
      <c r="A1614" s="71">
        <v>795.0</v>
      </c>
      <c r="B1614" s="72" t="s">
        <v>2723</v>
      </c>
      <c r="C1614" s="73"/>
      <c r="D1614" s="71">
        <v>7.847916152E9</v>
      </c>
      <c r="E1614" s="72" t="s">
        <v>11</v>
      </c>
      <c r="F1614" s="73"/>
      <c r="G1614" s="74" t="s">
        <v>1931</v>
      </c>
      <c r="H1614" s="75" t="s">
        <v>1932</v>
      </c>
      <c r="I1614" s="87" t="s">
        <v>2581</v>
      </c>
      <c r="J1614" s="77"/>
      <c r="K1614" s="78" t="s">
        <v>1933</v>
      </c>
      <c r="L1614" s="79"/>
    </row>
    <row r="1615" ht="22.5" customHeight="1">
      <c r="A1615" s="80">
        <v>796.0</v>
      </c>
      <c r="B1615" s="81" t="s">
        <v>1964</v>
      </c>
      <c r="C1615" s="82"/>
      <c r="D1615" s="80">
        <v>7.606074027E9</v>
      </c>
      <c r="E1615" s="72" t="s">
        <v>11</v>
      </c>
      <c r="F1615" s="82"/>
      <c r="G1615" s="83" t="s">
        <v>1931</v>
      </c>
      <c r="H1615" s="75" t="s">
        <v>1932</v>
      </c>
      <c r="I1615" s="87" t="s">
        <v>2581</v>
      </c>
      <c r="J1615" s="84"/>
      <c r="K1615" s="78" t="s">
        <v>1933</v>
      </c>
      <c r="L1615" s="79"/>
    </row>
    <row r="1616" ht="22.5" customHeight="1">
      <c r="A1616" s="71">
        <v>797.0</v>
      </c>
      <c r="B1616" s="72" t="s">
        <v>2724</v>
      </c>
      <c r="C1616" s="73"/>
      <c r="D1616" s="71">
        <v>9.938880575E9</v>
      </c>
      <c r="E1616" s="72" t="s">
        <v>11</v>
      </c>
      <c r="F1616" s="73"/>
      <c r="G1616" s="74" t="s">
        <v>1931</v>
      </c>
      <c r="H1616" s="75" t="s">
        <v>1932</v>
      </c>
      <c r="I1616" s="76" t="s">
        <v>1729</v>
      </c>
      <c r="J1616" s="77"/>
      <c r="K1616" s="78" t="s">
        <v>1933</v>
      </c>
      <c r="L1616" s="79"/>
    </row>
    <row r="1617" ht="22.5" customHeight="1">
      <c r="A1617" s="80">
        <v>798.0</v>
      </c>
      <c r="B1617" s="81" t="s">
        <v>2725</v>
      </c>
      <c r="C1617" s="82"/>
      <c r="D1617" s="80">
        <v>6.370692272E9</v>
      </c>
      <c r="E1617" s="72" t="s">
        <v>11</v>
      </c>
      <c r="F1617" s="82"/>
      <c r="G1617" s="83" t="s">
        <v>1931</v>
      </c>
      <c r="H1617" s="75" t="s">
        <v>1932</v>
      </c>
      <c r="I1617" s="87" t="s">
        <v>2581</v>
      </c>
      <c r="J1617" s="84"/>
      <c r="K1617" s="78" t="s">
        <v>1933</v>
      </c>
      <c r="L1617" s="79"/>
    </row>
    <row r="1618" ht="22.5" customHeight="1">
      <c r="A1618" s="71">
        <v>799.0</v>
      </c>
      <c r="B1618" s="72" t="s">
        <v>2726</v>
      </c>
      <c r="C1618" s="73"/>
      <c r="D1618" s="71">
        <v>8.144335954E9</v>
      </c>
      <c r="E1618" s="72" t="s">
        <v>11</v>
      </c>
      <c r="F1618" s="73"/>
      <c r="G1618" s="74" t="s">
        <v>1931</v>
      </c>
      <c r="H1618" s="75" t="s">
        <v>1932</v>
      </c>
      <c r="I1618" s="76" t="s">
        <v>1729</v>
      </c>
      <c r="J1618" s="77"/>
      <c r="K1618" s="78" t="s">
        <v>1933</v>
      </c>
      <c r="L1618" s="79"/>
    </row>
    <row r="1619" ht="22.5" customHeight="1">
      <c r="A1619" s="80">
        <v>800.0</v>
      </c>
      <c r="B1619" s="81" t="s">
        <v>2727</v>
      </c>
      <c r="C1619" s="82"/>
      <c r="D1619" s="80">
        <v>6.370144809E9</v>
      </c>
      <c r="E1619" s="72" t="s">
        <v>11</v>
      </c>
      <c r="F1619" s="82"/>
      <c r="G1619" s="83" t="s">
        <v>1931</v>
      </c>
      <c r="H1619" s="75" t="s">
        <v>1932</v>
      </c>
      <c r="I1619" s="76" t="s">
        <v>1729</v>
      </c>
      <c r="J1619" s="84"/>
      <c r="K1619" s="78" t="s">
        <v>1933</v>
      </c>
      <c r="L1619" s="79"/>
    </row>
    <row r="1620" ht="22.5" customHeight="1">
      <c r="A1620" s="71">
        <v>801.0</v>
      </c>
      <c r="B1620" s="72" t="s">
        <v>2728</v>
      </c>
      <c r="C1620" s="73"/>
      <c r="D1620" s="71">
        <v>7.0085863E9</v>
      </c>
      <c r="E1620" s="72" t="s">
        <v>11</v>
      </c>
      <c r="F1620" s="73"/>
      <c r="G1620" s="74" t="s">
        <v>1931</v>
      </c>
      <c r="H1620" s="75" t="s">
        <v>1932</v>
      </c>
      <c r="I1620" s="87" t="s">
        <v>2581</v>
      </c>
      <c r="J1620" s="77"/>
      <c r="K1620" s="78" t="s">
        <v>1933</v>
      </c>
      <c r="L1620" s="79"/>
    </row>
    <row r="1621" ht="22.5" customHeight="1">
      <c r="A1621" s="80">
        <v>802.0</v>
      </c>
      <c r="B1621" s="81" t="s">
        <v>2729</v>
      </c>
      <c r="C1621" s="82"/>
      <c r="D1621" s="80">
        <v>8.658084029E9</v>
      </c>
      <c r="E1621" s="72" t="s">
        <v>11</v>
      </c>
      <c r="F1621" s="82"/>
      <c r="G1621" s="83" t="s">
        <v>1931</v>
      </c>
      <c r="H1621" s="75" t="s">
        <v>1932</v>
      </c>
      <c r="I1621" s="87" t="s">
        <v>2581</v>
      </c>
      <c r="J1621" s="84"/>
      <c r="K1621" s="78" t="s">
        <v>1933</v>
      </c>
      <c r="L1621" s="79"/>
    </row>
    <row r="1622" ht="22.5" customHeight="1">
      <c r="A1622" s="71">
        <v>803.0</v>
      </c>
      <c r="B1622" s="72" t="s">
        <v>2730</v>
      </c>
      <c r="C1622" s="73"/>
      <c r="D1622" s="71">
        <v>9.583901755E9</v>
      </c>
      <c r="E1622" s="72" t="s">
        <v>11</v>
      </c>
      <c r="F1622" s="73"/>
      <c r="G1622" s="74" t="s">
        <v>1931</v>
      </c>
      <c r="H1622" s="75" t="s">
        <v>1932</v>
      </c>
      <c r="I1622" s="76" t="s">
        <v>1729</v>
      </c>
      <c r="J1622" s="77"/>
      <c r="K1622" s="78" t="s">
        <v>1933</v>
      </c>
      <c r="L1622" s="79"/>
    </row>
    <row r="1623" ht="22.5" customHeight="1">
      <c r="A1623" s="80">
        <v>804.0</v>
      </c>
      <c r="B1623" s="81" t="s">
        <v>2731</v>
      </c>
      <c r="C1623" s="82"/>
      <c r="D1623" s="80">
        <v>8.249406321E9</v>
      </c>
      <c r="E1623" s="72" t="s">
        <v>11</v>
      </c>
      <c r="F1623" s="82"/>
      <c r="G1623" s="83" t="s">
        <v>1931</v>
      </c>
      <c r="H1623" s="75" t="s">
        <v>1932</v>
      </c>
      <c r="I1623" s="85" t="s">
        <v>1967</v>
      </c>
      <c r="J1623" s="84"/>
      <c r="K1623" s="78" t="s">
        <v>1933</v>
      </c>
      <c r="L1623" s="79"/>
    </row>
    <row r="1624" ht="22.5" customHeight="1">
      <c r="A1624" s="71">
        <v>805.0</v>
      </c>
      <c r="B1624" s="72" t="s">
        <v>2732</v>
      </c>
      <c r="C1624" s="73"/>
      <c r="D1624" s="71">
        <v>8.072174952E9</v>
      </c>
      <c r="E1624" s="72" t="s">
        <v>11</v>
      </c>
      <c r="F1624" s="73"/>
      <c r="G1624" s="74" t="s">
        <v>1931</v>
      </c>
      <c r="H1624" s="75" t="s">
        <v>1932</v>
      </c>
      <c r="I1624" s="85" t="s">
        <v>1967</v>
      </c>
      <c r="J1624" s="77"/>
      <c r="K1624" s="78" t="s">
        <v>1933</v>
      </c>
      <c r="L1624" s="79"/>
    </row>
    <row r="1625" ht="22.5" customHeight="1">
      <c r="A1625" s="80">
        <v>806.0</v>
      </c>
      <c r="B1625" s="81" t="s">
        <v>2733</v>
      </c>
      <c r="C1625" s="82"/>
      <c r="D1625" s="80">
        <v>9.43919751E9</v>
      </c>
      <c r="E1625" s="72" t="s">
        <v>11</v>
      </c>
      <c r="F1625" s="82"/>
      <c r="G1625" s="83" t="s">
        <v>1931</v>
      </c>
      <c r="H1625" s="75" t="s">
        <v>1932</v>
      </c>
      <c r="I1625" s="85" t="s">
        <v>1967</v>
      </c>
      <c r="J1625" s="84"/>
      <c r="K1625" s="78" t="s">
        <v>1933</v>
      </c>
      <c r="L1625" s="79"/>
    </row>
    <row r="1626" ht="22.5" customHeight="1">
      <c r="A1626" s="71">
        <v>807.0</v>
      </c>
      <c r="B1626" s="72" t="s">
        <v>2734</v>
      </c>
      <c r="C1626" s="73"/>
      <c r="D1626" s="71">
        <v>9.938197025E9</v>
      </c>
      <c r="E1626" s="72" t="s">
        <v>11</v>
      </c>
      <c r="F1626" s="73"/>
      <c r="G1626" s="74" t="s">
        <v>1931</v>
      </c>
      <c r="H1626" s="75" t="s">
        <v>1932</v>
      </c>
      <c r="I1626" s="85" t="s">
        <v>1967</v>
      </c>
      <c r="J1626" s="77"/>
      <c r="K1626" s="78" t="s">
        <v>1933</v>
      </c>
      <c r="L1626" s="79"/>
    </row>
    <row r="1627" ht="22.5" customHeight="1">
      <c r="A1627" s="80">
        <v>808.0</v>
      </c>
      <c r="B1627" s="81" t="s">
        <v>2735</v>
      </c>
      <c r="C1627" s="82"/>
      <c r="D1627" s="80">
        <v>7.684871694E9</v>
      </c>
      <c r="E1627" s="72" t="s">
        <v>11</v>
      </c>
      <c r="F1627" s="82"/>
      <c r="G1627" s="83" t="s">
        <v>1931</v>
      </c>
      <c r="H1627" s="75" t="s">
        <v>1932</v>
      </c>
      <c r="I1627" s="85" t="s">
        <v>1967</v>
      </c>
      <c r="J1627" s="84"/>
      <c r="K1627" s="78" t="s">
        <v>1933</v>
      </c>
      <c r="L1627" s="79"/>
    </row>
    <row r="1628" ht="22.5" customHeight="1">
      <c r="A1628" s="71">
        <v>809.0</v>
      </c>
      <c r="B1628" s="72" t="s">
        <v>2736</v>
      </c>
      <c r="C1628" s="73"/>
      <c r="D1628" s="71">
        <v>7.008123687E9</v>
      </c>
      <c r="E1628" s="72" t="s">
        <v>11</v>
      </c>
      <c r="F1628" s="73"/>
      <c r="G1628" s="74" t="s">
        <v>1931</v>
      </c>
      <c r="H1628" s="75" t="s">
        <v>1932</v>
      </c>
      <c r="I1628" s="85" t="s">
        <v>1967</v>
      </c>
      <c r="J1628" s="77"/>
      <c r="K1628" s="78" t="s">
        <v>1933</v>
      </c>
      <c r="L1628" s="79"/>
    </row>
    <row r="1629" ht="22.5" customHeight="1">
      <c r="A1629" s="80">
        <v>810.0</v>
      </c>
      <c r="B1629" s="81" t="s">
        <v>2737</v>
      </c>
      <c r="C1629" s="82"/>
      <c r="D1629" s="80">
        <v>8.895826665E9</v>
      </c>
      <c r="E1629" s="72" t="s">
        <v>11</v>
      </c>
      <c r="F1629" s="82"/>
      <c r="G1629" s="83" t="s">
        <v>1931</v>
      </c>
      <c r="H1629" s="75" t="s">
        <v>1932</v>
      </c>
      <c r="I1629" s="85" t="s">
        <v>1967</v>
      </c>
      <c r="J1629" s="84"/>
      <c r="K1629" s="78" t="s">
        <v>1933</v>
      </c>
      <c r="L1629" s="79"/>
    </row>
    <row r="1630" ht="22.5" customHeight="1">
      <c r="A1630" s="71">
        <v>811.0</v>
      </c>
      <c r="B1630" s="72" t="s">
        <v>2738</v>
      </c>
      <c r="C1630" s="73"/>
      <c r="D1630" s="71">
        <v>9.337823583E9</v>
      </c>
      <c r="E1630" s="72" t="s">
        <v>11</v>
      </c>
      <c r="F1630" s="73"/>
      <c r="G1630" s="74" t="s">
        <v>1931</v>
      </c>
      <c r="H1630" s="75" t="s">
        <v>1932</v>
      </c>
      <c r="I1630" s="85" t="s">
        <v>1967</v>
      </c>
      <c r="J1630" s="77"/>
      <c r="K1630" s="78" t="s">
        <v>1933</v>
      </c>
      <c r="L1630" s="79"/>
    </row>
    <row r="1631" ht="22.5" customHeight="1">
      <c r="A1631" s="80">
        <v>812.0</v>
      </c>
      <c r="B1631" s="81" t="s">
        <v>2739</v>
      </c>
      <c r="C1631" s="82"/>
      <c r="D1631" s="80">
        <v>6.372982502E9</v>
      </c>
      <c r="E1631" s="72" t="s">
        <v>11</v>
      </c>
      <c r="F1631" s="82"/>
      <c r="G1631" s="83" t="s">
        <v>1931</v>
      </c>
      <c r="H1631" s="75" t="s">
        <v>1932</v>
      </c>
      <c r="I1631" s="85" t="s">
        <v>1967</v>
      </c>
      <c r="J1631" s="84"/>
      <c r="K1631" s="78" t="s">
        <v>1933</v>
      </c>
      <c r="L1631" s="79"/>
    </row>
    <row r="1632" ht="22.5" customHeight="1">
      <c r="A1632" s="71">
        <v>813.0</v>
      </c>
      <c r="B1632" s="72" t="s">
        <v>2740</v>
      </c>
      <c r="C1632" s="73"/>
      <c r="D1632" s="71">
        <v>9.040834033E9</v>
      </c>
      <c r="E1632" s="72" t="s">
        <v>11</v>
      </c>
      <c r="F1632" s="73"/>
      <c r="G1632" s="74" t="s">
        <v>1931</v>
      </c>
      <c r="H1632" s="75" t="s">
        <v>1932</v>
      </c>
      <c r="I1632" s="85" t="s">
        <v>1967</v>
      </c>
      <c r="J1632" s="77"/>
      <c r="K1632" s="78" t="s">
        <v>1933</v>
      </c>
      <c r="L1632" s="79"/>
    </row>
    <row r="1633" ht="22.5" customHeight="1">
      <c r="A1633" s="80">
        <v>814.0</v>
      </c>
      <c r="B1633" s="81" t="s">
        <v>2741</v>
      </c>
      <c r="C1633" s="82"/>
      <c r="D1633" s="80">
        <v>9.078893808E9</v>
      </c>
      <c r="E1633" s="72" t="s">
        <v>11</v>
      </c>
      <c r="F1633" s="82"/>
      <c r="G1633" s="83" t="s">
        <v>1931</v>
      </c>
      <c r="H1633" s="75" t="s">
        <v>1932</v>
      </c>
      <c r="I1633" s="85" t="s">
        <v>1967</v>
      </c>
      <c r="J1633" s="84"/>
      <c r="K1633" s="78" t="s">
        <v>1933</v>
      </c>
      <c r="L1633" s="79"/>
    </row>
    <row r="1634" ht="22.5" customHeight="1">
      <c r="A1634" s="71">
        <v>815.0</v>
      </c>
      <c r="B1634" s="72" t="s">
        <v>2742</v>
      </c>
      <c r="C1634" s="73"/>
      <c r="D1634" s="71">
        <v>9.861064757E9</v>
      </c>
      <c r="E1634" s="72" t="s">
        <v>11</v>
      </c>
      <c r="F1634" s="73"/>
      <c r="G1634" s="74" t="s">
        <v>1931</v>
      </c>
      <c r="H1634" s="75" t="s">
        <v>1932</v>
      </c>
      <c r="I1634" s="85" t="s">
        <v>1967</v>
      </c>
      <c r="J1634" s="77"/>
      <c r="K1634" s="78" t="s">
        <v>1933</v>
      </c>
      <c r="L1634" s="79"/>
    </row>
    <row r="1635" ht="22.5" customHeight="1">
      <c r="A1635" s="80">
        <v>816.0</v>
      </c>
      <c r="B1635" s="81" t="s">
        <v>2743</v>
      </c>
      <c r="C1635" s="82"/>
      <c r="D1635" s="80">
        <v>7.855008683E9</v>
      </c>
      <c r="E1635" s="72" t="s">
        <v>11</v>
      </c>
      <c r="F1635" s="82"/>
      <c r="G1635" s="83" t="s">
        <v>1931</v>
      </c>
      <c r="H1635" s="75" t="s">
        <v>1932</v>
      </c>
      <c r="I1635" s="85" t="s">
        <v>1967</v>
      </c>
      <c r="J1635" s="84"/>
      <c r="K1635" s="78" t="s">
        <v>1933</v>
      </c>
      <c r="L1635" s="79"/>
    </row>
    <row r="1636" ht="22.5" customHeight="1">
      <c r="A1636" s="71">
        <v>817.0</v>
      </c>
      <c r="B1636" s="72" t="s">
        <v>2744</v>
      </c>
      <c r="C1636" s="73"/>
      <c r="D1636" s="71">
        <v>8.260724475E9</v>
      </c>
      <c r="E1636" s="72" t="s">
        <v>11</v>
      </c>
      <c r="F1636" s="73"/>
      <c r="G1636" s="74" t="s">
        <v>1931</v>
      </c>
      <c r="H1636" s="75" t="s">
        <v>1932</v>
      </c>
      <c r="I1636" s="85" t="s">
        <v>1967</v>
      </c>
      <c r="J1636" s="77"/>
      <c r="K1636" s="78" t="s">
        <v>1933</v>
      </c>
      <c r="L1636" s="79"/>
    </row>
    <row r="1637" ht="22.5" customHeight="1">
      <c r="A1637" s="80">
        <v>818.0</v>
      </c>
      <c r="B1637" s="81" t="s">
        <v>2745</v>
      </c>
      <c r="C1637" s="82"/>
      <c r="D1637" s="80">
        <v>8.917458168E9</v>
      </c>
      <c r="E1637" s="72" t="s">
        <v>11</v>
      </c>
      <c r="F1637" s="82"/>
      <c r="G1637" s="83" t="s">
        <v>1931</v>
      </c>
      <c r="H1637" s="75" t="s">
        <v>1932</v>
      </c>
      <c r="I1637" s="85" t="s">
        <v>1967</v>
      </c>
      <c r="J1637" s="84"/>
      <c r="K1637" s="78" t="s">
        <v>1933</v>
      </c>
      <c r="L1637" s="79"/>
    </row>
    <row r="1638" ht="22.5" customHeight="1">
      <c r="A1638" s="71">
        <v>819.0</v>
      </c>
      <c r="B1638" s="72" t="s">
        <v>2746</v>
      </c>
      <c r="C1638" s="73"/>
      <c r="D1638" s="71">
        <v>6.37165331E9</v>
      </c>
      <c r="E1638" s="72" t="s">
        <v>11</v>
      </c>
      <c r="F1638" s="73"/>
      <c r="G1638" s="74" t="s">
        <v>1931</v>
      </c>
      <c r="H1638" s="75" t="s">
        <v>1932</v>
      </c>
      <c r="I1638" s="85" t="s">
        <v>1967</v>
      </c>
      <c r="J1638" s="77"/>
      <c r="K1638" s="78" t="s">
        <v>1933</v>
      </c>
      <c r="L1638" s="79"/>
    </row>
    <row r="1639" ht="22.5" customHeight="1">
      <c r="A1639" s="80">
        <v>820.0</v>
      </c>
      <c r="B1639" s="81" t="s">
        <v>2747</v>
      </c>
      <c r="C1639" s="82"/>
      <c r="D1639" s="80">
        <v>7.079382254E9</v>
      </c>
      <c r="E1639" s="72" t="s">
        <v>11</v>
      </c>
      <c r="F1639" s="82"/>
      <c r="G1639" s="83" t="s">
        <v>1931</v>
      </c>
      <c r="H1639" s="75" t="s">
        <v>1932</v>
      </c>
      <c r="I1639" s="85" t="s">
        <v>1967</v>
      </c>
      <c r="J1639" s="84"/>
      <c r="K1639" s="78" t="s">
        <v>1933</v>
      </c>
      <c r="L1639" s="79"/>
    </row>
    <row r="1640" ht="22.5" customHeight="1">
      <c r="A1640" s="71">
        <v>821.0</v>
      </c>
      <c r="B1640" s="72" t="s">
        <v>2748</v>
      </c>
      <c r="C1640" s="73"/>
      <c r="D1640" s="71">
        <v>9.348203022E9</v>
      </c>
      <c r="E1640" s="72" t="s">
        <v>11</v>
      </c>
      <c r="F1640" s="73"/>
      <c r="G1640" s="74" t="s">
        <v>1931</v>
      </c>
      <c r="H1640" s="75" t="s">
        <v>1932</v>
      </c>
      <c r="I1640" s="85" t="s">
        <v>1967</v>
      </c>
      <c r="J1640" s="77"/>
      <c r="K1640" s="78" t="s">
        <v>1933</v>
      </c>
      <c r="L1640" s="79"/>
    </row>
    <row r="1641" ht="22.5" customHeight="1">
      <c r="A1641" s="80">
        <v>822.0</v>
      </c>
      <c r="B1641" s="81" t="s">
        <v>2749</v>
      </c>
      <c r="C1641" s="82"/>
      <c r="D1641" s="80">
        <v>8.260586131E9</v>
      </c>
      <c r="E1641" s="72" t="s">
        <v>11</v>
      </c>
      <c r="F1641" s="82"/>
      <c r="G1641" s="83" t="s">
        <v>1931</v>
      </c>
      <c r="H1641" s="75" t="s">
        <v>1932</v>
      </c>
      <c r="I1641" s="85" t="s">
        <v>1967</v>
      </c>
      <c r="J1641" s="84"/>
      <c r="K1641" s="78" t="s">
        <v>1933</v>
      </c>
      <c r="L1641" s="79"/>
    </row>
    <row r="1642" ht="22.5" customHeight="1">
      <c r="A1642" s="71">
        <v>823.0</v>
      </c>
      <c r="B1642" s="72" t="s">
        <v>2750</v>
      </c>
      <c r="C1642" s="73"/>
      <c r="D1642" s="71">
        <v>8.144428801E9</v>
      </c>
      <c r="E1642" s="72" t="s">
        <v>11</v>
      </c>
      <c r="F1642" s="73"/>
      <c r="G1642" s="74" t="s">
        <v>1931</v>
      </c>
      <c r="H1642" s="75" t="s">
        <v>1932</v>
      </c>
      <c r="I1642" s="85" t="s">
        <v>1967</v>
      </c>
      <c r="J1642" s="77"/>
      <c r="K1642" s="78" t="s">
        <v>1933</v>
      </c>
      <c r="L1642" s="79"/>
    </row>
    <row r="1643" ht="22.5" customHeight="1">
      <c r="A1643" s="80">
        <v>824.0</v>
      </c>
      <c r="B1643" s="81" t="s">
        <v>2751</v>
      </c>
      <c r="C1643" s="82"/>
      <c r="D1643" s="80">
        <v>9.437206793E9</v>
      </c>
      <c r="E1643" s="72" t="s">
        <v>11</v>
      </c>
      <c r="F1643" s="82"/>
      <c r="G1643" s="83" t="s">
        <v>1931</v>
      </c>
      <c r="H1643" s="75" t="s">
        <v>1932</v>
      </c>
      <c r="I1643" s="85" t="s">
        <v>1967</v>
      </c>
      <c r="J1643" s="84"/>
      <c r="K1643" s="78" t="s">
        <v>1933</v>
      </c>
      <c r="L1643" s="79"/>
    </row>
    <row r="1644" ht="22.5" customHeight="1">
      <c r="A1644" s="71">
        <v>825.0</v>
      </c>
      <c r="B1644" s="72" t="s">
        <v>2752</v>
      </c>
      <c r="C1644" s="73"/>
      <c r="D1644" s="71">
        <v>8.917613454E9</v>
      </c>
      <c r="E1644" s="72" t="s">
        <v>11</v>
      </c>
      <c r="F1644" s="73"/>
      <c r="G1644" s="74" t="s">
        <v>1931</v>
      </c>
      <c r="H1644" s="75" t="s">
        <v>1932</v>
      </c>
      <c r="I1644" s="85" t="s">
        <v>1967</v>
      </c>
      <c r="J1644" s="77"/>
      <c r="K1644" s="78" t="s">
        <v>1933</v>
      </c>
      <c r="L1644" s="79"/>
    </row>
    <row r="1645" ht="22.5" customHeight="1">
      <c r="A1645" s="80">
        <v>826.0</v>
      </c>
      <c r="B1645" s="81" t="s">
        <v>2753</v>
      </c>
      <c r="C1645" s="82"/>
      <c r="D1645" s="80">
        <v>8.114353319E9</v>
      </c>
      <c r="E1645" s="72" t="s">
        <v>11</v>
      </c>
      <c r="F1645" s="82"/>
      <c r="G1645" s="83" t="s">
        <v>1931</v>
      </c>
      <c r="H1645" s="75" t="s">
        <v>1932</v>
      </c>
      <c r="I1645" s="85" t="s">
        <v>1967</v>
      </c>
      <c r="J1645" s="84"/>
      <c r="K1645" s="78" t="s">
        <v>1933</v>
      </c>
      <c r="L1645" s="79"/>
    </row>
    <row r="1646" ht="22.5" customHeight="1">
      <c r="A1646" s="71">
        <v>827.0</v>
      </c>
      <c r="B1646" s="72" t="s">
        <v>2754</v>
      </c>
      <c r="C1646" s="73"/>
      <c r="D1646" s="71">
        <v>9.776961297E9</v>
      </c>
      <c r="E1646" s="72" t="s">
        <v>11</v>
      </c>
      <c r="F1646" s="73"/>
      <c r="G1646" s="74" t="s">
        <v>1931</v>
      </c>
      <c r="H1646" s="75" t="s">
        <v>1932</v>
      </c>
      <c r="I1646" s="85" t="s">
        <v>1967</v>
      </c>
      <c r="J1646" s="77"/>
      <c r="K1646" s="78" t="s">
        <v>1933</v>
      </c>
      <c r="L1646" s="79"/>
    </row>
    <row r="1647" ht="22.5" customHeight="1">
      <c r="A1647" s="80">
        <v>828.0</v>
      </c>
      <c r="B1647" s="81" t="s">
        <v>2755</v>
      </c>
      <c r="C1647" s="82"/>
      <c r="D1647" s="80">
        <v>9.938749003E9</v>
      </c>
      <c r="E1647" s="72" t="s">
        <v>11</v>
      </c>
      <c r="F1647" s="82"/>
      <c r="G1647" s="83" t="s">
        <v>1931</v>
      </c>
      <c r="H1647" s="75" t="s">
        <v>1932</v>
      </c>
      <c r="I1647" s="85" t="s">
        <v>1967</v>
      </c>
      <c r="J1647" s="84"/>
      <c r="K1647" s="78" t="s">
        <v>1933</v>
      </c>
      <c r="L1647" s="79"/>
    </row>
    <row r="1648" ht="22.5" customHeight="1">
      <c r="A1648" s="71">
        <v>829.0</v>
      </c>
      <c r="B1648" s="72" t="s">
        <v>2756</v>
      </c>
      <c r="C1648" s="73"/>
      <c r="D1648" s="71">
        <v>9.937970949E9</v>
      </c>
      <c r="E1648" s="72" t="s">
        <v>11</v>
      </c>
      <c r="F1648" s="73"/>
      <c r="G1648" s="74" t="s">
        <v>1931</v>
      </c>
      <c r="H1648" s="75" t="s">
        <v>1932</v>
      </c>
      <c r="I1648" s="85" t="s">
        <v>1967</v>
      </c>
      <c r="J1648" s="77"/>
      <c r="K1648" s="78" t="s">
        <v>1933</v>
      </c>
      <c r="L1648" s="79"/>
    </row>
    <row r="1649" ht="22.5" customHeight="1">
      <c r="A1649" s="80">
        <v>830.0</v>
      </c>
      <c r="B1649" s="81" t="s">
        <v>2757</v>
      </c>
      <c r="C1649" s="82"/>
      <c r="D1649" s="80">
        <v>8.770196471E9</v>
      </c>
      <c r="E1649" s="72" t="s">
        <v>11</v>
      </c>
      <c r="F1649" s="82"/>
      <c r="G1649" s="83" t="s">
        <v>1931</v>
      </c>
      <c r="H1649" s="75" t="s">
        <v>1932</v>
      </c>
      <c r="I1649" s="85" t="s">
        <v>1967</v>
      </c>
      <c r="J1649" s="84"/>
      <c r="K1649" s="78" t="s">
        <v>1933</v>
      </c>
      <c r="L1649" s="79"/>
    </row>
    <row r="1650" ht="22.5" customHeight="1">
      <c r="A1650" s="71">
        <v>831.0</v>
      </c>
      <c r="B1650" s="72" t="s">
        <v>2758</v>
      </c>
      <c r="C1650" s="73"/>
      <c r="D1650" s="71">
        <v>6.371234259E9</v>
      </c>
      <c r="E1650" s="72" t="s">
        <v>11</v>
      </c>
      <c r="F1650" s="73"/>
      <c r="G1650" s="74" t="s">
        <v>1931</v>
      </c>
      <c r="H1650" s="75" t="s">
        <v>1932</v>
      </c>
      <c r="I1650" s="85" t="s">
        <v>1967</v>
      </c>
      <c r="J1650" s="77"/>
      <c r="K1650" s="78" t="s">
        <v>1933</v>
      </c>
      <c r="L1650" s="79"/>
    </row>
    <row r="1651" ht="22.5" customHeight="1">
      <c r="A1651" s="80">
        <v>832.0</v>
      </c>
      <c r="B1651" s="81" t="s">
        <v>2759</v>
      </c>
      <c r="C1651" s="82"/>
      <c r="D1651" s="80">
        <v>7.735894817E9</v>
      </c>
      <c r="E1651" s="72" t="s">
        <v>11</v>
      </c>
      <c r="F1651" s="82"/>
      <c r="G1651" s="83" t="s">
        <v>1931</v>
      </c>
      <c r="H1651" s="75" t="s">
        <v>1932</v>
      </c>
      <c r="I1651" s="85" t="s">
        <v>1967</v>
      </c>
      <c r="J1651" s="84"/>
      <c r="K1651" s="78" t="s">
        <v>1933</v>
      </c>
      <c r="L1651" s="79"/>
    </row>
    <row r="1652" ht="22.5" customHeight="1">
      <c r="A1652" s="71">
        <v>833.0</v>
      </c>
      <c r="B1652" s="72" t="s">
        <v>2760</v>
      </c>
      <c r="C1652" s="73"/>
      <c r="D1652" s="71">
        <v>9.437101047E9</v>
      </c>
      <c r="E1652" s="72" t="s">
        <v>11</v>
      </c>
      <c r="F1652" s="73"/>
      <c r="G1652" s="74" t="s">
        <v>1931</v>
      </c>
      <c r="H1652" s="75" t="s">
        <v>1932</v>
      </c>
      <c r="I1652" s="85" t="s">
        <v>1967</v>
      </c>
      <c r="J1652" s="77"/>
      <c r="K1652" s="78" t="s">
        <v>1933</v>
      </c>
      <c r="L1652" s="79"/>
    </row>
    <row r="1653" ht="22.5" customHeight="1">
      <c r="A1653" s="80">
        <v>834.0</v>
      </c>
      <c r="B1653" s="81" t="s">
        <v>2761</v>
      </c>
      <c r="C1653" s="82"/>
      <c r="D1653" s="80">
        <v>8.76343831E9</v>
      </c>
      <c r="E1653" s="72" t="s">
        <v>11</v>
      </c>
      <c r="F1653" s="82"/>
      <c r="G1653" s="83" t="s">
        <v>1931</v>
      </c>
      <c r="H1653" s="75" t="s">
        <v>1932</v>
      </c>
      <c r="I1653" s="85" t="s">
        <v>1967</v>
      </c>
      <c r="J1653" s="84"/>
      <c r="K1653" s="78" t="s">
        <v>1933</v>
      </c>
      <c r="L1653" s="79"/>
    </row>
    <row r="1654" ht="22.5" customHeight="1">
      <c r="A1654" s="71">
        <v>835.0</v>
      </c>
      <c r="B1654" s="72" t="s">
        <v>2762</v>
      </c>
      <c r="C1654" s="73"/>
      <c r="D1654" s="71">
        <v>6.372357744E9</v>
      </c>
      <c r="E1654" s="72" t="s">
        <v>11</v>
      </c>
      <c r="F1654" s="73"/>
      <c r="G1654" s="74" t="s">
        <v>1931</v>
      </c>
      <c r="H1654" s="75" t="s">
        <v>1932</v>
      </c>
      <c r="I1654" s="85" t="s">
        <v>1967</v>
      </c>
      <c r="J1654" s="77"/>
      <c r="K1654" s="78" t="s">
        <v>1933</v>
      </c>
      <c r="L1654" s="79"/>
    </row>
    <row r="1655" ht="22.5" customHeight="1">
      <c r="A1655" s="80">
        <v>836.0</v>
      </c>
      <c r="B1655" s="81" t="s">
        <v>2763</v>
      </c>
      <c r="C1655" s="82"/>
      <c r="D1655" s="80">
        <v>9.556327716E9</v>
      </c>
      <c r="E1655" s="72" t="s">
        <v>11</v>
      </c>
      <c r="F1655" s="82"/>
      <c r="G1655" s="83" t="s">
        <v>1931</v>
      </c>
      <c r="H1655" s="75" t="s">
        <v>1932</v>
      </c>
      <c r="I1655" s="85" t="s">
        <v>1967</v>
      </c>
      <c r="J1655" s="84"/>
      <c r="K1655" s="78" t="s">
        <v>1933</v>
      </c>
      <c r="L1655" s="79"/>
    </row>
    <row r="1656" ht="22.5" customHeight="1">
      <c r="A1656" s="71">
        <v>837.0</v>
      </c>
      <c r="B1656" s="72" t="s">
        <v>2764</v>
      </c>
      <c r="C1656" s="73"/>
      <c r="D1656" s="71">
        <v>7.848057783E9</v>
      </c>
      <c r="E1656" s="72" t="s">
        <v>11</v>
      </c>
      <c r="F1656" s="73"/>
      <c r="G1656" s="74" t="s">
        <v>1931</v>
      </c>
      <c r="H1656" s="75" t="s">
        <v>1932</v>
      </c>
      <c r="I1656" s="85" t="s">
        <v>1967</v>
      </c>
      <c r="J1656" s="77"/>
      <c r="K1656" s="78" t="s">
        <v>1933</v>
      </c>
      <c r="L1656" s="79"/>
    </row>
    <row r="1657" ht="22.5" customHeight="1">
      <c r="A1657" s="80">
        <v>838.0</v>
      </c>
      <c r="B1657" s="81" t="s">
        <v>2765</v>
      </c>
      <c r="C1657" s="82"/>
      <c r="D1657" s="80">
        <v>9.337380217E9</v>
      </c>
      <c r="E1657" s="72" t="s">
        <v>11</v>
      </c>
      <c r="F1657" s="82"/>
      <c r="G1657" s="83" t="s">
        <v>1931</v>
      </c>
      <c r="H1657" s="75" t="s">
        <v>1932</v>
      </c>
      <c r="I1657" s="85" t="s">
        <v>1967</v>
      </c>
      <c r="J1657" s="84"/>
      <c r="K1657" s="78" t="s">
        <v>1933</v>
      </c>
      <c r="L1657" s="79"/>
    </row>
    <row r="1658" ht="22.5" customHeight="1">
      <c r="A1658" s="71">
        <v>839.0</v>
      </c>
      <c r="B1658" s="72" t="s">
        <v>2766</v>
      </c>
      <c r="C1658" s="73"/>
      <c r="D1658" s="71">
        <v>7.84907705E9</v>
      </c>
      <c r="E1658" s="72" t="s">
        <v>11</v>
      </c>
      <c r="F1658" s="73"/>
      <c r="G1658" s="74" t="s">
        <v>1931</v>
      </c>
      <c r="H1658" s="75" t="s">
        <v>1932</v>
      </c>
      <c r="I1658" s="85" t="s">
        <v>1967</v>
      </c>
      <c r="J1658" s="77"/>
      <c r="K1658" s="78" t="s">
        <v>1933</v>
      </c>
      <c r="L1658" s="79"/>
    </row>
    <row r="1659" ht="22.5" customHeight="1">
      <c r="A1659" s="80">
        <v>840.0</v>
      </c>
      <c r="B1659" s="81" t="s">
        <v>2767</v>
      </c>
      <c r="C1659" s="82"/>
      <c r="D1659" s="80">
        <v>8.981838499E9</v>
      </c>
      <c r="E1659" s="72" t="s">
        <v>11</v>
      </c>
      <c r="F1659" s="82"/>
      <c r="G1659" s="83" t="s">
        <v>1931</v>
      </c>
      <c r="H1659" s="75" t="s">
        <v>1932</v>
      </c>
      <c r="I1659" s="85" t="s">
        <v>1967</v>
      </c>
      <c r="J1659" s="84"/>
      <c r="K1659" s="78" t="s">
        <v>1933</v>
      </c>
      <c r="L1659" s="79"/>
    </row>
    <row r="1660" ht="22.5" customHeight="1">
      <c r="A1660" s="71">
        <v>841.0</v>
      </c>
      <c r="B1660" s="72" t="s">
        <v>2768</v>
      </c>
      <c r="C1660" s="73"/>
      <c r="D1660" s="71">
        <v>8.637268288E9</v>
      </c>
      <c r="E1660" s="72" t="s">
        <v>11</v>
      </c>
      <c r="F1660" s="73"/>
      <c r="G1660" s="74" t="s">
        <v>1931</v>
      </c>
      <c r="H1660" s="75" t="s">
        <v>1932</v>
      </c>
      <c r="I1660" s="85" t="s">
        <v>1967</v>
      </c>
      <c r="J1660" s="77"/>
      <c r="K1660" s="78" t="s">
        <v>1933</v>
      </c>
      <c r="L1660" s="79"/>
    </row>
    <row r="1661" ht="22.5" customHeight="1">
      <c r="A1661" s="80">
        <v>842.0</v>
      </c>
      <c r="B1661" s="81" t="s">
        <v>2769</v>
      </c>
      <c r="C1661" s="82"/>
      <c r="D1661" s="80">
        <v>7.20517209E9</v>
      </c>
      <c r="E1661" s="72" t="s">
        <v>11</v>
      </c>
      <c r="F1661" s="82"/>
      <c r="G1661" s="83" t="s">
        <v>1931</v>
      </c>
      <c r="H1661" s="75" t="s">
        <v>1932</v>
      </c>
      <c r="I1661" s="85" t="s">
        <v>1967</v>
      </c>
      <c r="J1661" s="84"/>
      <c r="K1661" s="78" t="s">
        <v>1933</v>
      </c>
      <c r="L1661" s="79"/>
    </row>
    <row r="1662" ht="22.5" customHeight="1">
      <c r="A1662" s="71">
        <v>843.0</v>
      </c>
      <c r="B1662" s="72" t="s">
        <v>2770</v>
      </c>
      <c r="C1662" s="73"/>
      <c r="D1662" s="71">
        <v>7.978857986E9</v>
      </c>
      <c r="E1662" s="72" t="s">
        <v>11</v>
      </c>
      <c r="F1662" s="73"/>
      <c r="G1662" s="74" t="s">
        <v>1931</v>
      </c>
      <c r="H1662" s="75" t="s">
        <v>1932</v>
      </c>
      <c r="I1662" s="85" t="s">
        <v>1967</v>
      </c>
      <c r="J1662" s="77"/>
      <c r="K1662" s="78" t="s">
        <v>1933</v>
      </c>
      <c r="L1662" s="79"/>
    </row>
    <row r="1663" ht="22.5" customHeight="1">
      <c r="A1663" s="80">
        <v>844.0</v>
      </c>
      <c r="B1663" s="81" t="s">
        <v>2771</v>
      </c>
      <c r="C1663" s="82"/>
      <c r="D1663" s="80">
        <v>7.008368091E9</v>
      </c>
      <c r="E1663" s="72" t="s">
        <v>11</v>
      </c>
      <c r="F1663" s="82"/>
      <c r="G1663" s="83" t="s">
        <v>1931</v>
      </c>
      <c r="H1663" s="75" t="s">
        <v>1932</v>
      </c>
      <c r="I1663" s="85" t="s">
        <v>1967</v>
      </c>
      <c r="J1663" s="84"/>
      <c r="K1663" s="78" t="s">
        <v>1933</v>
      </c>
      <c r="L1663" s="79"/>
    </row>
    <row r="1664" ht="22.5" customHeight="1">
      <c r="A1664" s="71">
        <v>845.0</v>
      </c>
      <c r="B1664" s="72" t="s">
        <v>2772</v>
      </c>
      <c r="C1664" s="73"/>
      <c r="D1664" s="71">
        <v>9.861418431E9</v>
      </c>
      <c r="E1664" s="72" t="s">
        <v>11</v>
      </c>
      <c r="F1664" s="73"/>
      <c r="G1664" s="74" t="s">
        <v>1931</v>
      </c>
      <c r="H1664" s="75" t="s">
        <v>1932</v>
      </c>
      <c r="I1664" s="85" t="s">
        <v>1967</v>
      </c>
      <c r="J1664" s="77"/>
      <c r="K1664" s="78" t="s">
        <v>1933</v>
      </c>
      <c r="L1664" s="79"/>
    </row>
    <row r="1665" ht="22.5" customHeight="1">
      <c r="A1665" s="80">
        <v>846.0</v>
      </c>
      <c r="B1665" s="81" t="s">
        <v>2773</v>
      </c>
      <c r="C1665" s="82"/>
      <c r="D1665" s="80">
        <v>9.937615772E9</v>
      </c>
      <c r="E1665" s="72" t="s">
        <v>11</v>
      </c>
      <c r="F1665" s="82"/>
      <c r="G1665" s="83" t="s">
        <v>1931</v>
      </c>
      <c r="H1665" s="75" t="s">
        <v>1932</v>
      </c>
      <c r="I1665" s="85" t="s">
        <v>1967</v>
      </c>
      <c r="J1665" s="84"/>
      <c r="K1665" s="78" t="s">
        <v>1933</v>
      </c>
      <c r="L1665" s="79"/>
    </row>
    <row r="1666" ht="22.5" customHeight="1">
      <c r="A1666" s="71">
        <v>847.0</v>
      </c>
      <c r="B1666" s="72" t="s">
        <v>2774</v>
      </c>
      <c r="C1666" s="73"/>
      <c r="D1666" s="71">
        <v>6.372500798E9</v>
      </c>
      <c r="E1666" s="72" t="s">
        <v>11</v>
      </c>
      <c r="F1666" s="73"/>
      <c r="G1666" s="74" t="s">
        <v>1931</v>
      </c>
      <c r="H1666" s="75" t="s">
        <v>1932</v>
      </c>
      <c r="I1666" s="85" t="s">
        <v>1967</v>
      </c>
      <c r="J1666" s="77"/>
      <c r="K1666" s="78" t="s">
        <v>1933</v>
      </c>
      <c r="L1666" s="79"/>
    </row>
    <row r="1667" ht="22.5" customHeight="1">
      <c r="A1667" s="80">
        <v>848.0</v>
      </c>
      <c r="B1667" s="81" t="s">
        <v>2775</v>
      </c>
      <c r="C1667" s="82"/>
      <c r="D1667" s="80">
        <v>9.938096655E9</v>
      </c>
      <c r="E1667" s="72" t="s">
        <v>11</v>
      </c>
      <c r="F1667" s="82"/>
      <c r="G1667" s="83" t="s">
        <v>1931</v>
      </c>
      <c r="H1667" s="75" t="s">
        <v>1932</v>
      </c>
      <c r="I1667" s="85" t="s">
        <v>1967</v>
      </c>
      <c r="J1667" s="84"/>
      <c r="K1667" s="78" t="s">
        <v>1933</v>
      </c>
      <c r="L1667" s="79"/>
    </row>
    <row r="1668" ht="22.5" customHeight="1">
      <c r="A1668" s="71">
        <v>849.0</v>
      </c>
      <c r="B1668" s="72" t="s">
        <v>2776</v>
      </c>
      <c r="C1668" s="73"/>
      <c r="D1668" s="71">
        <v>8.249427614E9</v>
      </c>
      <c r="E1668" s="72" t="s">
        <v>11</v>
      </c>
      <c r="F1668" s="73"/>
      <c r="G1668" s="74" t="s">
        <v>1931</v>
      </c>
      <c r="H1668" s="75" t="s">
        <v>1932</v>
      </c>
      <c r="I1668" s="85" t="s">
        <v>1967</v>
      </c>
      <c r="J1668" s="77"/>
      <c r="K1668" s="78" t="s">
        <v>1933</v>
      </c>
      <c r="L1668" s="79"/>
    </row>
    <row r="1669" ht="22.5" customHeight="1">
      <c r="A1669" s="80">
        <v>850.0</v>
      </c>
      <c r="B1669" s="81" t="s">
        <v>2777</v>
      </c>
      <c r="C1669" s="82"/>
      <c r="D1669" s="80">
        <v>7.848800562E9</v>
      </c>
      <c r="E1669" s="72" t="s">
        <v>11</v>
      </c>
      <c r="F1669" s="82"/>
      <c r="G1669" s="83" t="s">
        <v>1931</v>
      </c>
      <c r="H1669" s="75" t="s">
        <v>1932</v>
      </c>
      <c r="I1669" s="85" t="s">
        <v>1967</v>
      </c>
      <c r="J1669" s="84"/>
      <c r="K1669" s="78" t="s">
        <v>1933</v>
      </c>
      <c r="L1669" s="79"/>
    </row>
    <row r="1670" ht="22.5" customHeight="1">
      <c r="A1670" s="71">
        <v>851.0</v>
      </c>
      <c r="B1670" s="72" t="s">
        <v>2778</v>
      </c>
      <c r="C1670" s="73"/>
      <c r="D1670" s="71">
        <v>9.861702677E9</v>
      </c>
      <c r="E1670" s="72" t="s">
        <v>11</v>
      </c>
      <c r="F1670" s="73"/>
      <c r="G1670" s="74" t="s">
        <v>1931</v>
      </c>
      <c r="H1670" s="75" t="s">
        <v>1932</v>
      </c>
      <c r="I1670" s="85" t="s">
        <v>1967</v>
      </c>
      <c r="J1670" s="77"/>
      <c r="K1670" s="78" t="s">
        <v>1933</v>
      </c>
      <c r="L1670" s="79"/>
    </row>
    <row r="1671" ht="22.5" customHeight="1">
      <c r="A1671" s="80">
        <v>852.0</v>
      </c>
      <c r="B1671" s="81" t="s">
        <v>2779</v>
      </c>
      <c r="C1671" s="82"/>
      <c r="D1671" s="80">
        <v>8.33284247E9</v>
      </c>
      <c r="E1671" s="72" t="s">
        <v>11</v>
      </c>
      <c r="F1671" s="82"/>
      <c r="G1671" s="83" t="s">
        <v>1931</v>
      </c>
      <c r="H1671" s="75" t="s">
        <v>1932</v>
      </c>
      <c r="I1671" s="85" t="s">
        <v>1967</v>
      </c>
      <c r="J1671" s="84"/>
      <c r="K1671" s="78" t="s">
        <v>1933</v>
      </c>
      <c r="L1671" s="79"/>
    </row>
    <row r="1672" ht="22.5" customHeight="1">
      <c r="A1672" s="71">
        <v>853.0</v>
      </c>
      <c r="B1672" s="72" t="s">
        <v>2780</v>
      </c>
      <c r="C1672" s="73"/>
      <c r="D1672" s="71">
        <v>9.845081404E9</v>
      </c>
      <c r="E1672" s="72" t="s">
        <v>11</v>
      </c>
      <c r="F1672" s="73"/>
      <c r="G1672" s="74" t="s">
        <v>1931</v>
      </c>
      <c r="H1672" s="75" t="s">
        <v>1932</v>
      </c>
      <c r="I1672" s="85" t="s">
        <v>1967</v>
      </c>
      <c r="J1672" s="77"/>
      <c r="K1672" s="78" t="s">
        <v>1933</v>
      </c>
      <c r="L1672" s="79"/>
    </row>
    <row r="1673" ht="22.5" customHeight="1">
      <c r="A1673" s="80">
        <v>854.0</v>
      </c>
      <c r="B1673" s="81" t="s">
        <v>2781</v>
      </c>
      <c r="C1673" s="82"/>
      <c r="D1673" s="80">
        <v>7.735632399E9</v>
      </c>
      <c r="E1673" s="72" t="s">
        <v>11</v>
      </c>
      <c r="F1673" s="82"/>
      <c r="G1673" s="83" t="s">
        <v>1931</v>
      </c>
      <c r="H1673" s="75" t="s">
        <v>1932</v>
      </c>
      <c r="I1673" s="85" t="s">
        <v>1967</v>
      </c>
      <c r="J1673" s="84"/>
      <c r="K1673" s="78" t="s">
        <v>1933</v>
      </c>
      <c r="L1673" s="79"/>
    </row>
    <row r="1674" ht="22.5" customHeight="1">
      <c r="A1674" s="71">
        <v>855.0</v>
      </c>
      <c r="B1674" s="72" t="s">
        <v>2782</v>
      </c>
      <c r="C1674" s="73"/>
      <c r="D1674" s="71">
        <v>7.326989525E9</v>
      </c>
      <c r="E1674" s="72" t="s">
        <v>11</v>
      </c>
      <c r="F1674" s="73"/>
      <c r="G1674" s="74" t="s">
        <v>1931</v>
      </c>
      <c r="H1674" s="75" t="s">
        <v>1932</v>
      </c>
      <c r="I1674" s="85" t="s">
        <v>1967</v>
      </c>
      <c r="J1674" s="77"/>
      <c r="K1674" s="78" t="s">
        <v>1933</v>
      </c>
      <c r="L1674" s="79"/>
    </row>
    <row r="1675" ht="22.5" customHeight="1">
      <c r="A1675" s="80">
        <v>856.0</v>
      </c>
      <c r="B1675" s="81" t="s">
        <v>2783</v>
      </c>
      <c r="C1675" s="82"/>
      <c r="D1675" s="80">
        <v>9.938400236E9</v>
      </c>
      <c r="E1675" s="72" t="s">
        <v>11</v>
      </c>
      <c r="F1675" s="82"/>
      <c r="G1675" s="83" t="s">
        <v>1931</v>
      </c>
      <c r="H1675" s="75" t="s">
        <v>1932</v>
      </c>
      <c r="I1675" s="85" t="s">
        <v>1967</v>
      </c>
      <c r="J1675" s="84"/>
      <c r="K1675" s="78" t="s">
        <v>1933</v>
      </c>
      <c r="L1675" s="79"/>
    </row>
    <row r="1676" ht="22.5" customHeight="1">
      <c r="A1676" s="71">
        <v>857.0</v>
      </c>
      <c r="B1676" s="72" t="s">
        <v>2784</v>
      </c>
      <c r="C1676" s="73"/>
      <c r="D1676" s="71">
        <v>7.853015635E9</v>
      </c>
      <c r="E1676" s="72" t="s">
        <v>11</v>
      </c>
      <c r="F1676" s="73"/>
      <c r="G1676" s="74" t="s">
        <v>1931</v>
      </c>
      <c r="H1676" s="75" t="s">
        <v>1932</v>
      </c>
      <c r="I1676" s="85" t="s">
        <v>1967</v>
      </c>
      <c r="J1676" s="77"/>
      <c r="K1676" s="78" t="s">
        <v>1933</v>
      </c>
      <c r="L1676" s="79"/>
    </row>
    <row r="1677" ht="22.5" customHeight="1">
      <c r="A1677" s="80">
        <v>858.0</v>
      </c>
      <c r="B1677" s="81" t="s">
        <v>2785</v>
      </c>
      <c r="C1677" s="82"/>
      <c r="D1677" s="80">
        <v>8.260692039E9</v>
      </c>
      <c r="E1677" s="72" t="s">
        <v>11</v>
      </c>
      <c r="F1677" s="82"/>
      <c r="G1677" s="83" t="s">
        <v>1931</v>
      </c>
      <c r="H1677" s="75" t="s">
        <v>1932</v>
      </c>
      <c r="I1677" s="85" t="s">
        <v>1967</v>
      </c>
      <c r="J1677" s="84"/>
      <c r="K1677" s="78" t="s">
        <v>1933</v>
      </c>
      <c r="L1677" s="79"/>
    </row>
    <row r="1678" ht="22.5" customHeight="1">
      <c r="A1678" s="71">
        <v>859.0</v>
      </c>
      <c r="B1678" s="72" t="s">
        <v>2786</v>
      </c>
      <c r="C1678" s="73"/>
      <c r="D1678" s="71">
        <v>7.008191442E9</v>
      </c>
      <c r="E1678" s="72" t="s">
        <v>11</v>
      </c>
      <c r="F1678" s="73"/>
      <c r="G1678" s="74" t="s">
        <v>1931</v>
      </c>
      <c r="H1678" s="75" t="s">
        <v>1932</v>
      </c>
      <c r="I1678" s="85" t="s">
        <v>1967</v>
      </c>
      <c r="J1678" s="77"/>
      <c r="K1678" s="78" t="s">
        <v>1933</v>
      </c>
      <c r="L1678" s="79"/>
    </row>
    <row r="1679" ht="22.5" customHeight="1">
      <c r="A1679" s="80">
        <v>860.0</v>
      </c>
      <c r="B1679" s="81" t="s">
        <v>2787</v>
      </c>
      <c r="C1679" s="82"/>
      <c r="D1679" s="80">
        <v>9.692453602E9</v>
      </c>
      <c r="E1679" s="72" t="s">
        <v>11</v>
      </c>
      <c r="F1679" s="82"/>
      <c r="G1679" s="83" t="s">
        <v>1931</v>
      </c>
      <c r="H1679" s="75" t="s">
        <v>1932</v>
      </c>
      <c r="I1679" s="85" t="s">
        <v>1967</v>
      </c>
      <c r="J1679" s="84"/>
      <c r="K1679" s="78" t="s">
        <v>1933</v>
      </c>
      <c r="L1679" s="79"/>
    </row>
    <row r="1680" ht="22.5" customHeight="1">
      <c r="A1680" s="71">
        <v>861.0</v>
      </c>
      <c r="B1680" s="72" t="s">
        <v>2788</v>
      </c>
      <c r="C1680" s="73"/>
      <c r="D1680" s="71">
        <v>8.984679599E9</v>
      </c>
      <c r="E1680" s="72" t="s">
        <v>11</v>
      </c>
      <c r="F1680" s="73"/>
      <c r="G1680" s="74" t="s">
        <v>1931</v>
      </c>
      <c r="H1680" s="75" t="s">
        <v>1932</v>
      </c>
      <c r="I1680" s="85" t="s">
        <v>1967</v>
      </c>
      <c r="J1680" s="77"/>
      <c r="K1680" s="78" t="s">
        <v>1933</v>
      </c>
      <c r="L1680" s="79"/>
    </row>
    <row r="1681" ht="22.5" customHeight="1">
      <c r="A1681" s="80">
        <v>862.0</v>
      </c>
      <c r="B1681" s="81" t="s">
        <v>2789</v>
      </c>
      <c r="C1681" s="82"/>
      <c r="D1681" s="80">
        <v>9.937845142E9</v>
      </c>
      <c r="E1681" s="72" t="s">
        <v>11</v>
      </c>
      <c r="F1681" s="82"/>
      <c r="G1681" s="83" t="s">
        <v>1931</v>
      </c>
      <c r="H1681" s="75" t="s">
        <v>1932</v>
      </c>
      <c r="I1681" s="85" t="s">
        <v>1967</v>
      </c>
      <c r="J1681" s="84"/>
      <c r="K1681" s="78" t="s">
        <v>1933</v>
      </c>
      <c r="L1681" s="79"/>
    </row>
    <row r="1682" ht="22.5" customHeight="1">
      <c r="A1682" s="71">
        <v>863.0</v>
      </c>
      <c r="B1682" s="72" t="s">
        <v>2790</v>
      </c>
      <c r="C1682" s="73"/>
      <c r="D1682" s="71">
        <v>7.848818399E9</v>
      </c>
      <c r="E1682" s="72" t="s">
        <v>11</v>
      </c>
      <c r="F1682" s="73"/>
      <c r="G1682" s="74" t="s">
        <v>1931</v>
      </c>
      <c r="H1682" s="75" t="s">
        <v>1932</v>
      </c>
      <c r="I1682" s="85" t="s">
        <v>1967</v>
      </c>
      <c r="J1682" s="77"/>
      <c r="K1682" s="78" t="s">
        <v>1933</v>
      </c>
      <c r="L1682" s="79"/>
    </row>
    <row r="1683" ht="22.5" customHeight="1">
      <c r="A1683" s="80">
        <v>864.0</v>
      </c>
      <c r="B1683" s="81" t="s">
        <v>2791</v>
      </c>
      <c r="C1683" s="82"/>
      <c r="D1683" s="80">
        <v>7.848849204E9</v>
      </c>
      <c r="E1683" s="72" t="s">
        <v>11</v>
      </c>
      <c r="F1683" s="82"/>
      <c r="G1683" s="83" t="s">
        <v>1931</v>
      </c>
      <c r="H1683" s="75" t="s">
        <v>1932</v>
      </c>
      <c r="I1683" s="85" t="s">
        <v>1967</v>
      </c>
      <c r="J1683" s="84"/>
      <c r="K1683" s="78" t="s">
        <v>1933</v>
      </c>
      <c r="L1683" s="79"/>
    </row>
    <row r="1684" ht="22.5" customHeight="1">
      <c r="A1684" s="71">
        <v>865.0</v>
      </c>
      <c r="B1684" s="72" t="s">
        <v>2792</v>
      </c>
      <c r="C1684" s="73"/>
      <c r="D1684" s="71">
        <v>9.040826079E9</v>
      </c>
      <c r="E1684" s="72" t="s">
        <v>11</v>
      </c>
      <c r="F1684" s="73"/>
      <c r="G1684" s="74" t="s">
        <v>1931</v>
      </c>
      <c r="H1684" s="75" t="s">
        <v>1932</v>
      </c>
      <c r="I1684" s="85" t="s">
        <v>1967</v>
      </c>
      <c r="J1684" s="77"/>
      <c r="K1684" s="78" t="s">
        <v>1933</v>
      </c>
      <c r="L1684" s="79"/>
    </row>
    <row r="1685" ht="22.5" customHeight="1">
      <c r="A1685" s="80">
        <v>866.0</v>
      </c>
      <c r="B1685" s="81" t="s">
        <v>2793</v>
      </c>
      <c r="C1685" s="82"/>
      <c r="D1685" s="80">
        <v>9.668696408E9</v>
      </c>
      <c r="E1685" s="72" t="s">
        <v>11</v>
      </c>
      <c r="F1685" s="82"/>
      <c r="G1685" s="83" t="s">
        <v>1931</v>
      </c>
      <c r="H1685" s="75" t="s">
        <v>1932</v>
      </c>
      <c r="I1685" s="85" t="s">
        <v>1967</v>
      </c>
      <c r="J1685" s="84"/>
      <c r="K1685" s="78" t="s">
        <v>1933</v>
      </c>
      <c r="L1685" s="79"/>
    </row>
    <row r="1686" ht="22.5" customHeight="1">
      <c r="A1686" s="71">
        <v>867.0</v>
      </c>
      <c r="B1686" s="72" t="s">
        <v>2794</v>
      </c>
      <c r="C1686" s="73"/>
      <c r="D1686" s="71">
        <v>7.609030086E9</v>
      </c>
      <c r="E1686" s="72" t="s">
        <v>11</v>
      </c>
      <c r="F1686" s="73"/>
      <c r="G1686" s="74" t="s">
        <v>1931</v>
      </c>
      <c r="H1686" s="75" t="s">
        <v>1932</v>
      </c>
      <c r="I1686" s="85" t="s">
        <v>1967</v>
      </c>
      <c r="J1686" s="77"/>
      <c r="K1686" s="78" t="s">
        <v>1933</v>
      </c>
      <c r="L1686" s="79"/>
    </row>
    <row r="1687" ht="22.5" customHeight="1">
      <c r="A1687" s="80">
        <v>868.0</v>
      </c>
      <c r="B1687" s="81" t="s">
        <v>2795</v>
      </c>
      <c r="C1687" s="82"/>
      <c r="D1687" s="80">
        <v>8.455892133E9</v>
      </c>
      <c r="E1687" s="72" t="s">
        <v>11</v>
      </c>
      <c r="F1687" s="82"/>
      <c r="G1687" s="83" t="s">
        <v>1931</v>
      </c>
      <c r="H1687" s="75" t="s">
        <v>1932</v>
      </c>
      <c r="I1687" s="85" t="s">
        <v>1967</v>
      </c>
      <c r="J1687" s="84"/>
      <c r="K1687" s="78" t="s">
        <v>1933</v>
      </c>
      <c r="L1687" s="79"/>
    </row>
    <row r="1688" ht="22.5" customHeight="1">
      <c r="A1688" s="71">
        <v>869.0</v>
      </c>
      <c r="B1688" s="72" t="s">
        <v>2796</v>
      </c>
      <c r="C1688" s="73"/>
      <c r="D1688" s="71">
        <v>9.937042474E9</v>
      </c>
      <c r="E1688" s="72" t="s">
        <v>11</v>
      </c>
      <c r="F1688" s="73"/>
      <c r="G1688" s="74" t="s">
        <v>1931</v>
      </c>
      <c r="H1688" s="75" t="s">
        <v>1932</v>
      </c>
      <c r="I1688" s="85" t="s">
        <v>1967</v>
      </c>
      <c r="J1688" s="77"/>
      <c r="K1688" s="78" t="s">
        <v>1933</v>
      </c>
      <c r="L1688" s="79"/>
    </row>
    <row r="1689" ht="22.5" customHeight="1">
      <c r="A1689" s="80">
        <v>870.0</v>
      </c>
      <c r="B1689" s="81" t="s">
        <v>2797</v>
      </c>
      <c r="C1689" s="82"/>
      <c r="D1689" s="80">
        <v>9.437093702E9</v>
      </c>
      <c r="E1689" s="72" t="s">
        <v>11</v>
      </c>
      <c r="F1689" s="82"/>
      <c r="G1689" s="83" t="s">
        <v>1931</v>
      </c>
      <c r="H1689" s="75" t="s">
        <v>1932</v>
      </c>
      <c r="I1689" s="85" t="s">
        <v>1967</v>
      </c>
      <c r="J1689" s="84"/>
      <c r="K1689" s="78" t="s">
        <v>1933</v>
      </c>
      <c r="L1689" s="79"/>
    </row>
    <row r="1690" ht="22.5" customHeight="1">
      <c r="A1690" s="71">
        <v>871.0</v>
      </c>
      <c r="B1690" s="72" t="s">
        <v>2798</v>
      </c>
      <c r="C1690" s="73"/>
      <c r="D1690" s="71">
        <v>7.846900358E9</v>
      </c>
      <c r="E1690" s="72" t="s">
        <v>11</v>
      </c>
      <c r="F1690" s="73"/>
      <c r="G1690" s="74" t="s">
        <v>1931</v>
      </c>
      <c r="H1690" s="75" t="s">
        <v>1932</v>
      </c>
      <c r="I1690" s="85" t="s">
        <v>1967</v>
      </c>
      <c r="J1690" s="77"/>
      <c r="K1690" s="78" t="s">
        <v>1933</v>
      </c>
      <c r="L1690" s="79"/>
    </row>
    <row r="1691" ht="22.5" customHeight="1">
      <c r="A1691" s="80">
        <v>872.0</v>
      </c>
      <c r="B1691" s="81" t="s">
        <v>2799</v>
      </c>
      <c r="C1691" s="82"/>
      <c r="D1691" s="80">
        <v>7.97878209E9</v>
      </c>
      <c r="E1691" s="72" t="s">
        <v>11</v>
      </c>
      <c r="F1691" s="82"/>
      <c r="G1691" s="83" t="s">
        <v>1931</v>
      </c>
      <c r="H1691" s="75" t="s">
        <v>1932</v>
      </c>
      <c r="I1691" s="85" t="s">
        <v>1967</v>
      </c>
      <c r="J1691" s="84"/>
      <c r="K1691" s="78" t="s">
        <v>1933</v>
      </c>
      <c r="L1691" s="79"/>
    </row>
    <row r="1692" ht="22.5" customHeight="1">
      <c r="A1692" s="71">
        <v>873.0</v>
      </c>
      <c r="B1692" s="72" t="s">
        <v>2800</v>
      </c>
      <c r="C1692" s="73"/>
      <c r="D1692" s="71">
        <v>9.861219341E9</v>
      </c>
      <c r="E1692" s="72" t="s">
        <v>11</v>
      </c>
      <c r="F1692" s="73"/>
      <c r="G1692" s="74" t="s">
        <v>1931</v>
      </c>
      <c r="H1692" s="75" t="s">
        <v>1932</v>
      </c>
      <c r="I1692" s="85" t="s">
        <v>1967</v>
      </c>
      <c r="J1692" s="77"/>
      <c r="K1692" s="78" t="s">
        <v>1933</v>
      </c>
      <c r="L1692" s="79"/>
    </row>
    <row r="1693" ht="22.5" customHeight="1">
      <c r="A1693" s="80">
        <v>874.0</v>
      </c>
      <c r="B1693" s="81" t="s">
        <v>2801</v>
      </c>
      <c r="C1693" s="82"/>
      <c r="D1693" s="80">
        <v>9.583847568E9</v>
      </c>
      <c r="E1693" s="72" t="s">
        <v>11</v>
      </c>
      <c r="F1693" s="82"/>
      <c r="G1693" s="83" t="s">
        <v>1931</v>
      </c>
      <c r="H1693" s="75" t="s">
        <v>1932</v>
      </c>
      <c r="I1693" s="85" t="s">
        <v>1967</v>
      </c>
      <c r="J1693" s="84"/>
      <c r="K1693" s="78" t="s">
        <v>1933</v>
      </c>
      <c r="L1693" s="79"/>
    </row>
    <row r="1694" ht="22.5" customHeight="1">
      <c r="A1694" s="71">
        <v>875.0</v>
      </c>
      <c r="B1694" s="72" t="s">
        <v>2802</v>
      </c>
      <c r="C1694" s="73"/>
      <c r="D1694" s="71">
        <v>8.658706356E9</v>
      </c>
      <c r="E1694" s="72" t="s">
        <v>11</v>
      </c>
      <c r="F1694" s="73"/>
      <c r="G1694" s="74" t="s">
        <v>1931</v>
      </c>
      <c r="H1694" s="75" t="s">
        <v>1932</v>
      </c>
      <c r="I1694" s="85" t="s">
        <v>1967</v>
      </c>
      <c r="J1694" s="77"/>
      <c r="K1694" s="78" t="s">
        <v>1933</v>
      </c>
      <c r="L1694" s="79"/>
    </row>
    <row r="1695" ht="22.5" customHeight="1">
      <c r="A1695" s="80">
        <v>876.0</v>
      </c>
      <c r="B1695" s="81" t="s">
        <v>2803</v>
      </c>
      <c r="C1695" s="82"/>
      <c r="D1695" s="80">
        <v>9.090502335E9</v>
      </c>
      <c r="E1695" s="72" t="s">
        <v>11</v>
      </c>
      <c r="F1695" s="82"/>
      <c r="G1695" s="83" t="s">
        <v>1931</v>
      </c>
      <c r="H1695" s="75" t="s">
        <v>1932</v>
      </c>
      <c r="I1695" s="85" t="s">
        <v>1967</v>
      </c>
      <c r="J1695" s="84"/>
      <c r="K1695" s="78" t="s">
        <v>1933</v>
      </c>
      <c r="L1695" s="79"/>
    </row>
    <row r="1696" ht="22.5" customHeight="1">
      <c r="A1696" s="71">
        <v>877.0</v>
      </c>
      <c r="B1696" s="72" t="s">
        <v>2804</v>
      </c>
      <c r="C1696" s="73"/>
      <c r="D1696" s="71">
        <v>9.938450012E9</v>
      </c>
      <c r="E1696" s="72" t="s">
        <v>11</v>
      </c>
      <c r="F1696" s="73"/>
      <c r="G1696" s="74" t="s">
        <v>1931</v>
      </c>
      <c r="H1696" s="75" t="s">
        <v>1932</v>
      </c>
      <c r="I1696" s="85" t="s">
        <v>1967</v>
      </c>
      <c r="J1696" s="77"/>
      <c r="K1696" s="78" t="s">
        <v>1933</v>
      </c>
      <c r="L1696" s="79"/>
    </row>
    <row r="1697" ht="22.5" customHeight="1">
      <c r="A1697" s="80">
        <v>878.0</v>
      </c>
      <c r="B1697" s="81" t="s">
        <v>2805</v>
      </c>
      <c r="C1697" s="82"/>
      <c r="D1697" s="80">
        <v>8.926075879E9</v>
      </c>
      <c r="E1697" s="72" t="s">
        <v>11</v>
      </c>
      <c r="F1697" s="82"/>
      <c r="G1697" s="83" t="s">
        <v>1931</v>
      </c>
      <c r="H1697" s="75" t="s">
        <v>1932</v>
      </c>
      <c r="I1697" s="85" t="s">
        <v>1967</v>
      </c>
      <c r="J1697" s="84"/>
      <c r="K1697" s="78" t="s">
        <v>1933</v>
      </c>
      <c r="L1697" s="79"/>
    </row>
    <row r="1698" ht="22.5" customHeight="1">
      <c r="A1698" s="71">
        <v>879.0</v>
      </c>
      <c r="B1698" s="72" t="s">
        <v>2806</v>
      </c>
      <c r="C1698" s="73"/>
      <c r="D1698" s="71">
        <v>7.008897151E9</v>
      </c>
      <c r="E1698" s="72" t="s">
        <v>11</v>
      </c>
      <c r="F1698" s="73"/>
      <c r="G1698" s="74" t="s">
        <v>1931</v>
      </c>
      <c r="H1698" s="75" t="s">
        <v>1932</v>
      </c>
      <c r="I1698" s="76" t="s">
        <v>1729</v>
      </c>
      <c r="J1698" s="77"/>
      <c r="K1698" s="78" t="s">
        <v>1933</v>
      </c>
      <c r="L1698" s="79"/>
    </row>
    <row r="1699" ht="22.5" customHeight="1">
      <c r="A1699" s="80">
        <v>880.0</v>
      </c>
      <c r="B1699" s="81" t="s">
        <v>2807</v>
      </c>
      <c r="C1699" s="82"/>
      <c r="D1699" s="80">
        <v>9.853861722E9</v>
      </c>
      <c r="E1699" s="72" t="s">
        <v>11</v>
      </c>
      <c r="F1699" s="82"/>
      <c r="G1699" s="83" t="s">
        <v>1931</v>
      </c>
      <c r="H1699" s="75" t="s">
        <v>1932</v>
      </c>
      <c r="I1699" s="86" t="s">
        <v>1731</v>
      </c>
      <c r="J1699" s="84"/>
      <c r="K1699" s="78" t="s">
        <v>1933</v>
      </c>
      <c r="L1699" s="79"/>
    </row>
    <row r="1700" ht="22.5" customHeight="1">
      <c r="A1700" s="71">
        <v>881.0</v>
      </c>
      <c r="B1700" s="72" t="s">
        <v>2808</v>
      </c>
      <c r="C1700" s="73"/>
      <c r="D1700" s="71">
        <v>9.178429547E9</v>
      </c>
      <c r="E1700" s="72" t="s">
        <v>11</v>
      </c>
      <c r="F1700" s="73"/>
      <c r="G1700" s="74" t="s">
        <v>1931</v>
      </c>
      <c r="H1700" s="75" t="s">
        <v>1932</v>
      </c>
      <c r="I1700" s="76" t="s">
        <v>1729</v>
      </c>
      <c r="J1700" s="77"/>
      <c r="K1700" s="78" t="s">
        <v>1933</v>
      </c>
      <c r="L1700" s="79"/>
    </row>
    <row r="1701" ht="22.5" customHeight="1">
      <c r="A1701" s="80">
        <v>882.0</v>
      </c>
      <c r="B1701" s="81" t="s">
        <v>2809</v>
      </c>
      <c r="C1701" s="82"/>
      <c r="D1701" s="80">
        <v>6.371052792E9</v>
      </c>
      <c r="E1701" s="72" t="s">
        <v>11</v>
      </c>
      <c r="F1701" s="82"/>
      <c r="G1701" s="83" t="s">
        <v>1931</v>
      </c>
      <c r="H1701" s="75" t="s">
        <v>1932</v>
      </c>
      <c r="I1701" s="76" t="s">
        <v>1729</v>
      </c>
      <c r="J1701" s="84"/>
      <c r="K1701" s="78" t="s">
        <v>1933</v>
      </c>
      <c r="L1701" s="79"/>
    </row>
    <row r="1702" ht="22.5" customHeight="1">
      <c r="A1702" s="71">
        <v>883.0</v>
      </c>
      <c r="B1702" s="72" t="s">
        <v>2810</v>
      </c>
      <c r="C1702" s="73"/>
      <c r="D1702" s="71">
        <v>7.97899465E9</v>
      </c>
      <c r="E1702" s="72" t="s">
        <v>11</v>
      </c>
      <c r="F1702" s="73"/>
      <c r="G1702" s="74" t="s">
        <v>1931</v>
      </c>
      <c r="H1702" s="75" t="s">
        <v>1932</v>
      </c>
      <c r="I1702" s="85" t="s">
        <v>1967</v>
      </c>
      <c r="J1702" s="77"/>
      <c r="K1702" s="78" t="s">
        <v>1933</v>
      </c>
      <c r="L1702" s="79"/>
    </row>
    <row r="1703" ht="22.5" customHeight="1">
      <c r="A1703" s="80">
        <v>884.0</v>
      </c>
      <c r="B1703" s="81" t="s">
        <v>2811</v>
      </c>
      <c r="C1703" s="82"/>
      <c r="D1703" s="80">
        <v>9.668689585E9</v>
      </c>
      <c r="E1703" s="72" t="s">
        <v>11</v>
      </c>
      <c r="F1703" s="82"/>
      <c r="G1703" s="83" t="s">
        <v>1931</v>
      </c>
      <c r="H1703" s="75" t="s">
        <v>1932</v>
      </c>
      <c r="I1703" s="85" t="s">
        <v>1967</v>
      </c>
      <c r="J1703" s="84"/>
      <c r="K1703" s="78" t="s">
        <v>1933</v>
      </c>
      <c r="L1703" s="79"/>
    </row>
    <row r="1704" ht="22.5" customHeight="1">
      <c r="A1704" s="71">
        <v>885.0</v>
      </c>
      <c r="B1704" s="72" t="s">
        <v>2812</v>
      </c>
      <c r="C1704" s="73"/>
      <c r="D1704" s="71">
        <v>7.327046213E9</v>
      </c>
      <c r="E1704" s="72" t="s">
        <v>11</v>
      </c>
      <c r="F1704" s="73"/>
      <c r="G1704" s="74" t="s">
        <v>1931</v>
      </c>
      <c r="H1704" s="75" t="s">
        <v>1932</v>
      </c>
      <c r="I1704" s="85" t="s">
        <v>1967</v>
      </c>
      <c r="J1704" s="77"/>
      <c r="K1704" s="78" t="s">
        <v>1933</v>
      </c>
      <c r="L1704" s="79"/>
    </row>
    <row r="1705" ht="22.5" customHeight="1">
      <c r="A1705" s="80">
        <v>886.0</v>
      </c>
      <c r="B1705" s="81" t="s">
        <v>2813</v>
      </c>
      <c r="C1705" s="82"/>
      <c r="D1705" s="80">
        <v>9.238984413E9</v>
      </c>
      <c r="E1705" s="72" t="s">
        <v>11</v>
      </c>
      <c r="F1705" s="82"/>
      <c r="G1705" s="83" t="s">
        <v>1931</v>
      </c>
      <c r="H1705" s="75" t="s">
        <v>1932</v>
      </c>
      <c r="I1705" s="85" t="s">
        <v>1967</v>
      </c>
      <c r="J1705" s="84"/>
      <c r="K1705" s="78" t="s">
        <v>1933</v>
      </c>
      <c r="L1705" s="79"/>
    </row>
    <row r="1706" ht="22.5" customHeight="1">
      <c r="A1706" s="71">
        <v>887.0</v>
      </c>
      <c r="B1706" s="72" t="s">
        <v>2814</v>
      </c>
      <c r="C1706" s="73"/>
      <c r="D1706" s="71">
        <v>8.249153663E9</v>
      </c>
      <c r="E1706" s="72" t="s">
        <v>11</v>
      </c>
      <c r="F1706" s="73"/>
      <c r="G1706" s="74" t="s">
        <v>1931</v>
      </c>
      <c r="H1706" s="75" t="s">
        <v>1932</v>
      </c>
      <c r="I1706" s="85" t="s">
        <v>1967</v>
      </c>
      <c r="J1706" s="77"/>
      <c r="K1706" s="78" t="s">
        <v>1933</v>
      </c>
      <c r="L1706" s="79"/>
    </row>
    <row r="1707" ht="22.5" customHeight="1">
      <c r="A1707" s="80">
        <v>888.0</v>
      </c>
      <c r="B1707" s="81" t="s">
        <v>2815</v>
      </c>
      <c r="C1707" s="82"/>
      <c r="D1707" s="80">
        <v>6.370868685E9</v>
      </c>
      <c r="E1707" s="72" t="s">
        <v>11</v>
      </c>
      <c r="F1707" s="82"/>
      <c r="G1707" s="83" t="s">
        <v>1931</v>
      </c>
      <c r="H1707" s="75" t="s">
        <v>1932</v>
      </c>
      <c r="I1707" s="85" t="s">
        <v>1967</v>
      </c>
      <c r="J1707" s="84"/>
      <c r="K1707" s="78" t="s">
        <v>1933</v>
      </c>
      <c r="L1707" s="79"/>
    </row>
    <row r="1708" ht="22.5" customHeight="1">
      <c r="A1708" s="71">
        <v>889.0</v>
      </c>
      <c r="B1708" s="72" t="s">
        <v>2816</v>
      </c>
      <c r="C1708" s="73"/>
      <c r="D1708" s="71">
        <v>8.63721325E9</v>
      </c>
      <c r="E1708" s="72" t="s">
        <v>11</v>
      </c>
      <c r="F1708" s="73"/>
      <c r="G1708" s="74" t="s">
        <v>1931</v>
      </c>
      <c r="H1708" s="75" t="s">
        <v>1932</v>
      </c>
      <c r="I1708" s="85" t="s">
        <v>1967</v>
      </c>
      <c r="J1708" s="77"/>
      <c r="K1708" s="78" t="s">
        <v>1933</v>
      </c>
      <c r="L1708" s="79"/>
    </row>
    <row r="1709" ht="22.5" customHeight="1">
      <c r="A1709" s="80">
        <v>890.0</v>
      </c>
      <c r="B1709" s="81" t="s">
        <v>2817</v>
      </c>
      <c r="C1709" s="82"/>
      <c r="D1709" s="80">
        <v>7.978873164E9</v>
      </c>
      <c r="E1709" s="72" t="s">
        <v>11</v>
      </c>
      <c r="F1709" s="82"/>
      <c r="G1709" s="83" t="s">
        <v>1931</v>
      </c>
      <c r="H1709" s="75" t="s">
        <v>1932</v>
      </c>
      <c r="I1709" s="85" t="s">
        <v>1967</v>
      </c>
      <c r="J1709" s="84"/>
      <c r="K1709" s="78" t="s">
        <v>1933</v>
      </c>
      <c r="L1709" s="79"/>
    </row>
    <row r="1710" ht="22.5" customHeight="1">
      <c r="A1710" s="71">
        <v>891.0</v>
      </c>
      <c r="B1710" s="72" t="s">
        <v>2818</v>
      </c>
      <c r="C1710" s="73"/>
      <c r="D1710" s="71">
        <v>8.763240338E9</v>
      </c>
      <c r="E1710" s="72" t="s">
        <v>11</v>
      </c>
      <c r="F1710" s="73"/>
      <c r="G1710" s="74" t="s">
        <v>1931</v>
      </c>
      <c r="H1710" s="75" t="s">
        <v>1932</v>
      </c>
      <c r="I1710" s="85" t="s">
        <v>1967</v>
      </c>
      <c r="J1710" s="77"/>
      <c r="K1710" s="78" t="s">
        <v>1933</v>
      </c>
      <c r="L1710" s="79"/>
    </row>
    <row r="1711" ht="22.5" customHeight="1">
      <c r="A1711" s="80">
        <v>892.0</v>
      </c>
      <c r="B1711" s="81" t="s">
        <v>2819</v>
      </c>
      <c r="C1711" s="82"/>
      <c r="D1711" s="80">
        <v>7.325837971E9</v>
      </c>
      <c r="E1711" s="72" t="s">
        <v>11</v>
      </c>
      <c r="F1711" s="82"/>
      <c r="G1711" s="83" t="s">
        <v>1931</v>
      </c>
      <c r="H1711" s="75" t="s">
        <v>1932</v>
      </c>
      <c r="I1711" s="85" t="s">
        <v>1967</v>
      </c>
      <c r="J1711" s="84"/>
      <c r="K1711" s="78" t="s">
        <v>1933</v>
      </c>
      <c r="L1711" s="79"/>
    </row>
    <row r="1712" ht="22.5" customHeight="1">
      <c r="A1712" s="71">
        <v>893.0</v>
      </c>
      <c r="B1712" s="72" t="s">
        <v>2145</v>
      </c>
      <c r="C1712" s="73"/>
      <c r="D1712" s="71">
        <v>9.777211739E9</v>
      </c>
      <c r="E1712" s="72" t="s">
        <v>11</v>
      </c>
      <c r="F1712" s="73"/>
      <c r="G1712" s="74" t="s">
        <v>1931</v>
      </c>
      <c r="H1712" s="75" t="s">
        <v>1932</v>
      </c>
      <c r="I1712" s="85" t="s">
        <v>1967</v>
      </c>
      <c r="J1712" s="77"/>
      <c r="K1712" s="78" t="s">
        <v>1933</v>
      </c>
      <c r="L1712" s="79"/>
    </row>
    <row r="1713" ht="22.5" customHeight="1">
      <c r="A1713" s="80">
        <v>894.0</v>
      </c>
      <c r="B1713" s="81" t="s">
        <v>2820</v>
      </c>
      <c r="C1713" s="82"/>
      <c r="D1713" s="80">
        <v>9.090355755E9</v>
      </c>
      <c r="E1713" s="72" t="s">
        <v>11</v>
      </c>
      <c r="F1713" s="82"/>
      <c r="G1713" s="83" t="s">
        <v>1931</v>
      </c>
      <c r="H1713" s="75" t="s">
        <v>1932</v>
      </c>
      <c r="I1713" s="85" t="s">
        <v>1967</v>
      </c>
      <c r="J1713" s="84"/>
      <c r="K1713" s="78" t="s">
        <v>1933</v>
      </c>
      <c r="L1713" s="79"/>
    </row>
    <row r="1714" ht="22.5" customHeight="1">
      <c r="A1714" s="71">
        <v>895.0</v>
      </c>
      <c r="B1714" s="72" t="s">
        <v>2821</v>
      </c>
      <c r="C1714" s="73"/>
      <c r="D1714" s="71">
        <v>9.439166283E9</v>
      </c>
      <c r="E1714" s="72" t="s">
        <v>11</v>
      </c>
      <c r="F1714" s="73"/>
      <c r="G1714" s="74" t="s">
        <v>1931</v>
      </c>
      <c r="H1714" s="75" t="s">
        <v>1932</v>
      </c>
      <c r="I1714" s="85" t="s">
        <v>1967</v>
      </c>
      <c r="J1714" s="77"/>
      <c r="K1714" s="78" t="s">
        <v>1933</v>
      </c>
      <c r="L1714" s="79"/>
    </row>
    <row r="1715" ht="22.5" customHeight="1">
      <c r="A1715" s="80">
        <v>896.0</v>
      </c>
      <c r="B1715" s="81" t="s">
        <v>2822</v>
      </c>
      <c r="C1715" s="82"/>
      <c r="D1715" s="80">
        <v>7.855075435E9</v>
      </c>
      <c r="E1715" s="72" t="s">
        <v>11</v>
      </c>
      <c r="F1715" s="82"/>
      <c r="G1715" s="83" t="s">
        <v>1931</v>
      </c>
      <c r="H1715" s="75" t="s">
        <v>1932</v>
      </c>
      <c r="I1715" s="85" t="s">
        <v>1967</v>
      </c>
      <c r="J1715" s="84"/>
      <c r="K1715" s="78" t="s">
        <v>1933</v>
      </c>
      <c r="L1715" s="79"/>
    </row>
    <row r="1716" ht="22.5" customHeight="1">
      <c r="A1716" s="71">
        <v>897.0</v>
      </c>
      <c r="B1716" s="72" t="s">
        <v>2823</v>
      </c>
      <c r="C1716" s="73"/>
      <c r="D1716" s="71">
        <v>9.937973843E9</v>
      </c>
      <c r="E1716" s="72" t="s">
        <v>11</v>
      </c>
      <c r="F1716" s="73"/>
      <c r="G1716" s="74" t="s">
        <v>1931</v>
      </c>
      <c r="H1716" s="75" t="s">
        <v>1932</v>
      </c>
      <c r="I1716" s="85" t="s">
        <v>1967</v>
      </c>
      <c r="J1716" s="77"/>
      <c r="K1716" s="78" t="s">
        <v>1933</v>
      </c>
      <c r="L1716" s="79"/>
    </row>
    <row r="1717" ht="22.5" customHeight="1">
      <c r="A1717" s="80">
        <v>898.0</v>
      </c>
      <c r="B1717" s="81" t="s">
        <v>2824</v>
      </c>
      <c r="C1717" s="82"/>
      <c r="D1717" s="80">
        <v>9.178007199E9</v>
      </c>
      <c r="E1717" s="72" t="s">
        <v>11</v>
      </c>
      <c r="F1717" s="82"/>
      <c r="G1717" s="83" t="s">
        <v>1931</v>
      </c>
      <c r="H1717" s="75" t="s">
        <v>1932</v>
      </c>
      <c r="I1717" s="85" t="s">
        <v>1967</v>
      </c>
      <c r="J1717" s="84"/>
      <c r="K1717" s="78" t="s">
        <v>1933</v>
      </c>
      <c r="L1717" s="79"/>
    </row>
    <row r="1718" ht="22.5" customHeight="1">
      <c r="A1718" s="71">
        <v>899.0</v>
      </c>
      <c r="B1718" s="72" t="s">
        <v>2825</v>
      </c>
      <c r="C1718" s="73"/>
      <c r="D1718" s="71">
        <v>9.861740875E9</v>
      </c>
      <c r="E1718" s="72" t="s">
        <v>11</v>
      </c>
      <c r="F1718" s="73"/>
      <c r="G1718" s="74" t="s">
        <v>1931</v>
      </c>
      <c r="H1718" s="75" t="s">
        <v>1932</v>
      </c>
      <c r="I1718" s="85" t="s">
        <v>1967</v>
      </c>
      <c r="J1718" s="77"/>
      <c r="K1718" s="78" t="s">
        <v>1933</v>
      </c>
      <c r="L1718" s="79"/>
    </row>
    <row r="1719" ht="22.5" customHeight="1">
      <c r="A1719" s="80">
        <v>900.0</v>
      </c>
      <c r="B1719" s="81" t="s">
        <v>2826</v>
      </c>
      <c r="C1719" s="82"/>
      <c r="D1719" s="80">
        <v>8.658008022E9</v>
      </c>
      <c r="E1719" s="72" t="s">
        <v>11</v>
      </c>
      <c r="F1719" s="82"/>
      <c r="G1719" s="83" t="s">
        <v>1931</v>
      </c>
      <c r="H1719" s="75" t="s">
        <v>1932</v>
      </c>
      <c r="I1719" s="85" t="s">
        <v>1967</v>
      </c>
      <c r="J1719" s="84"/>
      <c r="K1719" s="78" t="s">
        <v>1933</v>
      </c>
      <c r="L1719" s="79"/>
    </row>
    <row r="1720" ht="22.5" customHeight="1">
      <c r="A1720" s="71">
        <v>901.0</v>
      </c>
      <c r="B1720" s="72" t="s">
        <v>2827</v>
      </c>
      <c r="C1720" s="73"/>
      <c r="D1720" s="71">
        <v>9.337816167E9</v>
      </c>
      <c r="E1720" s="72" t="s">
        <v>11</v>
      </c>
      <c r="F1720" s="73"/>
      <c r="G1720" s="74" t="s">
        <v>1931</v>
      </c>
      <c r="H1720" s="75" t="s">
        <v>1932</v>
      </c>
      <c r="I1720" s="85" t="s">
        <v>1967</v>
      </c>
      <c r="J1720" s="77"/>
      <c r="K1720" s="78" t="s">
        <v>1933</v>
      </c>
      <c r="L1720" s="79"/>
    </row>
    <row r="1721" ht="22.5" customHeight="1">
      <c r="A1721" s="80">
        <v>902.0</v>
      </c>
      <c r="B1721" s="81" t="s">
        <v>2828</v>
      </c>
      <c r="C1721" s="82"/>
      <c r="D1721" s="80">
        <v>8.249565297E9</v>
      </c>
      <c r="E1721" s="72" t="s">
        <v>11</v>
      </c>
      <c r="F1721" s="82"/>
      <c r="G1721" s="83" t="s">
        <v>1931</v>
      </c>
      <c r="H1721" s="75" t="s">
        <v>1932</v>
      </c>
      <c r="I1721" s="85" t="s">
        <v>1967</v>
      </c>
      <c r="J1721" s="84"/>
      <c r="K1721" s="78" t="s">
        <v>1933</v>
      </c>
      <c r="L1721" s="79"/>
    </row>
    <row r="1722" ht="22.5" customHeight="1">
      <c r="A1722" s="71">
        <v>903.0</v>
      </c>
      <c r="B1722" s="72" t="s">
        <v>2829</v>
      </c>
      <c r="C1722" s="73"/>
      <c r="D1722" s="71">
        <v>7.894369649E9</v>
      </c>
      <c r="E1722" s="72" t="s">
        <v>11</v>
      </c>
      <c r="F1722" s="73"/>
      <c r="G1722" s="74" t="s">
        <v>1931</v>
      </c>
      <c r="H1722" s="75" t="s">
        <v>1932</v>
      </c>
      <c r="I1722" s="85" t="s">
        <v>1967</v>
      </c>
      <c r="J1722" s="77"/>
      <c r="K1722" s="78" t="s">
        <v>1933</v>
      </c>
      <c r="L1722" s="79"/>
    </row>
    <row r="1723" ht="22.5" customHeight="1">
      <c r="A1723" s="80">
        <v>904.0</v>
      </c>
      <c r="B1723" s="81" t="s">
        <v>2830</v>
      </c>
      <c r="C1723" s="82"/>
      <c r="D1723" s="80">
        <v>7.682885915E9</v>
      </c>
      <c r="E1723" s="72" t="s">
        <v>11</v>
      </c>
      <c r="F1723" s="82"/>
      <c r="G1723" s="83" t="s">
        <v>1931</v>
      </c>
      <c r="H1723" s="75" t="s">
        <v>1932</v>
      </c>
      <c r="I1723" s="85" t="s">
        <v>1967</v>
      </c>
      <c r="J1723" s="84"/>
      <c r="K1723" s="78" t="s">
        <v>1933</v>
      </c>
      <c r="L1723" s="79"/>
    </row>
    <row r="1724" ht="22.5" customHeight="1">
      <c r="A1724" s="71">
        <v>905.0</v>
      </c>
      <c r="B1724" s="72" t="s">
        <v>2831</v>
      </c>
      <c r="C1724" s="73"/>
      <c r="D1724" s="71">
        <v>9.937011057E9</v>
      </c>
      <c r="E1724" s="72" t="s">
        <v>11</v>
      </c>
      <c r="F1724" s="73"/>
      <c r="G1724" s="74" t="s">
        <v>1931</v>
      </c>
      <c r="H1724" s="75" t="s">
        <v>1932</v>
      </c>
      <c r="I1724" s="85" t="s">
        <v>1967</v>
      </c>
      <c r="J1724" s="77"/>
      <c r="K1724" s="78" t="s">
        <v>1933</v>
      </c>
      <c r="L1724" s="79"/>
    </row>
    <row r="1725" ht="22.5" customHeight="1">
      <c r="A1725" s="80">
        <v>906.0</v>
      </c>
      <c r="B1725" s="81" t="s">
        <v>2832</v>
      </c>
      <c r="C1725" s="82"/>
      <c r="D1725" s="80">
        <v>6.370311344E9</v>
      </c>
      <c r="E1725" s="72" t="s">
        <v>11</v>
      </c>
      <c r="F1725" s="82"/>
      <c r="G1725" s="83" t="s">
        <v>1931</v>
      </c>
      <c r="H1725" s="75" t="s">
        <v>1932</v>
      </c>
      <c r="I1725" s="85" t="s">
        <v>1967</v>
      </c>
      <c r="J1725" s="84"/>
      <c r="K1725" s="78" t="s">
        <v>1933</v>
      </c>
      <c r="L1725" s="79"/>
    </row>
    <row r="1726" ht="22.5" customHeight="1">
      <c r="A1726" s="71">
        <v>907.0</v>
      </c>
      <c r="B1726" s="72" t="s">
        <v>2833</v>
      </c>
      <c r="C1726" s="73"/>
      <c r="D1726" s="71">
        <v>7.608094635E9</v>
      </c>
      <c r="E1726" s="72" t="s">
        <v>11</v>
      </c>
      <c r="F1726" s="73"/>
      <c r="G1726" s="74" t="s">
        <v>1931</v>
      </c>
      <c r="H1726" s="75" t="s">
        <v>1932</v>
      </c>
      <c r="I1726" s="85" t="s">
        <v>1967</v>
      </c>
      <c r="J1726" s="77"/>
      <c r="K1726" s="78" t="s">
        <v>1933</v>
      </c>
      <c r="L1726" s="79"/>
    </row>
    <row r="1727" ht="22.5" customHeight="1">
      <c r="A1727" s="80">
        <v>908.0</v>
      </c>
      <c r="B1727" s="81" t="s">
        <v>2834</v>
      </c>
      <c r="C1727" s="82"/>
      <c r="D1727" s="80">
        <v>7.873379216E9</v>
      </c>
      <c r="E1727" s="72" t="s">
        <v>11</v>
      </c>
      <c r="F1727" s="82"/>
      <c r="G1727" s="83" t="s">
        <v>1931</v>
      </c>
      <c r="H1727" s="75" t="s">
        <v>1932</v>
      </c>
      <c r="I1727" s="85" t="s">
        <v>1967</v>
      </c>
      <c r="J1727" s="84"/>
      <c r="K1727" s="78" t="s">
        <v>1933</v>
      </c>
      <c r="L1727" s="79"/>
    </row>
    <row r="1728" ht="22.5" customHeight="1">
      <c r="A1728" s="71">
        <v>909.0</v>
      </c>
      <c r="B1728" s="72" t="s">
        <v>2835</v>
      </c>
      <c r="C1728" s="73"/>
      <c r="D1728" s="71">
        <v>9.437383924E9</v>
      </c>
      <c r="E1728" s="72" t="s">
        <v>11</v>
      </c>
      <c r="F1728" s="73"/>
      <c r="G1728" s="74" t="s">
        <v>1931</v>
      </c>
      <c r="H1728" s="75" t="s">
        <v>1932</v>
      </c>
      <c r="I1728" s="85" t="s">
        <v>1967</v>
      </c>
      <c r="J1728" s="77"/>
      <c r="K1728" s="78" t="s">
        <v>1933</v>
      </c>
      <c r="L1728" s="79"/>
    </row>
    <row r="1729" ht="22.5" customHeight="1">
      <c r="A1729" s="80">
        <v>910.0</v>
      </c>
      <c r="B1729" s="81" t="s">
        <v>2836</v>
      </c>
      <c r="C1729" s="82"/>
      <c r="D1729" s="80">
        <v>7.978233479E9</v>
      </c>
      <c r="E1729" s="72" t="s">
        <v>11</v>
      </c>
      <c r="F1729" s="82"/>
      <c r="G1729" s="83" t="s">
        <v>1931</v>
      </c>
      <c r="H1729" s="75" t="s">
        <v>1932</v>
      </c>
      <c r="I1729" s="85" t="s">
        <v>1967</v>
      </c>
      <c r="J1729" s="84"/>
      <c r="K1729" s="78" t="s">
        <v>1933</v>
      </c>
      <c r="L1729" s="79"/>
    </row>
    <row r="1730" ht="22.5" customHeight="1">
      <c r="A1730" s="71">
        <v>911.0</v>
      </c>
      <c r="B1730" s="72" t="s">
        <v>2837</v>
      </c>
      <c r="C1730" s="73"/>
      <c r="D1730" s="71">
        <v>7.008509667E9</v>
      </c>
      <c r="E1730" s="72" t="s">
        <v>11</v>
      </c>
      <c r="F1730" s="73"/>
      <c r="G1730" s="74" t="s">
        <v>1931</v>
      </c>
      <c r="H1730" s="75" t="s">
        <v>1932</v>
      </c>
      <c r="I1730" s="85" t="s">
        <v>1967</v>
      </c>
      <c r="J1730" s="77"/>
      <c r="K1730" s="78" t="s">
        <v>1933</v>
      </c>
      <c r="L1730" s="79"/>
    </row>
    <row r="1731" ht="22.5" customHeight="1">
      <c r="A1731" s="80">
        <v>912.0</v>
      </c>
      <c r="B1731" s="81" t="s">
        <v>2838</v>
      </c>
      <c r="C1731" s="82"/>
      <c r="D1731" s="80">
        <v>9.861807253E9</v>
      </c>
      <c r="E1731" s="72" t="s">
        <v>11</v>
      </c>
      <c r="F1731" s="82"/>
      <c r="G1731" s="83" t="s">
        <v>1931</v>
      </c>
      <c r="H1731" s="75" t="s">
        <v>1932</v>
      </c>
      <c r="I1731" s="85" t="s">
        <v>1967</v>
      </c>
      <c r="J1731" s="84"/>
      <c r="K1731" s="78" t="s">
        <v>1933</v>
      </c>
      <c r="L1731" s="79"/>
    </row>
    <row r="1732" ht="22.5" customHeight="1">
      <c r="A1732" s="71">
        <v>913.0</v>
      </c>
      <c r="B1732" s="72" t="s">
        <v>2839</v>
      </c>
      <c r="C1732" s="73"/>
      <c r="D1732" s="71">
        <v>7.608064487E9</v>
      </c>
      <c r="E1732" s="72" t="s">
        <v>11</v>
      </c>
      <c r="F1732" s="73"/>
      <c r="G1732" s="74" t="s">
        <v>1931</v>
      </c>
      <c r="H1732" s="75" t="s">
        <v>1932</v>
      </c>
      <c r="I1732" s="85" t="s">
        <v>1967</v>
      </c>
      <c r="J1732" s="77"/>
      <c r="K1732" s="78" t="s">
        <v>1933</v>
      </c>
      <c r="L1732" s="79"/>
    </row>
    <row r="1733" ht="22.5" customHeight="1">
      <c r="A1733" s="80">
        <v>914.0</v>
      </c>
      <c r="B1733" s="81" t="s">
        <v>2840</v>
      </c>
      <c r="C1733" s="82"/>
      <c r="D1733" s="80">
        <v>8.327726391E9</v>
      </c>
      <c r="E1733" s="72" t="s">
        <v>11</v>
      </c>
      <c r="F1733" s="82"/>
      <c r="G1733" s="83" t="s">
        <v>1931</v>
      </c>
      <c r="H1733" s="75" t="s">
        <v>1932</v>
      </c>
      <c r="I1733" s="87" t="s">
        <v>2581</v>
      </c>
      <c r="J1733" s="84"/>
      <c r="K1733" s="78" t="s">
        <v>1933</v>
      </c>
      <c r="L1733" s="79"/>
    </row>
    <row r="1734" ht="22.5" customHeight="1">
      <c r="A1734" s="71">
        <v>915.0</v>
      </c>
      <c r="B1734" s="72" t="s">
        <v>2841</v>
      </c>
      <c r="C1734" s="73"/>
      <c r="D1734" s="71">
        <v>8.456062907E9</v>
      </c>
      <c r="E1734" s="72" t="s">
        <v>11</v>
      </c>
      <c r="F1734" s="73"/>
      <c r="G1734" s="74" t="s">
        <v>1931</v>
      </c>
      <c r="H1734" s="75" t="s">
        <v>1932</v>
      </c>
      <c r="I1734" s="76" t="s">
        <v>1729</v>
      </c>
      <c r="J1734" s="77"/>
      <c r="K1734" s="78" t="s">
        <v>1933</v>
      </c>
      <c r="L1734" s="79"/>
    </row>
    <row r="1735" ht="22.5" customHeight="1">
      <c r="A1735" s="80">
        <v>916.0</v>
      </c>
      <c r="B1735" s="81" t="s">
        <v>2842</v>
      </c>
      <c r="C1735" s="82"/>
      <c r="D1735" s="80">
        <v>7.815027644E9</v>
      </c>
      <c r="E1735" s="72" t="s">
        <v>11</v>
      </c>
      <c r="F1735" s="82"/>
      <c r="G1735" s="83" t="s">
        <v>1931</v>
      </c>
      <c r="H1735" s="75" t="s">
        <v>1932</v>
      </c>
      <c r="I1735" s="76" t="s">
        <v>1729</v>
      </c>
      <c r="J1735" s="84"/>
      <c r="K1735" s="78" t="s">
        <v>1933</v>
      </c>
      <c r="L1735" s="79"/>
    </row>
    <row r="1736" ht="22.5" customHeight="1">
      <c r="A1736" s="71">
        <v>917.0</v>
      </c>
      <c r="B1736" s="72" t="s">
        <v>2843</v>
      </c>
      <c r="C1736" s="73"/>
      <c r="D1736" s="71">
        <v>8.763551708E9</v>
      </c>
      <c r="E1736" s="72" t="s">
        <v>11</v>
      </c>
      <c r="F1736" s="73"/>
      <c r="G1736" s="74" t="s">
        <v>1931</v>
      </c>
      <c r="H1736" s="75" t="s">
        <v>1932</v>
      </c>
      <c r="I1736" s="87" t="s">
        <v>2581</v>
      </c>
      <c r="J1736" s="77"/>
      <c r="K1736" s="78" t="s">
        <v>1933</v>
      </c>
      <c r="L1736" s="79"/>
    </row>
    <row r="1737" ht="22.5" customHeight="1">
      <c r="A1737" s="80">
        <v>918.0</v>
      </c>
      <c r="B1737" s="81" t="s">
        <v>2844</v>
      </c>
      <c r="C1737" s="82"/>
      <c r="D1737" s="80">
        <v>9.437695284E9</v>
      </c>
      <c r="E1737" s="72" t="s">
        <v>11</v>
      </c>
      <c r="F1737" s="82"/>
      <c r="G1737" s="83" t="s">
        <v>1931</v>
      </c>
      <c r="H1737" s="75" t="s">
        <v>1932</v>
      </c>
      <c r="I1737" s="76" t="s">
        <v>1729</v>
      </c>
      <c r="J1737" s="84"/>
      <c r="K1737" s="78" t="s">
        <v>1933</v>
      </c>
      <c r="L1737" s="79"/>
    </row>
    <row r="1738" ht="22.5" customHeight="1">
      <c r="A1738" s="71">
        <v>919.0</v>
      </c>
      <c r="B1738" s="72" t="s">
        <v>2845</v>
      </c>
      <c r="C1738" s="73"/>
      <c r="D1738" s="71">
        <v>7.609020355E9</v>
      </c>
      <c r="E1738" s="72" t="s">
        <v>11</v>
      </c>
      <c r="F1738" s="73"/>
      <c r="G1738" s="74" t="s">
        <v>1931</v>
      </c>
      <c r="H1738" s="75" t="s">
        <v>1932</v>
      </c>
      <c r="I1738" s="87" t="s">
        <v>2581</v>
      </c>
      <c r="J1738" s="77"/>
      <c r="K1738" s="78" t="s">
        <v>1933</v>
      </c>
      <c r="L1738" s="79"/>
    </row>
    <row r="1739" ht="22.5" customHeight="1">
      <c r="A1739" s="80">
        <v>920.0</v>
      </c>
      <c r="B1739" s="81" t="s">
        <v>2846</v>
      </c>
      <c r="C1739" s="82"/>
      <c r="D1739" s="80">
        <v>9.331019652E9</v>
      </c>
      <c r="E1739" s="72" t="s">
        <v>11</v>
      </c>
      <c r="F1739" s="82"/>
      <c r="G1739" s="83" t="s">
        <v>1931</v>
      </c>
      <c r="H1739" s="75" t="s">
        <v>1932</v>
      </c>
      <c r="I1739" s="76" t="s">
        <v>1729</v>
      </c>
      <c r="J1739" s="84"/>
      <c r="K1739" s="78" t="s">
        <v>1933</v>
      </c>
      <c r="L1739" s="79"/>
    </row>
    <row r="1740" ht="22.5" customHeight="1">
      <c r="A1740" s="71">
        <v>921.0</v>
      </c>
      <c r="B1740" s="72" t="s">
        <v>2847</v>
      </c>
      <c r="C1740" s="73"/>
      <c r="D1740" s="71">
        <v>9.437294672E9</v>
      </c>
      <c r="E1740" s="72" t="s">
        <v>11</v>
      </c>
      <c r="F1740" s="73"/>
      <c r="G1740" s="74" t="s">
        <v>1931</v>
      </c>
      <c r="H1740" s="75" t="s">
        <v>1932</v>
      </c>
      <c r="I1740" s="76" t="s">
        <v>1729</v>
      </c>
      <c r="J1740" s="77"/>
      <c r="K1740" s="78" t="s">
        <v>1933</v>
      </c>
      <c r="L1740" s="79"/>
    </row>
    <row r="1741" ht="22.5" customHeight="1">
      <c r="A1741" s="80">
        <v>922.0</v>
      </c>
      <c r="B1741" s="81" t="s">
        <v>2848</v>
      </c>
      <c r="C1741" s="82"/>
      <c r="D1741" s="80">
        <v>9.777582063E9</v>
      </c>
      <c r="E1741" s="72" t="s">
        <v>11</v>
      </c>
      <c r="F1741" s="82"/>
      <c r="G1741" s="83" t="s">
        <v>1931</v>
      </c>
      <c r="H1741" s="75" t="s">
        <v>1932</v>
      </c>
      <c r="I1741" s="76" t="s">
        <v>1729</v>
      </c>
      <c r="J1741" s="84"/>
      <c r="K1741" s="78" t="s">
        <v>1933</v>
      </c>
      <c r="L1741" s="79"/>
    </row>
    <row r="1742" ht="22.5" customHeight="1">
      <c r="A1742" s="71">
        <v>923.0</v>
      </c>
      <c r="B1742" s="72" t="s">
        <v>2849</v>
      </c>
      <c r="C1742" s="73"/>
      <c r="D1742" s="71">
        <v>9.438082288E9</v>
      </c>
      <c r="E1742" s="72" t="s">
        <v>11</v>
      </c>
      <c r="F1742" s="73"/>
      <c r="G1742" s="74" t="s">
        <v>1931</v>
      </c>
      <c r="H1742" s="75" t="s">
        <v>1932</v>
      </c>
      <c r="I1742" s="76" t="s">
        <v>1729</v>
      </c>
      <c r="J1742" s="77"/>
      <c r="K1742" s="78" t="s">
        <v>1933</v>
      </c>
      <c r="L1742" s="79"/>
    </row>
    <row r="1743" ht="22.5" customHeight="1">
      <c r="A1743" s="80">
        <v>924.0</v>
      </c>
      <c r="B1743" s="81" t="s">
        <v>2850</v>
      </c>
      <c r="C1743" s="82"/>
      <c r="D1743" s="80">
        <v>7.735623117E9</v>
      </c>
      <c r="E1743" s="72" t="s">
        <v>11</v>
      </c>
      <c r="F1743" s="82"/>
      <c r="G1743" s="83" t="s">
        <v>1931</v>
      </c>
      <c r="H1743" s="75" t="s">
        <v>1932</v>
      </c>
      <c r="I1743" s="76" t="s">
        <v>1729</v>
      </c>
      <c r="J1743" s="84"/>
      <c r="K1743" s="78" t="s">
        <v>1933</v>
      </c>
      <c r="L1743" s="79"/>
    </row>
    <row r="1744" ht="22.5" customHeight="1">
      <c r="A1744" s="71">
        <v>925.0</v>
      </c>
      <c r="B1744" s="72" t="s">
        <v>2851</v>
      </c>
      <c r="C1744" s="73"/>
      <c r="D1744" s="71">
        <v>9.338326511E9</v>
      </c>
      <c r="E1744" s="72" t="s">
        <v>11</v>
      </c>
      <c r="F1744" s="73"/>
      <c r="G1744" s="74" t="s">
        <v>1931</v>
      </c>
      <c r="H1744" s="75" t="s">
        <v>1932</v>
      </c>
      <c r="I1744" s="76" t="s">
        <v>1729</v>
      </c>
      <c r="J1744" s="77"/>
      <c r="K1744" s="78" t="s">
        <v>1933</v>
      </c>
      <c r="L1744" s="79"/>
    </row>
    <row r="1745" ht="22.5" customHeight="1">
      <c r="A1745" s="80">
        <v>926.0</v>
      </c>
      <c r="B1745" s="81" t="s">
        <v>2852</v>
      </c>
      <c r="C1745" s="82"/>
      <c r="D1745" s="80">
        <v>9.439841516E9</v>
      </c>
      <c r="E1745" s="72" t="s">
        <v>11</v>
      </c>
      <c r="F1745" s="82"/>
      <c r="G1745" s="83" t="s">
        <v>1931</v>
      </c>
      <c r="H1745" s="75" t="s">
        <v>1932</v>
      </c>
      <c r="I1745" s="76" t="s">
        <v>1729</v>
      </c>
      <c r="J1745" s="84"/>
      <c r="K1745" s="78" t="s">
        <v>1933</v>
      </c>
      <c r="L1745" s="79"/>
    </row>
    <row r="1746" ht="22.5" customHeight="1">
      <c r="A1746" s="71">
        <v>927.0</v>
      </c>
      <c r="B1746" s="72" t="s">
        <v>2853</v>
      </c>
      <c r="C1746" s="73"/>
      <c r="D1746" s="71">
        <v>7.008595978E9</v>
      </c>
      <c r="E1746" s="72" t="s">
        <v>11</v>
      </c>
      <c r="F1746" s="73"/>
      <c r="G1746" s="74" t="s">
        <v>1931</v>
      </c>
      <c r="H1746" s="75" t="s">
        <v>1932</v>
      </c>
      <c r="I1746" s="76" t="s">
        <v>1729</v>
      </c>
      <c r="J1746" s="77"/>
      <c r="K1746" s="78" t="s">
        <v>1933</v>
      </c>
      <c r="L1746" s="79"/>
    </row>
    <row r="1747" ht="22.5" customHeight="1">
      <c r="A1747" s="80">
        <v>928.0</v>
      </c>
      <c r="B1747" s="81" t="s">
        <v>2854</v>
      </c>
      <c r="C1747" s="82"/>
      <c r="D1747" s="80">
        <v>7.008507115E9</v>
      </c>
      <c r="E1747" s="72" t="s">
        <v>11</v>
      </c>
      <c r="F1747" s="82"/>
      <c r="G1747" s="83" t="s">
        <v>1931</v>
      </c>
      <c r="H1747" s="75" t="s">
        <v>1932</v>
      </c>
      <c r="I1747" s="76" t="s">
        <v>1729</v>
      </c>
      <c r="J1747" s="84"/>
      <c r="K1747" s="78" t="s">
        <v>1933</v>
      </c>
      <c r="L1747" s="79"/>
    </row>
    <row r="1748" ht="22.5" customHeight="1">
      <c r="A1748" s="71">
        <v>929.0</v>
      </c>
      <c r="B1748" s="72" t="s">
        <v>2855</v>
      </c>
      <c r="C1748" s="73"/>
      <c r="D1748" s="71">
        <v>8.458089662E9</v>
      </c>
      <c r="E1748" s="72" t="s">
        <v>11</v>
      </c>
      <c r="F1748" s="73"/>
      <c r="G1748" s="74" t="s">
        <v>1931</v>
      </c>
      <c r="H1748" s="75" t="s">
        <v>1932</v>
      </c>
      <c r="I1748" s="76" t="s">
        <v>1729</v>
      </c>
      <c r="J1748" s="77"/>
      <c r="K1748" s="78" t="s">
        <v>1933</v>
      </c>
      <c r="L1748" s="79"/>
    </row>
    <row r="1749" ht="22.5" customHeight="1">
      <c r="A1749" s="80">
        <v>930.0</v>
      </c>
      <c r="B1749" s="81" t="s">
        <v>2856</v>
      </c>
      <c r="C1749" s="82"/>
      <c r="D1749" s="80">
        <v>8.98425693E9</v>
      </c>
      <c r="E1749" s="72" t="s">
        <v>11</v>
      </c>
      <c r="F1749" s="82"/>
      <c r="G1749" s="83" t="s">
        <v>1931</v>
      </c>
      <c r="H1749" s="75" t="s">
        <v>1932</v>
      </c>
      <c r="I1749" s="76" t="s">
        <v>1729</v>
      </c>
      <c r="J1749" s="84"/>
      <c r="K1749" s="78" t="s">
        <v>1933</v>
      </c>
      <c r="L1749" s="79"/>
    </row>
    <row r="1750" ht="22.5" customHeight="1">
      <c r="A1750" s="71">
        <v>931.0</v>
      </c>
      <c r="B1750" s="72" t="s">
        <v>2857</v>
      </c>
      <c r="C1750" s="73"/>
      <c r="D1750" s="71">
        <v>8.144441535E9</v>
      </c>
      <c r="E1750" s="72" t="s">
        <v>11</v>
      </c>
      <c r="F1750" s="73"/>
      <c r="G1750" s="74" t="s">
        <v>1931</v>
      </c>
      <c r="H1750" s="75" t="s">
        <v>1932</v>
      </c>
      <c r="I1750" s="76" t="s">
        <v>1729</v>
      </c>
      <c r="J1750" s="77"/>
      <c r="K1750" s="78" t="s">
        <v>1933</v>
      </c>
      <c r="L1750" s="79"/>
    </row>
    <row r="1751" ht="22.5" customHeight="1">
      <c r="A1751" s="80">
        <v>932.0</v>
      </c>
      <c r="B1751" s="81" t="s">
        <v>2858</v>
      </c>
      <c r="C1751" s="82"/>
      <c r="D1751" s="80">
        <v>7.07708125E9</v>
      </c>
      <c r="E1751" s="72" t="s">
        <v>11</v>
      </c>
      <c r="F1751" s="82"/>
      <c r="G1751" s="83" t="s">
        <v>1931</v>
      </c>
      <c r="H1751" s="75" t="s">
        <v>1932</v>
      </c>
      <c r="I1751" s="76" t="s">
        <v>1729</v>
      </c>
      <c r="J1751" s="84"/>
      <c r="K1751" s="78" t="s">
        <v>1933</v>
      </c>
      <c r="L1751" s="79"/>
    </row>
    <row r="1752" ht="22.5" customHeight="1">
      <c r="A1752" s="71">
        <v>933.0</v>
      </c>
      <c r="B1752" s="72" t="s">
        <v>2859</v>
      </c>
      <c r="C1752" s="73"/>
      <c r="D1752" s="71">
        <v>8.637289355E9</v>
      </c>
      <c r="E1752" s="72" t="s">
        <v>11</v>
      </c>
      <c r="F1752" s="73"/>
      <c r="G1752" s="74" t="s">
        <v>1931</v>
      </c>
      <c r="H1752" s="75" t="s">
        <v>1932</v>
      </c>
      <c r="I1752" s="87" t="s">
        <v>2581</v>
      </c>
      <c r="J1752" s="77"/>
      <c r="K1752" s="78" t="s">
        <v>1933</v>
      </c>
      <c r="L1752" s="79"/>
    </row>
    <row r="1753" ht="22.5" customHeight="1">
      <c r="A1753" s="80">
        <v>934.0</v>
      </c>
      <c r="B1753" s="81" t="s">
        <v>2860</v>
      </c>
      <c r="C1753" s="82"/>
      <c r="D1753" s="80">
        <v>7.008122108E9</v>
      </c>
      <c r="E1753" s="72" t="s">
        <v>11</v>
      </c>
      <c r="F1753" s="82"/>
      <c r="G1753" s="83" t="s">
        <v>1931</v>
      </c>
      <c r="H1753" s="75" t="s">
        <v>1932</v>
      </c>
      <c r="I1753" s="76" t="s">
        <v>1729</v>
      </c>
      <c r="J1753" s="84"/>
      <c r="K1753" s="78" t="s">
        <v>1933</v>
      </c>
      <c r="L1753" s="79"/>
    </row>
    <row r="1754" ht="22.5" customHeight="1">
      <c r="A1754" s="71">
        <v>935.0</v>
      </c>
      <c r="B1754" s="72" t="s">
        <v>2861</v>
      </c>
      <c r="C1754" s="73"/>
      <c r="D1754" s="71">
        <v>9.437297969E9</v>
      </c>
      <c r="E1754" s="72" t="s">
        <v>11</v>
      </c>
      <c r="F1754" s="73"/>
      <c r="G1754" s="74" t="s">
        <v>1931</v>
      </c>
      <c r="H1754" s="75" t="s">
        <v>1932</v>
      </c>
      <c r="I1754" s="76" t="s">
        <v>1729</v>
      </c>
      <c r="J1754" s="77"/>
      <c r="K1754" s="78" t="s">
        <v>1933</v>
      </c>
      <c r="L1754" s="79"/>
    </row>
    <row r="1755" ht="22.5" customHeight="1">
      <c r="A1755" s="80">
        <v>936.0</v>
      </c>
      <c r="B1755" s="81" t="s">
        <v>2862</v>
      </c>
      <c r="C1755" s="82"/>
      <c r="D1755" s="80">
        <v>8.455885436E9</v>
      </c>
      <c r="E1755" s="72" t="s">
        <v>11</v>
      </c>
      <c r="F1755" s="82"/>
      <c r="G1755" s="83" t="s">
        <v>1931</v>
      </c>
      <c r="H1755" s="75" t="s">
        <v>1932</v>
      </c>
      <c r="I1755" s="76" t="s">
        <v>1729</v>
      </c>
      <c r="J1755" s="84"/>
      <c r="K1755" s="78" t="s">
        <v>1933</v>
      </c>
      <c r="L1755" s="79"/>
    </row>
    <row r="1756" ht="22.5" customHeight="1">
      <c r="A1756" s="71">
        <v>937.0</v>
      </c>
      <c r="B1756" s="72" t="s">
        <v>2863</v>
      </c>
      <c r="C1756" s="73"/>
      <c r="D1756" s="71">
        <v>9.778072787E9</v>
      </c>
      <c r="E1756" s="72" t="s">
        <v>11</v>
      </c>
      <c r="F1756" s="73"/>
      <c r="G1756" s="74" t="s">
        <v>1931</v>
      </c>
      <c r="H1756" s="75" t="s">
        <v>1932</v>
      </c>
      <c r="I1756" s="76" t="s">
        <v>1729</v>
      </c>
      <c r="J1756" s="77"/>
      <c r="K1756" s="78" t="s">
        <v>1933</v>
      </c>
      <c r="L1756" s="79"/>
    </row>
    <row r="1757" ht="22.5" customHeight="1">
      <c r="A1757" s="80">
        <v>938.0</v>
      </c>
      <c r="B1757" s="81" t="s">
        <v>2864</v>
      </c>
      <c r="C1757" s="82"/>
      <c r="D1757" s="80">
        <v>8.018597708E9</v>
      </c>
      <c r="E1757" s="72" t="s">
        <v>11</v>
      </c>
      <c r="F1757" s="82"/>
      <c r="G1757" s="83" t="s">
        <v>1931</v>
      </c>
      <c r="H1757" s="75" t="s">
        <v>1932</v>
      </c>
      <c r="I1757" s="76" t="s">
        <v>1729</v>
      </c>
      <c r="J1757" s="84"/>
      <c r="K1757" s="78" t="s">
        <v>1933</v>
      </c>
      <c r="L1757" s="79"/>
    </row>
    <row r="1758" ht="22.5" customHeight="1">
      <c r="A1758" s="71">
        <v>939.0</v>
      </c>
      <c r="B1758" s="72" t="s">
        <v>2865</v>
      </c>
      <c r="C1758" s="73"/>
      <c r="D1758" s="71">
        <v>7.008214412E9</v>
      </c>
      <c r="E1758" s="72" t="s">
        <v>11</v>
      </c>
      <c r="F1758" s="73"/>
      <c r="G1758" s="74" t="s">
        <v>1931</v>
      </c>
      <c r="H1758" s="75" t="s">
        <v>1932</v>
      </c>
      <c r="I1758" s="76" t="s">
        <v>1729</v>
      </c>
      <c r="J1758" s="77"/>
      <c r="K1758" s="78" t="s">
        <v>1933</v>
      </c>
      <c r="L1758" s="79"/>
    </row>
    <row r="1759" ht="22.5" customHeight="1">
      <c r="A1759" s="80">
        <v>940.0</v>
      </c>
      <c r="B1759" s="81" t="s">
        <v>2866</v>
      </c>
      <c r="C1759" s="82"/>
      <c r="D1759" s="80">
        <v>7.992742925E9</v>
      </c>
      <c r="E1759" s="72" t="s">
        <v>11</v>
      </c>
      <c r="F1759" s="82"/>
      <c r="G1759" s="83" t="s">
        <v>1931</v>
      </c>
      <c r="H1759" s="75" t="s">
        <v>1932</v>
      </c>
      <c r="I1759" s="76" t="s">
        <v>1729</v>
      </c>
      <c r="J1759" s="84"/>
      <c r="K1759" s="78" t="s">
        <v>1933</v>
      </c>
      <c r="L1759" s="79"/>
    </row>
    <row r="1760" ht="22.5" customHeight="1">
      <c r="A1760" s="71">
        <v>941.0</v>
      </c>
      <c r="B1760" s="72" t="s">
        <v>2867</v>
      </c>
      <c r="C1760" s="73"/>
      <c r="D1760" s="71">
        <v>6.371254645E9</v>
      </c>
      <c r="E1760" s="72" t="s">
        <v>11</v>
      </c>
      <c r="F1760" s="73"/>
      <c r="G1760" s="74" t="s">
        <v>1931</v>
      </c>
      <c r="H1760" s="75" t="s">
        <v>1932</v>
      </c>
      <c r="I1760" s="76" t="s">
        <v>1729</v>
      </c>
      <c r="J1760" s="77"/>
      <c r="K1760" s="78" t="s">
        <v>1933</v>
      </c>
      <c r="L1760" s="79"/>
    </row>
    <row r="1761" ht="22.5" customHeight="1">
      <c r="A1761" s="80">
        <v>942.0</v>
      </c>
      <c r="B1761" s="81" t="s">
        <v>2868</v>
      </c>
      <c r="C1761" s="82"/>
      <c r="D1761" s="80">
        <v>9.437162827E9</v>
      </c>
      <c r="E1761" s="72" t="s">
        <v>11</v>
      </c>
      <c r="F1761" s="82"/>
      <c r="G1761" s="83" t="s">
        <v>1931</v>
      </c>
      <c r="H1761" s="75" t="s">
        <v>1932</v>
      </c>
      <c r="I1761" s="76" t="s">
        <v>1729</v>
      </c>
      <c r="J1761" s="84"/>
      <c r="K1761" s="78" t="s">
        <v>1933</v>
      </c>
      <c r="L1761" s="79"/>
    </row>
    <row r="1762" ht="22.5" customHeight="1">
      <c r="A1762" s="71">
        <v>943.0</v>
      </c>
      <c r="B1762" s="72" t="s">
        <v>2869</v>
      </c>
      <c r="C1762" s="73"/>
      <c r="D1762" s="71">
        <v>8.895284971E9</v>
      </c>
      <c r="E1762" s="72" t="s">
        <v>11</v>
      </c>
      <c r="F1762" s="73"/>
      <c r="G1762" s="74" t="s">
        <v>1931</v>
      </c>
      <c r="H1762" s="75" t="s">
        <v>1932</v>
      </c>
      <c r="I1762" s="87" t="s">
        <v>2581</v>
      </c>
      <c r="J1762" s="77"/>
      <c r="K1762" s="78" t="s">
        <v>1933</v>
      </c>
      <c r="L1762" s="79"/>
    </row>
    <row r="1763" ht="22.5" customHeight="1">
      <c r="A1763" s="80">
        <v>944.0</v>
      </c>
      <c r="B1763" s="81" t="s">
        <v>2870</v>
      </c>
      <c r="C1763" s="82"/>
      <c r="D1763" s="80">
        <v>8.260617909E9</v>
      </c>
      <c r="E1763" s="72" t="s">
        <v>11</v>
      </c>
      <c r="F1763" s="82"/>
      <c r="G1763" s="83" t="s">
        <v>1931</v>
      </c>
      <c r="H1763" s="75" t="s">
        <v>1932</v>
      </c>
      <c r="I1763" s="76" t="s">
        <v>1729</v>
      </c>
      <c r="J1763" s="84"/>
      <c r="K1763" s="78" t="s">
        <v>1933</v>
      </c>
      <c r="L1763" s="79"/>
    </row>
    <row r="1764" ht="22.5" customHeight="1">
      <c r="A1764" s="71">
        <v>945.0</v>
      </c>
      <c r="B1764" s="72" t="s">
        <v>2871</v>
      </c>
      <c r="C1764" s="73"/>
      <c r="D1764" s="71">
        <v>8.984922889E9</v>
      </c>
      <c r="E1764" s="72" t="s">
        <v>11</v>
      </c>
      <c r="F1764" s="73"/>
      <c r="G1764" s="74" t="s">
        <v>1931</v>
      </c>
      <c r="H1764" s="75" t="s">
        <v>1932</v>
      </c>
      <c r="I1764" s="76" t="s">
        <v>1729</v>
      </c>
      <c r="J1764" s="77"/>
      <c r="K1764" s="78" t="s">
        <v>1933</v>
      </c>
      <c r="L1764" s="79"/>
    </row>
    <row r="1765" ht="22.5" customHeight="1">
      <c r="A1765" s="80">
        <v>946.0</v>
      </c>
      <c r="B1765" s="81" t="s">
        <v>2872</v>
      </c>
      <c r="C1765" s="82"/>
      <c r="D1765" s="80">
        <v>7.735917531E9</v>
      </c>
      <c r="E1765" s="72" t="s">
        <v>11</v>
      </c>
      <c r="F1765" s="82"/>
      <c r="G1765" s="83" t="s">
        <v>1931</v>
      </c>
      <c r="H1765" s="75" t="s">
        <v>1932</v>
      </c>
      <c r="I1765" s="87" t="s">
        <v>2581</v>
      </c>
      <c r="J1765" s="84"/>
      <c r="K1765" s="78" t="s">
        <v>1933</v>
      </c>
      <c r="L1765" s="79"/>
    </row>
    <row r="1766" ht="22.5" customHeight="1">
      <c r="A1766" s="71">
        <v>947.0</v>
      </c>
      <c r="B1766" s="72" t="s">
        <v>2873</v>
      </c>
      <c r="C1766" s="73"/>
      <c r="D1766" s="71">
        <v>9.692394452E9</v>
      </c>
      <c r="E1766" s="72" t="s">
        <v>11</v>
      </c>
      <c r="F1766" s="73"/>
      <c r="G1766" s="74" t="s">
        <v>1931</v>
      </c>
      <c r="H1766" s="75" t="s">
        <v>1932</v>
      </c>
      <c r="I1766" s="76" t="s">
        <v>1729</v>
      </c>
      <c r="J1766" s="77"/>
      <c r="K1766" s="78" t="s">
        <v>1933</v>
      </c>
      <c r="L1766" s="79"/>
    </row>
    <row r="1767" ht="22.5" customHeight="1">
      <c r="A1767" s="80">
        <v>948.0</v>
      </c>
      <c r="B1767" s="81" t="s">
        <v>2874</v>
      </c>
      <c r="C1767" s="82"/>
      <c r="D1767" s="80">
        <v>7.815078499E9</v>
      </c>
      <c r="E1767" s="72" t="s">
        <v>11</v>
      </c>
      <c r="F1767" s="82"/>
      <c r="G1767" s="83" t="s">
        <v>1931</v>
      </c>
      <c r="H1767" s="75" t="s">
        <v>1932</v>
      </c>
      <c r="I1767" s="76" t="s">
        <v>1729</v>
      </c>
      <c r="J1767" s="84"/>
      <c r="K1767" s="78" t="s">
        <v>1933</v>
      </c>
      <c r="L1767" s="79"/>
    </row>
    <row r="1768" ht="22.5" customHeight="1">
      <c r="A1768" s="71">
        <v>949.0</v>
      </c>
      <c r="B1768" s="72" t="s">
        <v>2578</v>
      </c>
      <c r="C1768" s="73"/>
      <c r="D1768" s="71">
        <v>7.978466382E9</v>
      </c>
      <c r="E1768" s="72" t="s">
        <v>11</v>
      </c>
      <c r="F1768" s="73"/>
      <c r="G1768" s="74" t="s">
        <v>1931</v>
      </c>
      <c r="H1768" s="75" t="s">
        <v>1932</v>
      </c>
      <c r="I1768" s="76" t="s">
        <v>1729</v>
      </c>
      <c r="J1768" s="77"/>
      <c r="K1768" s="78" t="s">
        <v>1933</v>
      </c>
      <c r="L1768" s="79"/>
    </row>
    <row r="1769" ht="22.5" customHeight="1">
      <c r="A1769" s="80">
        <v>950.0</v>
      </c>
      <c r="B1769" s="81" t="s">
        <v>2875</v>
      </c>
      <c r="C1769" s="82"/>
      <c r="D1769" s="80">
        <v>8.260874549E9</v>
      </c>
      <c r="E1769" s="72" t="s">
        <v>11</v>
      </c>
      <c r="F1769" s="82"/>
      <c r="G1769" s="83" t="s">
        <v>1931</v>
      </c>
      <c r="H1769" s="75" t="s">
        <v>1932</v>
      </c>
      <c r="I1769" s="87" t="s">
        <v>2581</v>
      </c>
      <c r="J1769" s="84"/>
      <c r="K1769" s="78" t="s">
        <v>1933</v>
      </c>
      <c r="L1769" s="79"/>
    </row>
    <row r="1770" ht="22.5" customHeight="1">
      <c r="A1770" s="71">
        <v>951.0</v>
      </c>
      <c r="B1770" s="72" t="s">
        <v>2876</v>
      </c>
      <c r="C1770" s="73"/>
      <c r="D1770" s="71">
        <v>8.658821051E9</v>
      </c>
      <c r="E1770" s="72" t="s">
        <v>11</v>
      </c>
      <c r="F1770" s="73"/>
      <c r="G1770" s="74" t="s">
        <v>1931</v>
      </c>
      <c r="H1770" s="75" t="s">
        <v>1932</v>
      </c>
      <c r="I1770" s="76" t="s">
        <v>1729</v>
      </c>
      <c r="J1770" s="77"/>
      <c r="K1770" s="78" t="s">
        <v>1933</v>
      </c>
      <c r="L1770" s="79"/>
    </row>
    <row r="1771" ht="22.5" customHeight="1">
      <c r="A1771" s="80">
        <v>952.0</v>
      </c>
      <c r="B1771" s="81" t="s">
        <v>2877</v>
      </c>
      <c r="C1771" s="82"/>
      <c r="D1771" s="80">
        <v>9.861017992E9</v>
      </c>
      <c r="E1771" s="72" t="s">
        <v>11</v>
      </c>
      <c r="F1771" s="82"/>
      <c r="G1771" s="83" t="s">
        <v>1931</v>
      </c>
      <c r="H1771" s="75" t="s">
        <v>1932</v>
      </c>
      <c r="I1771" s="76" t="s">
        <v>1729</v>
      </c>
      <c r="J1771" s="84"/>
      <c r="K1771" s="78" t="s">
        <v>1933</v>
      </c>
      <c r="L1771" s="79"/>
    </row>
    <row r="1772" ht="22.5" customHeight="1">
      <c r="A1772" s="71">
        <v>953.0</v>
      </c>
      <c r="B1772" s="72" t="s">
        <v>2878</v>
      </c>
      <c r="C1772" s="73"/>
      <c r="D1772" s="71">
        <v>9.163826254E9</v>
      </c>
      <c r="E1772" s="72" t="s">
        <v>11</v>
      </c>
      <c r="F1772" s="73"/>
      <c r="G1772" s="74" t="s">
        <v>1931</v>
      </c>
      <c r="H1772" s="75" t="s">
        <v>1932</v>
      </c>
      <c r="I1772" s="76" t="s">
        <v>1729</v>
      </c>
      <c r="J1772" s="77"/>
      <c r="K1772" s="78" t="s">
        <v>1933</v>
      </c>
      <c r="L1772" s="79"/>
    </row>
    <row r="1773" ht="22.5" customHeight="1">
      <c r="A1773" s="80">
        <v>954.0</v>
      </c>
      <c r="B1773" s="81" t="s">
        <v>2879</v>
      </c>
      <c r="C1773" s="82"/>
      <c r="D1773" s="80">
        <v>9.937231555E9</v>
      </c>
      <c r="E1773" s="72" t="s">
        <v>11</v>
      </c>
      <c r="F1773" s="82"/>
      <c r="G1773" s="83" t="s">
        <v>1931</v>
      </c>
      <c r="H1773" s="75" t="s">
        <v>1932</v>
      </c>
      <c r="I1773" s="87" t="s">
        <v>2581</v>
      </c>
      <c r="J1773" s="84"/>
      <c r="K1773" s="78" t="s">
        <v>1933</v>
      </c>
      <c r="L1773" s="79"/>
    </row>
    <row r="1774" ht="22.5" customHeight="1">
      <c r="A1774" s="71">
        <v>955.0</v>
      </c>
      <c r="B1774" s="72" t="s">
        <v>2880</v>
      </c>
      <c r="C1774" s="73"/>
      <c r="D1774" s="71">
        <v>9.40885517E9</v>
      </c>
      <c r="E1774" s="72" t="s">
        <v>11</v>
      </c>
      <c r="F1774" s="73"/>
      <c r="G1774" s="74" t="s">
        <v>1931</v>
      </c>
      <c r="H1774" s="75" t="s">
        <v>1932</v>
      </c>
      <c r="I1774" s="87" t="s">
        <v>2581</v>
      </c>
      <c r="J1774" s="77"/>
      <c r="K1774" s="78" t="s">
        <v>1933</v>
      </c>
      <c r="L1774" s="79"/>
    </row>
    <row r="1775" ht="22.5" customHeight="1">
      <c r="A1775" s="80">
        <v>956.0</v>
      </c>
      <c r="B1775" s="81" t="s">
        <v>2881</v>
      </c>
      <c r="C1775" s="82"/>
      <c r="D1775" s="80">
        <v>8.118082999E9</v>
      </c>
      <c r="E1775" s="72" t="s">
        <v>11</v>
      </c>
      <c r="F1775" s="82"/>
      <c r="G1775" s="83" t="s">
        <v>1931</v>
      </c>
      <c r="H1775" s="75" t="s">
        <v>1932</v>
      </c>
      <c r="I1775" s="76" t="s">
        <v>1729</v>
      </c>
      <c r="J1775" s="84"/>
      <c r="K1775" s="78" t="s">
        <v>1933</v>
      </c>
      <c r="L1775" s="79"/>
    </row>
    <row r="1776" ht="22.5" customHeight="1">
      <c r="A1776" s="71">
        <v>957.0</v>
      </c>
      <c r="B1776" s="72" t="s">
        <v>2882</v>
      </c>
      <c r="C1776" s="73"/>
      <c r="D1776" s="71">
        <v>9.937935579E9</v>
      </c>
      <c r="E1776" s="72" t="s">
        <v>11</v>
      </c>
      <c r="F1776" s="73"/>
      <c r="G1776" s="74" t="s">
        <v>1931</v>
      </c>
      <c r="H1776" s="75" t="s">
        <v>1932</v>
      </c>
      <c r="I1776" s="87" t="s">
        <v>2581</v>
      </c>
      <c r="J1776" s="77"/>
      <c r="K1776" s="78" t="s">
        <v>1933</v>
      </c>
      <c r="L1776" s="79"/>
    </row>
    <row r="1777" ht="22.5" customHeight="1">
      <c r="A1777" s="80">
        <v>958.0</v>
      </c>
      <c r="B1777" s="81" t="s">
        <v>2883</v>
      </c>
      <c r="C1777" s="82"/>
      <c r="D1777" s="80">
        <v>7.846844882E9</v>
      </c>
      <c r="E1777" s="72" t="s">
        <v>11</v>
      </c>
      <c r="F1777" s="82"/>
      <c r="G1777" s="83" t="s">
        <v>1931</v>
      </c>
      <c r="H1777" s="75" t="s">
        <v>1932</v>
      </c>
      <c r="I1777" s="87" t="s">
        <v>2581</v>
      </c>
      <c r="J1777" s="84"/>
      <c r="K1777" s="78" t="s">
        <v>1933</v>
      </c>
      <c r="L1777" s="79"/>
    </row>
    <row r="1778" ht="22.5" customHeight="1">
      <c r="A1778" s="71">
        <v>959.0</v>
      </c>
      <c r="B1778" s="72" t="s">
        <v>2884</v>
      </c>
      <c r="C1778" s="73"/>
      <c r="D1778" s="71">
        <v>9.439164979E9</v>
      </c>
      <c r="E1778" s="72" t="s">
        <v>11</v>
      </c>
      <c r="F1778" s="73"/>
      <c r="G1778" s="74" t="s">
        <v>1931</v>
      </c>
      <c r="H1778" s="75" t="s">
        <v>1932</v>
      </c>
      <c r="I1778" s="87" t="s">
        <v>2581</v>
      </c>
      <c r="J1778" s="77"/>
      <c r="K1778" s="78" t="s">
        <v>1933</v>
      </c>
      <c r="L1778" s="79"/>
    </row>
    <row r="1779" ht="22.5" customHeight="1">
      <c r="A1779" s="80">
        <v>960.0</v>
      </c>
      <c r="B1779" s="81" t="s">
        <v>2885</v>
      </c>
      <c r="C1779" s="82"/>
      <c r="D1779" s="80">
        <v>9.938087824E9</v>
      </c>
      <c r="E1779" s="72" t="s">
        <v>11</v>
      </c>
      <c r="F1779" s="82"/>
      <c r="G1779" s="83" t="s">
        <v>1931</v>
      </c>
      <c r="H1779" s="75" t="s">
        <v>1932</v>
      </c>
      <c r="I1779" s="87" t="s">
        <v>2581</v>
      </c>
      <c r="J1779" s="84"/>
      <c r="K1779" s="78" t="s">
        <v>1933</v>
      </c>
      <c r="L1779" s="79"/>
    </row>
    <row r="1780" ht="22.5" customHeight="1">
      <c r="A1780" s="71">
        <v>961.0</v>
      </c>
      <c r="B1780" s="72" t="s">
        <v>2886</v>
      </c>
      <c r="C1780" s="73"/>
      <c r="D1780" s="71">
        <v>8.658191212E9</v>
      </c>
      <c r="E1780" s="72" t="s">
        <v>11</v>
      </c>
      <c r="F1780" s="73"/>
      <c r="G1780" s="74" t="s">
        <v>1931</v>
      </c>
      <c r="H1780" s="75" t="s">
        <v>1932</v>
      </c>
      <c r="I1780" s="87" t="s">
        <v>2581</v>
      </c>
      <c r="J1780" s="77"/>
      <c r="K1780" s="78" t="s">
        <v>1933</v>
      </c>
      <c r="L1780" s="79"/>
    </row>
    <row r="1781" ht="22.5" customHeight="1">
      <c r="A1781" s="80">
        <v>962.0</v>
      </c>
      <c r="B1781" s="81" t="s">
        <v>2887</v>
      </c>
      <c r="C1781" s="82"/>
      <c r="D1781" s="80">
        <v>9.77758273E9</v>
      </c>
      <c r="E1781" s="72" t="s">
        <v>11</v>
      </c>
      <c r="F1781" s="82"/>
      <c r="G1781" s="83" t="s">
        <v>1931</v>
      </c>
      <c r="H1781" s="75" t="s">
        <v>1932</v>
      </c>
      <c r="I1781" s="87" t="s">
        <v>2581</v>
      </c>
      <c r="J1781" s="84"/>
      <c r="K1781" s="78" t="s">
        <v>1933</v>
      </c>
      <c r="L1781" s="79"/>
    </row>
    <row r="1782" ht="22.5" customHeight="1">
      <c r="A1782" s="71">
        <v>963.0</v>
      </c>
      <c r="B1782" s="72" t="s">
        <v>2888</v>
      </c>
      <c r="C1782" s="73"/>
      <c r="D1782" s="71">
        <v>9.938142944E9</v>
      </c>
      <c r="E1782" s="72" t="s">
        <v>11</v>
      </c>
      <c r="F1782" s="73"/>
      <c r="G1782" s="74" t="s">
        <v>1931</v>
      </c>
      <c r="H1782" s="75" t="s">
        <v>1932</v>
      </c>
      <c r="I1782" s="87" t="s">
        <v>2581</v>
      </c>
      <c r="J1782" s="77"/>
      <c r="K1782" s="78" t="s">
        <v>1933</v>
      </c>
      <c r="L1782" s="79"/>
    </row>
    <row r="1783" ht="22.5" customHeight="1">
      <c r="A1783" s="80">
        <v>964.0</v>
      </c>
      <c r="B1783" s="81" t="s">
        <v>2889</v>
      </c>
      <c r="C1783" s="82"/>
      <c r="D1783" s="80">
        <v>7.978309169E9</v>
      </c>
      <c r="E1783" s="72" t="s">
        <v>11</v>
      </c>
      <c r="F1783" s="82"/>
      <c r="G1783" s="83" t="s">
        <v>1931</v>
      </c>
      <c r="H1783" s="75" t="s">
        <v>1932</v>
      </c>
      <c r="I1783" s="87" t="s">
        <v>2581</v>
      </c>
      <c r="J1783" s="84"/>
      <c r="K1783" s="78" t="s">
        <v>1933</v>
      </c>
      <c r="L1783" s="79"/>
    </row>
    <row r="1784" ht="22.5" customHeight="1">
      <c r="A1784" s="71">
        <v>965.0</v>
      </c>
      <c r="B1784" s="72" t="s">
        <v>2890</v>
      </c>
      <c r="C1784" s="73"/>
      <c r="D1784" s="71">
        <v>7.974710731E9</v>
      </c>
      <c r="E1784" s="72" t="s">
        <v>11</v>
      </c>
      <c r="F1784" s="73"/>
      <c r="G1784" s="74" t="s">
        <v>1931</v>
      </c>
      <c r="H1784" s="75" t="s">
        <v>1932</v>
      </c>
      <c r="I1784" s="87" t="s">
        <v>2581</v>
      </c>
      <c r="J1784" s="77"/>
      <c r="K1784" s="78" t="s">
        <v>1933</v>
      </c>
      <c r="L1784" s="79"/>
    </row>
    <row r="1785" ht="22.5" customHeight="1">
      <c r="A1785" s="80">
        <v>966.0</v>
      </c>
      <c r="B1785" s="81" t="s">
        <v>2891</v>
      </c>
      <c r="C1785" s="82"/>
      <c r="D1785" s="80">
        <v>7.008676965E9</v>
      </c>
      <c r="E1785" s="72" t="s">
        <v>11</v>
      </c>
      <c r="F1785" s="82"/>
      <c r="G1785" s="83" t="s">
        <v>1931</v>
      </c>
      <c r="H1785" s="75" t="s">
        <v>1932</v>
      </c>
      <c r="I1785" s="87" t="s">
        <v>2581</v>
      </c>
      <c r="J1785" s="84"/>
      <c r="K1785" s="78" t="s">
        <v>1933</v>
      </c>
      <c r="L1785" s="79"/>
    </row>
    <row r="1786" ht="22.5" customHeight="1">
      <c r="A1786" s="71">
        <v>967.0</v>
      </c>
      <c r="B1786" s="72" t="s">
        <v>2892</v>
      </c>
      <c r="C1786" s="73"/>
      <c r="D1786" s="71">
        <v>8.249024272E9</v>
      </c>
      <c r="E1786" s="72" t="s">
        <v>11</v>
      </c>
      <c r="F1786" s="73"/>
      <c r="G1786" s="74" t="s">
        <v>1931</v>
      </c>
      <c r="H1786" s="75" t="s">
        <v>1932</v>
      </c>
      <c r="I1786" s="87" t="s">
        <v>2581</v>
      </c>
      <c r="J1786" s="77"/>
      <c r="K1786" s="78" t="s">
        <v>1933</v>
      </c>
      <c r="L1786" s="79"/>
    </row>
    <row r="1787" ht="22.5" customHeight="1">
      <c r="A1787" s="80">
        <v>968.0</v>
      </c>
      <c r="B1787" s="81" t="s">
        <v>2893</v>
      </c>
      <c r="C1787" s="82"/>
      <c r="D1787" s="80">
        <v>7.008522053E9</v>
      </c>
      <c r="E1787" s="72" t="s">
        <v>11</v>
      </c>
      <c r="F1787" s="82"/>
      <c r="G1787" s="83" t="s">
        <v>1931</v>
      </c>
      <c r="H1787" s="75" t="s">
        <v>1932</v>
      </c>
      <c r="I1787" s="87" t="s">
        <v>2581</v>
      </c>
      <c r="J1787" s="84"/>
      <c r="K1787" s="78" t="s">
        <v>1933</v>
      </c>
      <c r="L1787" s="79"/>
    </row>
    <row r="1788" ht="22.5" customHeight="1">
      <c r="A1788" s="71">
        <v>969.0</v>
      </c>
      <c r="B1788" s="72" t="s">
        <v>2894</v>
      </c>
      <c r="C1788" s="73"/>
      <c r="D1788" s="71">
        <v>9.556710123E9</v>
      </c>
      <c r="E1788" s="72" t="s">
        <v>11</v>
      </c>
      <c r="F1788" s="73"/>
      <c r="G1788" s="74" t="s">
        <v>1931</v>
      </c>
      <c r="H1788" s="75" t="s">
        <v>1932</v>
      </c>
      <c r="I1788" s="87" t="s">
        <v>2581</v>
      </c>
      <c r="J1788" s="77"/>
      <c r="K1788" s="78" t="s">
        <v>1933</v>
      </c>
      <c r="L1788" s="79"/>
    </row>
    <row r="1789" ht="22.5" customHeight="1">
      <c r="A1789" s="80">
        <v>970.0</v>
      </c>
      <c r="B1789" s="81" t="s">
        <v>2895</v>
      </c>
      <c r="C1789" s="82"/>
      <c r="D1789" s="80">
        <v>7.684839302E9</v>
      </c>
      <c r="E1789" s="72" t="s">
        <v>11</v>
      </c>
      <c r="F1789" s="82"/>
      <c r="G1789" s="83" t="s">
        <v>1931</v>
      </c>
      <c r="H1789" s="75" t="s">
        <v>1932</v>
      </c>
      <c r="I1789" s="76" t="s">
        <v>1729</v>
      </c>
      <c r="J1789" s="84"/>
      <c r="K1789" s="78" t="s">
        <v>1933</v>
      </c>
      <c r="L1789" s="79"/>
    </row>
    <row r="1790" ht="22.5" customHeight="1">
      <c r="A1790" s="71">
        <v>971.0</v>
      </c>
      <c r="B1790" s="72" t="s">
        <v>2896</v>
      </c>
      <c r="C1790" s="73"/>
      <c r="D1790" s="71">
        <v>8.249553452E9</v>
      </c>
      <c r="E1790" s="72" t="s">
        <v>11</v>
      </c>
      <c r="F1790" s="73"/>
      <c r="G1790" s="74" t="s">
        <v>1931</v>
      </c>
      <c r="H1790" s="75" t="s">
        <v>1932</v>
      </c>
      <c r="I1790" s="87" t="s">
        <v>2581</v>
      </c>
      <c r="J1790" s="77"/>
      <c r="K1790" s="78" t="s">
        <v>1933</v>
      </c>
      <c r="L1790" s="79"/>
    </row>
    <row r="1791" ht="22.5" customHeight="1">
      <c r="A1791" s="80">
        <v>972.0</v>
      </c>
      <c r="B1791" s="81" t="s">
        <v>2897</v>
      </c>
      <c r="C1791" s="82"/>
      <c r="D1791" s="80">
        <v>9.583384997E9</v>
      </c>
      <c r="E1791" s="72" t="s">
        <v>11</v>
      </c>
      <c r="F1791" s="82"/>
      <c r="G1791" s="83" t="s">
        <v>1931</v>
      </c>
      <c r="H1791" s="75" t="s">
        <v>1932</v>
      </c>
      <c r="I1791" s="87" t="s">
        <v>2581</v>
      </c>
      <c r="J1791" s="84"/>
      <c r="K1791" s="78" t="s">
        <v>1933</v>
      </c>
      <c r="L1791" s="79"/>
    </row>
    <row r="1792" ht="22.5" customHeight="1">
      <c r="A1792" s="71">
        <v>973.0</v>
      </c>
      <c r="B1792" s="72" t="s">
        <v>2898</v>
      </c>
      <c r="C1792" s="73"/>
      <c r="D1792" s="71">
        <v>9.827852788E9</v>
      </c>
      <c r="E1792" s="72" t="s">
        <v>11</v>
      </c>
      <c r="F1792" s="73"/>
      <c r="G1792" s="74" t="s">
        <v>1931</v>
      </c>
      <c r="H1792" s="75" t="s">
        <v>1932</v>
      </c>
      <c r="I1792" s="76" t="s">
        <v>1729</v>
      </c>
      <c r="J1792" s="77"/>
      <c r="K1792" s="78" t="s">
        <v>1933</v>
      </c>
      <c r="L1792" s="79"/>
    </row>
    <row r="1793" ht="22.5" customHeight="1">
      <c r="A1793" s="80">
        <v>974.0</v>
      </c>
      <c r="B1793" s="81" t="s">
        <v>2899</v>
      </c>
      <c r="C1793" s="82"/>
      <c r="D1793" s="80">
        <v>7.848068951E9</v>
      </c>
      <c r="E1793" s="72" t="s">
        <v>11</v>
      </c>
      <c r="F1793" s="82"/>
      <c r="G1793" s="83" t="s">
        <v>1931</v>
      </c>
      <c r="H1793" s="75" t="s">
        <v>1932</v>
      </c>
      <c r="I1793" s="87" t="s">
        <v>2581</v>
      </c>
      <c r="J1793" s="84"/>
      <c r="K1793" s="78" t="s">
        <v>1933</v>
      </c>
      <c r="L1793" s="79"/>
    </row>
    <row r="1794" ht="22.5" customHeight="1">
      <c r="A1794" s="71">
        <v>975.0</v>
      </c>
      <c r="B1794" s="72" t="s">
        <v>2900</v>
      </c>
      <c r="C1794" s="73"/>
      <c r="D1794" s="71">
        <v>7.029556362E9</v>
      </c>
      <c r="E1794" s="72" t="s">
        <v>11</v>
      </c>
      <c r="F1794" s="73"/>
      <c r="G1794" s="74" t="s">
        <v>1931</v>
      </c>
      <c r="H1794" s="75" t="s">
        <v>1932</v>
      </c>
      <c r="I1794" s="76" t="s">
        <v>1729</v>
      </c>
      <c r="J1794" s="77"/>
      <c r="K1794" s="78" t="s">
        <v>1933</v>
      </c>
      <c r="L1794" s="79"/>
    </row>
    <row r="1795" ht="22.5" customHeight="1">
      <c r="A1795" s="80">
        <v>976.0</v>
      </c>
      <c r="B1795" s="81" t="s">
        <v>2901</v>
      </c>
      <c r="C1795" s="82"/>
      <c r="D1795" s="80">
        <v>7.504459185E9</v>
      </c>
      <c r="E1795" s="72" t="s">
        <v>11</v>
      </c>
      <c r="F1795" s="82"/>
      <c r="G1795" s="83" t="s">
        <v>1931</v>
      </c>
      <c r="H1795" s="75" t="s">
        <v>1932</v>
      </c>
      <c r="I1795" s="87" t="s">
        <v>2581</v>
      </c>
      <c r="J1795" s="84"/>
      <c r="K1795" s="78" t="s">
        <v>1933</v>
      </c>
      <c r="L1795" s="79"/>
    </row>
    <row r="1796" ht="22.5" customHeight="1">
      <c r="A1796" s="71">
        <v>977.0</v>
      </c>
      <c r="B1796" s="72" t="s">
        <v>2902</v>
      </c>
      <c r="C1796" s="73"/>
      <c r="D1796" s="71">
        <v>9.861817092E9</v>
      </c>
      <c r="E1796" s="72" t="s">
        <v>11</v>
      </c>
      <c r="F1796" s="73"/>
      <c r="G1796" s="74" t="s">
        <v>1931</v>
      </c>
      <c r="H1796" s="75" t="s">
        <v>1932</v>
      </c>
      <c r="I1796" s="76" t="s">
        <v>1729</v>
      </c>
      <c r="J1796" s="77"/>
      <c r="K1796" s="78" t="s">
        <v>1933</v>
      </c>
      <c r="L1796" s="79"/>
    </row>
    <row r="1797" ht="22.5" customHeight="1">
      <c r="A1797" s="80">
        <v>978.0</v>
      </c>
      <c r="B1797" s="81" t="s">
        <v>2903</v>
      </c>
      <c r="C1797" s="82"/>
      <c r="D1797" s="80">
        <v>9.937490721E9</v>
      </c>
      <c r="E1797" s="72" t="s">
        <v>11</v>
      </c>
      <c r="F1797" s="82"/>
      <c r="G1797" s="83" t="s">
        <v>1931</v>
      </c>
      <c r="H1797" s="75" t="s">
        <v>1932</v>
      </c>
      <c r="I1797" s="87" t="s">
        <v>2581</v>
      </c>
      <c r="J1797" s="84"/>
      <c r="K1797" s="78" t="s">
        <v>1933</v>
      </c>
      <c r="L1797" s="79"/>
    </row>
    <row r="1798" ht="22.5" customHeight="1">
      <c r="A1798" s="71">
        <v>979.0</v>
      </c>
      <c r="B1798" s="72" t="s">
        <v>2904</v>
      </c>
      <c r="C1798" s="73"/>
      <c r="D1798" s="71">
        <v>9.861436403E9</v>
      </c>
      <c r="E1798" s="72" t="s">
        <v>11</v>
      </c>
      <c r="F1798" s="73"/>
      <c r="G1798" s="74" t="s">
        <v>1931</v>
      </c>
      <c r="H1798" s="75" t="s">
        <v>1932</v>
      </c>
      <c r="I1798" s="87" t="s">
        <v>2581</v>
      </c>
      <c r="J1798" s="77"/>
      <c r="K1798" s="78" t="s">
        <v>1933</v>
      </c>
      <c r="L1798" s="79"/>
    </row>
    <row r="1799" ht="22.5" customHeight="1">
      <c r="A1799" s="80">
        <v>980.0</v>
      </c>
      <c r="B1799" s="81" t="s">
        <v>2905</v>
      </c>
      <c r="C1799" s="82"/>
      <c r="D1799" s="80">
        <v>8.24980567E9</v>
      </c>
      <c r="E1799" s="72" t="s">
        <v>11</v>
      </c>
      <c r="F1799" s="82"/>
      <c r="G1799" s="83" t="s">
        <v>1931</v>
      </c>
      <c r="H1799" s="75" t="s">
        <v>1932</v>
      </c>
      <c r="I1799" s="87" t="s">
        <v>2581</v>
      </c>
      <c r="J1799" s="84"/>
      <c r="K1799" s="78" t="s">
        <v>1933</v>
      </c>
      <c r="L1799" s="79"/>
    </row>
    <row r="1800" ht="22.5" customHeight="1">
      <c r="A1800" s="71">
        <v>981.0</v>
      </c>
      <c r="B1800" s="72" t="s">
        <v>2906</v>
      </c>
      <c r="C1800" s="73"/>
      <c r="D1800" s="71">
        <v>6.370934501E9</v>
      </c>
      <c r="E1800" s="72" t="s">
        <v>11</v>
      </c>
      <c r="F1800" s="73"/>
      <c r="G1800" s="74" t="s">
        <v>1931</v>
      </c>
      <c r="H1800" s="75" t="s">
        <v>1932</v>
      </c>
      <c r="I1800" s="87" t="s">
        <v>2581</v>
      </c>
      <c r="J1800" s="77"/>
      <c r="K1800" s="78" t="s">
        <v>1933</v>
      </c>
      <c r="L1800" s="79"/>
    </row>
    <row r="1801" ht="22.5" customHeight="1">
      <c r="A1801" s="80">
        <v>982.0</v>
      </c>
      <c r="B1801" s="81" t="s">
        <v>2907</v>
      </c>
      <c r="C1801" s="82"/>
      <c r="D1801" s="80">
        <v>9.93776473E9</v>
      </c>
      <c r="E1801" s="72" t="s">
        <v>11</v>
      </c>
      <c r="F1801" s="82"/>
      <c r="G1801" s="83" t="s">
        <v>1931</v>
      </c>
      <c r="H1801" s="75" t="s">
        <v>1932</v>
      </c>
      <c r="I1801" s="76" t="s">
        <v>1729</v>
      </c>
      <c r="J1801" s="84"/>
      <c r="K1801" s="78" t="s">
        <v>1933</v>
      </c>
      <c r="L1801" s="79"/>
    </row>
    <row r="1802" ht="22.5" customHeight="1">
      <c r="A1802" s="71">
        <v>983.0</v>
      </c>
      <c r="B1802" s="72" t="s">
        <v>2908</v>
      </c>
      <c r="C1802" s="73"/>
      <c r="D1802" s="71">
        <v>7.846848682E9</v>
      </c>
      <c r="E1802" s="72" t="s">
        <v>11</v>
      </c>
      <c r="F1802" s="73"/>
      <c r="G1802" s="74" t="s">
        <v>1931</v>
      </c>
      <c r="H1802" s="75" t="s">
        <v>1932</v>
      </c>
      <c r="I1802" s="87" t="s">
        <v>2581</v>
      </c>
      <c r="J1802" s="77"/>
      <c r="K1802" s="78" t="s">
        <v>1933</v>
      </c>
      <c r="L1802" s="79"/>
    </row>
    <row r="1803" ht="22.5" customHeight="1">
      <c r="A1803" s="80">
        <v>984.0</v>
      </c>
      <c r="B1803" s="81" t="s">
        <v>2909</v>
      </c>
      <c r="C1803" s="82"/>
      <c r="D1803" s="80">
        <v>9.040945207E9</v>
      </c>
      <c r="E1803" s="72" t="s">
        <v>11</v>
      </c>
      <c r="F1803" s="82"/>
      <c r="G1803" s="83" t="s">
        <v>1931</v>
      </c>
      <c r="H1803" s="75" t="s">
        <v>1932</v>
      </c>
      <c r="I1803" s="87" t="s">
        <v>2581</v>
      </c>
      <c r="J1803" s="84"/>
      <c r="K1803" s="78" t="s">
        <v>1933</v>
      </c>
      <c r="L1803" s="79"/>
    </row>
    <row r="1804" ht="22.5" customHeight="1">
      <c r="A1804" s="71">
        <v>985.0</v>
      </c>
      <c r="B1804" s="72" t="s">
        <v>2910</v>
      </c>
      <c r="C1804" s="73"/>
      <c r="D1804" s="71">
        <v>8.455889311E9</v>
      </c>
      <c r="E1804" s="72" t="s">
        <v>11</v>
      </c>
      <c r="F1804" s="73"/>
      <c r="G1804" s="74" t="s">
        <v>1931</v>
      </c>
      <c r="H1804" s="75" t="s">
        <v>1932</v>
      </c>
      <c r="I1804" s="87" t="s">
        <v>2581</v>
      </c>
      <c r="J1804" s="77"/>
      <c r="K1804" s="78" t="s">
        <v>1933</v>
      </c>
      <c r="L1804" s="79"/>
    </row>
    <row r="1805" ht="22.5" customHeight="1">
      <c r="A1805" s="80">
        <v>986.0</v>
      </c>
      <c r="B1805" s="81" t="s">
        <v>2911</v>
      </c>
      <c r="C1805" s="82"/>
      <c r="D1805" s="80">
        <v>7.008539568E9</v>
      </c>
      <c r="E1805" s="72" t="s">
        <v>11</v>
      </c>
      <c r="F1805" s="82"/>
      <c r="G1805" s="83" t="s">
        <v>1931</v>
      </c>
      <c r="H1805" s="75" t="s">
        <v>1932</v>
      </c>
      <c r="I1805" s="87" t="s">
        <v>2581</v>
      </c>
      <c r="J1805" s="84"/>
      <c r="K1805" s="78" t="s">
        <v>1933</v>
      </c>
      <c r="L1805" s="79"/>
    </row>
    <row r="1806" ht="22.5" customHeight="1">
      <c r="A1806" s="71">
        <v>987.0</v>
      </c>
      <c r="B1806" s="72" t="s">
        <v>2912</v>
      </c>
      <c r="C1806" s="73"/>
      <c r="D1806" s="71">
        <v>8.144914202E9</v>
      </c>
      <c r="E1806" s="72" t="s">
        <v>11</v>
      </c>
      <c r="F1806" s="73"/>
      <c r="G1806" s="74" t="s">
        <v>1931</v>
      </c>
      <c r="H1806" s="75" t="s">
        <v>1932</v>
      </c>
      <c r="I1806" s="87" t="s">
        <v>2581</v>
      </c>
      <c r="J1806" s="77"/>
      <c r="K1806" s="78" t="s">
        <v>1933</v>
      </c>
      <c r="L1806" s="79"/>
    </row>
    <row r="1807" ht="22.5" customHeight="1">
      <c r="A1807" s="80">
        <v>988.0</v>
      </c>
      <c r="B1807" s="81" t="s">
        <v>2913</v>
      </c>
      <c r="C1807" s="82"/>
      <c r="D1807" s="80">
        <v>9.937209754E9</v>
      </c>
      <c r="E1807" s="72" t="s">
        <v>11</v>
      </c>
      <c r="F1807" s="82"/>
      <c r="G1807" s="83" t="s">
        <v>1931</v>
      </c>
      <c r="H1807" s="75" t="s">
        <v>1932</v>
      </c>
      <c r="I1807" s="87" t="s">
        <v>2581</v>
      </c>
      <c r="J1807" s="84"/>
      <c r="K1807" s="78" t="s">
        <v>1933</v>
      </c>
      <c r="L1807" s="79"/>
    </row>
    <row r="1808" ht="22.5" customHeight="1">
      <c r="A1808" s="71">
        <v>989.0</v>
      </c>
      <c r="B1808" s="72" t="s">
        <v>2914</v>
      </c>
      <c r="C1808" s="73"/>
      <c r="D1808" s="71">
        <v>9.437231196E9</v>
      </c>
      <c r="E1808" s="72" t="s">
        <v>11</v>
      </c>
      <c r="F1808" s="73"/>
      <c r="G1808" s="74" t="s">
        <v>1931</v>
      </c>
      <c r="H1808" s="75" t="s">
        <v>1932</v>
      </c>
      <c r="I1808" s="87" t="s">
        <v>2581</v>
      </c>
      <c r="J1808" s="77"/>
      <c r="K1808" s="78" t="s">
        <v>1933</v>
      </c>
      <c r="L1808" s="79"/>
    </row>
    <row r="1809" ht="22.5" customHeight="1">
      <c r="A1809" s="80">
        <v>990.0</v>
      </c>
      <c r="B1809" s="81" t="s">
        <v>2915</v>
      </c>
      <c r="C1809" s="82"/>
      <c r="D1809" s="80">
        <v>7.815018459E9</v>
      </c>
      <c r="E1809" s="72" t="s">
        <v>11</v>
      </c>
      <c r="F1809" s="82"/>
      <c r="G1809" s="83" t="s">
        <v>1931</v>
      </c>
      <c r="H1809" s="75" t="s">
        <v>1932</v>
      </c>
      <c r="I1809" s="87" t="s">
        <v>2581</v>
      </c>
      <c r="J1809" s="84"/>
      <c r="K1809" s="78" t="s">
        <v>1933</v>
      </c>
      <c r="L1809" s="79"/>
    </row>
    <row r="1810" ht="22.5" customHeight="1">
      <c r="A1810" s="71">
        <v>991.0</v>
      </c>
      <c r="B1810" s="72" t="s">
        <v>2916</v>
      </c>
      <c r="C1810" s="73"/>
      <c r="D1810" s="71">
        <v>9.668463699E9</v>
      </c>
      <c r="E1810" s="72" t="s">
        <v>11</v>
      </c>
      <c r="F1810" s="73"/>
      <c r="G1810" s="74" t="s">
        <v>1931</v>
      </c>
      <c r="H1810" s="75" t="s">
        <v>1932</v>
      </c>
      <c r="I1810" s="87" t="s">
        <v>2581</v>
      </c>
      <c r="J1810" s="77"/>
      <c r="K1810" s="78" t="s">
        <v>1933</v>
      </c>
      <c r="L1810" s="79"/>
    </row>
    <row r="1811" ht="22.5" customHeight="1">
      <c r="A1811" s="80">
        <v>992.0</v>
      </c>
      <c r="B1811" s="81" t="s">
        <v>2917</v>
      </c>
      <c r="C1811" s="82"/>
      <c r="D1811" s="80">
        <v>7.854825325E9</v>
      </c>
      <c r="E1811" s="72" t="s">
        <v>11</v>
      </c>
      <c r="F1811" s="82"/>
      <c r="G1811" s="83" t="s">
        <v>1931</v>
      </c>
      <c r="H1811" s="75" t="s">
        <v>1932</v>
      </c>
      <c r="I1811" s="87" t="s">
        <v>2581</v>
      </c>
      <c r="J1811" s="84"/>
      <c r="K1811" s="78" t="s">
        <v>1933</v>
      </c>
      <c r="L1811" s="79"/>
    </row>
    <row r="1812" ht="22.5" customHeight="1">
      <c r="A1812" s="71">
        <v>993.0</v>
      </c>
      <c r="B1812" s="72" t="s">
        <v>2918</v>
      </c>
      <c r="C1812" s="73"/>
      <c r="D1812" s="71">
        <v>8.837477427E9</v>
      </c>
      <c r="E1812" s="72" t="s">
        <v>11</v>
      </c>
      <c r="F1812" s="73"/>
      <c r="G1812" s="74" t="s">
        <v>1931</v>
      </c>
      <c r="H1812" s="75" t="s">
        <v>1932</v>
      </c>
      <c r="I1812" s="87" t="s">
        <v>2581</v>
      </c>
      <c r="J1812" s="77"/>
      <c r="K1812" s="78" t="s">
        <v>1933</v>
      </c>
      <c r="L1812" s="79"/>
    </row>
    <row r="1813" ht="22.5" customHeight="1">
      <c r="A1813" s="80">
        <v>994.0</v>
      </c>
      <c r="B1813" s="81" t="s">
        <v>2919</v>
      </c>
      <c r="C1813" s="81" t="s">
        <v>2920</v>
      </c>
      <c r="D1813" s="80">
        <v>8.24988817E9</v>
      </c>
      <c r="E1813" s="72" t="s">
        <v>11</v>
      </c>
      <c r="F1813" s="81" t="s">
        <v>90</v>
      </c>
      <c r="G1813" s="83" t="s">
        <v>1931</v>
      </c>
      <c r="H1813" s="75" t="s">
        <v>1932</v>
      </c>
      <c r="I1813" s="87" t="s">
        <v>2581</v>
      </c>
      <c r="J1813" s="84"/>
      <c r="K1813" s="78" t="s">
        <v>1933</v>
      </c>
      <c r="L1813" s="79"/>
    </row>
    <row r="1814" ht="22.5" customHeight="1">
      <c r="A1814" s="71">
        <v>995.0</v>
      </c>
      <c r="B1814" s="72" t="s">
        <v>2496</v>
      </c>
      <c r="C1814" s="73"/>
      <c r="D1814" s="71">
        <v>7.064083271E9</v>
      </c>
      <c r="E1814" s="72" t="s">
        <v>11</v>
      </c>
      <c r="F1814" s="73"/>
      <c r="G1814" s="74" t="s">
        <v>1931</v>
      </c>
      <c r="H1814" s="75" t="s">
        <v>1932</v>
      </c>
      <c r="I1814" s="87" t="s">
        <v>2581</v>
      </c>
      <c r="J1814" s="77"/>
      <c r="K1814" s="78" t="s">
        <v>1933</v>
      </c>
      <c r="L1814" s="79"/>
    </row>
    <row r="1815" ht="22.5" customHeight="1">
      <c r="A1815" s="80">
        <v>996.0</v>
      </c>
      <c r="B1815" s="81" t="s">
        <v>2921</v>
      </c>
      <c r="C1815" s="82"/>
      <c r="D1815" s="80">
        <v>9.178277227E9</v>
      </c>
      <c r="E1815" s="72" t="s">
        <v>11</v>
      </c>
      <c r="F1815" s="81" t="s">
        <v>133</v>
      </c>
      <c r="G1815" s="83" t="s">
        <v>1931</v>
      </c>
      <c r="H1815" s="75" t="s">
        <v>1932</v>
      </c>
      <c r="I1815" s="87" t="s">
        <v>2581</v>
      </c>
      <c r="J1815" s="84"/>
      <c r="K1815" s="78" t="s">
        <v>1933</v>
      </c>
      <c r="L1815" s="79"/>
    </row>
    <row r="1816" ht="22.5" customHeight="1">
      <c r="A1816" s="71">
        <v>997.0</v>
      </c>
      <c r="B1816" s="72" t="s">
        <v>2922</v>
      </c>
      <c r="C1816" s="72" t="s">
        <v>2923</v>
      </c>
      <c r="D1816" s="71">
        <v>9.337415475E9</v>
      </c>
      <c r="E1816" s="72" t="s">
        <v>11</v>
      </c>
      <c r="F1816" s="72" t="s">
        <v>2924</v>
      </c>
      <c r="G1816" s="74" t="s">
        <v>1931</v>
      </c>
      <c r="H1816" s="75" t="s">
        <v>1932</v>
      </c>
      <c r="I1816" s="76" t="s">
        <v>1729</v>
      </c>
      <c r="J1816" s="77"/>
      <c r="K1816" s="78" t="s">
        <v>1933</v>
      </c>
      <c r="L1816" s="79"/>
    </row>
    <row r="1817" ht="22.5" customHeight="1">
      <c r="A1817" s="80">
        <v>998.0</v>
      </c>
      <c r="B1817" s="81" t="s">
        <v>483</v>
      </c>
      <c r="C1817" s="81" t="s">
        <v>2925</v>
      </c>
      <c r="D1817" s="80">
        <v>8.32891838E9</v>
      </c>
      <c r="E1817" s="72" t="s">
        <v>11</v>
      </c>
      <c r="F1817" s="81" t="s">
        <v>385</v>
      </c>
      <c r="G1817" s="83" t="s">
        <v>1931</v>
      </c>
      <c r="H1817" s="75" t="s">
        <v>1932</v>
      </c>
      <c r="I1817" s="87" t="s">
        <v>2581</v>
      </c>
      <c r="J1817" s="84"/>
      <c r="K1817" s="78" t="s">
        <v>1933</v>
      </c>
      <c r="L1817" s="79"/>
    </row>
    <row r="1818" ht="22.5" customHeight="1">
      <c r="A1818" s="71">
        <v>999.0</v>
      </c>
      <c r="B1818" s="72" t="s">
        <v>2926</v>
      </c>
      <c r="C1818" s="73"/>
      <c r="D1818" s="71">
        <v>7.894630337E9</v>
      </c>
      <c r="E1818" s="72" t="s">
        <v>11</v>
      </c>
      <c r="F1818" s="73"/>
      <c r="G1818" s="74" t="s">
        <v>1931</v>
      </c>
      <c r="H1818" s="75" t="s">
        <v>1932</v>
      </c>
      <c r="I1818" s="87" t="s">
        <v>2581</v>
      </c>
      <c r="J1818" s="77"/>
      <c r="K1818" s="78" t="s">
        <v>1933</v>
      </c>
      <c r="L1818" s="79"/>
    </row>
    <row r="1819" ht="22.5" customHeight="1">
      <c r="A1819" s="80">
        <v>1000.0</v>
      </c>
      <c r="B1819" s="81" t="s">
        <v>2927</v>
      </c>
      <c r="C1819" s="82"/>
      <c r="D1819" s="80">
        <v>8.26053121E9</v>
      </c>
      <c r="E1819" s="72" t="s">
        <v>11</v>
      </c>
      <c r="F1819" s="82"/>
      <c r="G1819" s="83" t="s">
        <v>1931</v>
      </c>
      <c r="H1819" s="75" t="s">
        <v>1932</v>
      </c>
      <c r="I1819" s="87" t="s">
        <v>2581</v>
      </c>
      <c r="J1819" s="84"/>
      <c r="K1819" s="78" t="s">
        <v>1933</v>
      </c>
      <c r="L1819" s="79"/>
    </row>
    <row r="1820" ht="22.5" customHeight="1">
      <c r="A1820" s="71">
        <v>1001.0</v>
      </c>
      <c r="B1820" s="72" t="s">
        <v>2928</v>
      </c>
      <c r="C1820" s="73"/>
      <c r="D1820" s="71">
        <v>8.59899293E9</v>
      </c>
      <c r="E1820" s="72" t="s">
        <v>11</v>
      </c>
      <c r="F1820" s="73"/>
      <c r="G1820" s="74" t="s">
        <v>1931</v>
      </c>
      <c r="H1820" s="75" t="s">
        <v>1932</v>
      </c>
      <c r="I1820" s="87" t="s">
        <v>2581</v>
      </c>
      <c r="J1820" s="77"/>
      <c r="K1820" s="78" t="s">
        <v>1933</v>
      </c>
      <c r="L1820" s="79"/>
    </row>
    <row r="1821" ht="22.5" customHeight="1">
      <c r="A1821" s="80">
        <v>1002.0</v>
      </c>
      <c r="B1821" s="81" t="s">
        <v>2929</v>
      </c>
      <c r="C1821" s="82"/>
      <c r="D1821" s="80">
        <v>9.937374308E9</v>
      </c>
      <c r="E1821" s="72" t="s">
        <v>11</v>
      </c>
      <c r="F1821" s="82"/>
      <c r="G1821" s="83" t="s">
        <v>1931</v>
      </c>
      <c r="H1821" s="75" t="s">
        <v>1932</v>
      </c>
      <c r="I1821" s="87" t="s">
        <v>2581</v>
      </c>
      <c r="J1821" s="84"/>
      <c r="K1821" s="78" t="s">
        <v>1933</v>
      </c>
      <c r="L1821" s="79"/>
    </row>
    <row r="1822" ht="22.5" customHeight="1">
      <c r="A1822" s="71">
        <v>1003.0</v>
      </c>
      <c r="B1822" s="72" t="s">
        <v>2930</v>
      </c>
      <c r="C1822" s="73"/>
      <c r="D1822" s="71">
        <v>9.040001007E9</v>
      </c>
      <c r="E1822" s="72" t="s">
        <v>11</v>
      </c>
      <c r="F1822" s="73"/>
      <c r="G1822" s="74" t="s">
        <v>1931</v>
      </c>
      <c r="H1822" s="75" t="s">
        <v>1932</v>
      </c>
      <c r="I1822" s="87" t="s">
        <v>2581</v>
      </c>
      <c r="J1822" s="77"/>
      <c r="K1822" s="78" t="s">
        <v>1933</v>
      </c>
      <c r="L1822" s="79"/>
    </row>
    <row r="1823" ht="22.5" customHeight="1">
      <c r="A1823" s="80">
        <v>1004.0</v>
      </c>
      <c r="B1823" s="81" t="s">
        <v>2931</v>
      </c>
      <c r="C1823" s="82"/>
      <c r="D1823" s="80">
        <v>7.00850521E9</v>
      </c>
      <c r="E1823" s="72" t="s">
        <v>11</v>
      </c>
      <c r="F1823" s="82"/>
      <c r="G1823" s="83" t="s">
        <v>1931</v>
      </c>
      <c r="H1823" s="75" t="s">
        <v>1932</v>
      </c>
      <c r="I1823" s="87" t="s">
        <v>2581</v>
      </c>
      <c r="J1823" s="84"/>
      <c r="K1823" s="78" t="s">
        <v>1933</v>
      </c>
      <c r="L1823" s="79"/>
    </row>
    <row r="1824" ht="22.5" customHeight="1">
      <c r="A1824" s="71">
        <v>1005.0</v>
      </c>
      <c r="B1824" s="72" t="s">
        <v>2932</v>
      </c>
      <c r="C1824" s="73"/>
      <c r="D1824" s="71">
        <v>7.894864202E9</v>
      </c>
      <c r="E1824" s="72" t="s">
        <v>11</v>
      </c>
      <c r="F1824" s="73"/>
      <c r="G1824" s="74" t="s">
        <v>1931</v>
      </c>
      <c r="H1824" s="75" t="s">
        <v>1932</v>
      </c>
      <c r="I1824" s="76" t="s">
        <v>1729</v>
      </c>
      <c r="J1824" s="77"/>
      <c r="K1824" s="78" t="s">
        <v>1933</v>
      </c>
      <c r="L1824" s="79"/>
    </row>
    <row r="1825" ht="22.5" customHeight="1">
      <c r="A1825" s="80">
        <v>1006.0</v>
      </c>
      <c r="B1825" s="81" t="s">
        <v>2933</v>
      </c>
      <c r="C1825" s="82"/>
      <c r="D1825" s="80">
        <v>7.735592937E9</v>
      </c>
      <c r="E1825" s="72" t="s">
        <v>11</v>
      </c>
      <c r="F1825" s="82"/>
      <c r="G1825" s="83" t="s">
        <v>1931</v>
      </c>
      <c r="H1825" s="75" t="s">
        <v>1932</v>
      </c>
      <c r="I1825" s="76" t="s">
        <v>1729</v>
      </c>
      <c r="J1825" s="84"/>
      <c r="K1825" s="78" t="s">
        <v>1933</v>
      </c>
      <c r="L1825" s="79"/>
    </row>
    <row r="1826" ht="22.5" customHeight="1">
      <c r="A1826" s="71">
        <v>1007.0</v>
      </c>
      <c r="B1826" s="72" t="s">
        <v>2934</v>
      </c>
      <c r="C1826" s="73"/>
      <c r="D1826" s="71">
        <v>8.327743062E9</v>
      </c>
      <c r="E1826" s="72" t="s">
        <v>11</v>
      </c>
      <c r="F1826" s="73"/>
      <c r="G1826" s="74" t="s">
        <v>1931</v>
      </c>
      <c r="H1826" s="75" t="s">
        <v>1932</v>
      </c>
      <c r="I1826" s="87" t="s">
        <v>2581</v>
      </c>
      <c r="J1826" s="77"/>
      <c r="K1826" s="78" t="s">
        <v>1933</v>
      </c>
      <c r="L1826" s="79"/>
    </row>
    <row r="1827" ht="22.5" customHeight="1">
      <c r="A1827" s="80">
        <v>1008.0</v>
      </c>
      <c r="B1827" s="81" t="s">
        <v>2935</v>
      </c>
      <c r="C1827" s="82"/>
      <c r="D1827" s="80">
        <v>6.201769413E9</v>
      </c>
      <c r="E1827" s="72" t="s">
        <v>11</v>
      </c>
      <c r="F1827" s="82"/>
      <c r="G1827" s="83" t="s">
        <v>1931</v>
      </c>
      <c r="H1827" s="75" t="s">
        <v>1932</v>
      </c>
      <c r="I1827" s="87" t="s">
        <v>2581</v>
      </c>
      <c r="J1827" s="84"/>
      <c r="K1827" s="78" t="s">
        <v>1933</v>
      </c>
      <c r="L1827" s="79"/>
    </row>
    <row r="1828" ht="22.5" customHeight="1">
      <c r="A1828" s="71">
        <v>1009.0</v>
      </c>
      <c r="B1828" s="72" t="s">
        <v>2936</v>
      </c>
      <c r="C1828" s="73"/>
      <c r="D1828" s="71">
        <v>9.437037267E9</v>
      </c>
      <c r="E1828" s="72" t="s">
        <v>11</v>
      </c>
      <c r="F1828" s="73"/>
      <c r="G1828" s="74" t="s">
        <v>1931</v>
      </c>
      <c r="H1828" s="75" t="s">
        <v>1932</v>
      </c>
      <c r="I1828" s="76" t="s">
        <v>1729</v>
      </c>
      <c r="J1828" s="77"/>
      <c r="K1828" s="78" t="s">
        <v>1933</v>
      </c>
      <c r="L1828" s="79"/>
    </row>
    <row r="1829" ht="22.5" customHeight="1">
      <c r="A1829" s="80">
        <v>1010.0</v>
      </c>
      <c r="B1829" s="81" t="s">
        <v>2937</v>
      </c>
      <c r="C1829" s="82"/>
      <c r="D1829" s="80">
        <v>8.945903923E9</v>
      </c>
      <c r="E1829" s="81" t="s">
        <v>11</v>
      </c>
      <c r="F1829" s="82"/>
      <c r="G1829" s="83" t="s">
        <v>1931</v>
      </c>
      <c r="H1829" s="75" t="s">
        <v>1932</v>
      </c>
      <c r="I1829" s="76" t="s">
        <v>1729</v>
      </c>
      <c r="J1829" s="84"/>
      <c r="K1829" s="78" t="s">
        <v>1933</v>
      </c>
      <c r="L1829" s="79"/>
    </row>
    <row r="1830" ht="22.5" customHeight="1">
      <c r="A1830" s="71">
        <v>1011.0</v>
      </c>
      <c r="B1830" s="72" t="s">
        <v>2938</v>
      </c>
      <c r="C1830" s="73"/>
      <c r="D1830" s="71">
        <v>9.861104018E9</v>
      </c>
      <c r="E1830" s="72" t="s">
        <v>11</v>
      </c>
      <c r="F1830" s="73"/>
      <c r="G1830" s="74" t="s">
        <v>1931</v>
      </c>
      <c r="H1830" s="75" t="s">
        <v>1932</v>
      </c>
      <c r="I1830" s="76" t="s">
        <v>1729</v>
      </c>
      <c r="J1830" s="77"/>
      <c r="K1830" s="78" t="s">
        <v>1933</v>
      </c>
      <c r="L1830" s="79"/>
    </row>
    <row r="1831" ht="22.5" customHeight="1">
      <c r="A1831" s="80">
        <v>1012.0</v>
      </c>
      <c r="B1831" s="81" t="s">
        <v>2939</v>
      </c>
      <c r="C1831" s="82"/>
      <c r="D1831" s="80">
        <v>9.556289924E9</v>
      </c>
      <c r="E1831" s="81" t="s">
        <v>11</v>
      </c>
      <c r="F1831" s="82"/>
      <c r="G1831" s="83" t="s">
        <v>1931</v>
      </c>
      <c r="H1831" s="75" t="s">
        <v>1932</v>
      </c>
      <c r="I1831" s="87" t="s">
        <v>2581</v>
      </c>
      <c r="J1831" s="84"/>
      <c r="K1831" s="78" t="s">
        <v>1933</v>
      </c>
      <c r="L1831" s="79"/>
    </row>
    <row r="1832" ht="22.5" customHeight="1">
      <c r="A1832" s="71">
        <v>1013.0</v>
      </c>
      <c r="B1832" s="72" t="s">
        <v>2940</v>
      </c>
      <c r="C1832" s="73"/>
      <c r="D1832" s="71">
        <v>9.437341226E9</v>
      </c>
      <c r="E1832" s="72" t="s">
        <v>11</v>
      </c>
      <c r="F1832" s="73"/>
      <c r="G1832" s="74" t="s">
        <v>1931</v>
      </c>
      <c r="H1832" s="75" t="s">
        <v>1932</v>
      </c>
      <c r="I1832" s="76" t="s">
        <v>1729</v>
      </c>
      <c r="J1832" s="77"/>
      <c r="K1832" s="78" t="s">
        <v>1933</v>
      </c>
      <c r="L1832" s="79"/>
    </row>
    <row r="1833" ht="22.5" customHeight="1">
      <c r="A1833" s="80">
        <v>1014.0</v>
      </c>
      <c r="B1833" s="81" t="s">
        <v>2941</v>
      </c>
      <c r="C1833" s="82"/>
      <c r="D1833" s="80">
        <v>8.984209499E9</v>
      </c>
      <c r="E1833" s="81" t="s">
        <v>11</v>
      </c>
      <c r="F1833" s="82"/>
      <c r="G1833" s="83" t="s">
        <v>1931</v>
      </c>
      <c r="H1833" s="75" t="s">
        <v>1932</v>
      </c>
      <c r="I1833" s="87" t="s">
        <v>2581</v>
      </c>
      <c r="J1833" s="84"/>
      <c r="K1833" s="78" t="s">
        <v>1933</v>
      </c>
      <c r="L1833" s="79"/>
    </row>
    <row r="1834" ht="22.5" customHeight="1">
      <c r="A1834" s="71">
        <v>1015.0</v>
      </c>
      <c r="B1834" s="72" t="s">
        <v>2942</v>
      </c>
      <c r="C1834" s="73"/>
      <c r="D1834" s="71">
        <v>9.937110117E9</v>
      </c>
      <c r="E1834" s="72" t="s">
        <v>11</v>
      </c>
      <c r="F1834" s="73"/>
      <c r="G1834" s="74" t="s">
        <v>1931</v>
      </c>
      <c r="H1834" s="75" t="s">
        <v>1932</v>
      </c>
      <c r="I1834" s="87" t="s">
        <v>2581</v>
      </c>
      <c r="J1834" s="77"/>
      <c r="K1834" s="78" t="s">
        <v>1933</v>
      </c>
      <c r="L1834" s="79"/>
    </row>
    <row r="1835" ht="22.5" customHeight="1">
      <c r="A1835" s="80">
        <v>1016.0</v>
      </c>
      <c r="B1835" s="81" t="s">
        <v>2943</v>
      </c>
      <c r="C1835" s="82"/>
      <c r="D1835" s="80">
        <v>8.839300345E9</v>
      </c>
      <c r="E1835" s="81" t="s">
        <v>11</v>
      </c>
      <c r="F1835" s="82"/>
      <c r="G1835" s="83" t="s">
        <v>1931</v>
      </c>
      <c r="H1835" s="75" t="s">
        <v>1932</v>
      </c>
      <c r="I1835" s="76" t="s">
        <v>1729</v>
      </c>
      <c r="J1835" s="84"/>
      <c r="K1835" s="78" t="s">
        <v>1933</v>
      </c>
      <c r="L1835" s="79"/>
    </row>
    <row r="1836" ht="22.5" customHeight="1">
      <c r="A1836" s="71">
        <v>1017.0</v>
      </c>
      <c r="B1836" s="72" t="s">
        <v>2944</v>
      </c>
      <c r="C1836" s="73"/>
      <c r="D1836" s="71">
        <v>9.348746331E9</v>
      </c>
      <c r="E1836" s="72" t="s">
        <v>11</v>
      </c>
      <c r="F1836" s="73"/>
      <c r="G1836" s="74" t="s">
        <v>1931</v>
      </c>
      <c r="H1836" s="75" t="s">
        <v>1932</v>
      </c>
      <c r="I1836" s="76" t="s">
        <v>1729</v>
      </c>
      <c r="J1836" s="77"/>
      <c r="K1836" s="78" t="s">
        <v>1933</v>
      </c>
      <c r="L1836" s="79"/>
    </row>
    <row r="1837" ht="22.5" customHeight="1">
      <c r="A1837" s="80">
        <v>1018.0</v>
      </c>
      <c r="B1837" s="81" t="s">
        <v>2945</v>
      </c>
      <c r="C1837" s="82"/>
      <c r="D1837" s="80">
        <v>7.606038455E9</v>
      </c>
      <c r="E1837" s="81" t="s">
        <v>11</v>
      </c>
      <c r="F1837" s="82"/>
      <c r="G1837" s="83" t="s">
        <v>1931</v>
      </c>
      <c r="H1837" s="75" t="s">
        <v>1932</v>
      </c>
      <c r="I1837" s="76" t="s">
        <v>1729</v>
      </c>
      <c r="J1837" s="84"/>
      <c r="K1837" s="78" t="s">
        <v>1933</v>
      </c>
      <c r="L1837" s="79"/>
    </row>
    <row r="1838" ht="22.5" customHeight="1">
      <c r="A1838" s="71">
        <v>1019.0</v>
      </c>
      <c r="B1838" s="72" t="s">
        <v>2946</v>
      </c>
      <c r="C1838" s="73"/>
      <c r="D1838" s="71">
        <v>8.658020121E9</v>
      </c>
      <c r="E1838" s="72" t="s">
        <v>11</v>
      </c>
      <c r="F1838" s="73"/>
      <c r="G1838" s="74" t="s">
        <v>1931</v>
      </c>
      <c r="H1838" s="75" t="s">
        <v>1932</v>
      </c>
      <c r="I1838" s="76" t="s">
        <v>1729</v>
      </c>
      <c r="J1838" s="77"/>
      <c r="K1838" s="78" t="s">
        <v>1933</v>
      </c>
      <c r="L1838" s="79"/>
    </row>
    <row r="1839" ht="22.5" customHeight="1">
      <c r="A1839" s="80">
        <v>1020.0</v>
      </c>
      <c r="B1839" s="81" t="s">
        <v>2947</v>
      </c>
      <c r="C1839" s="82"/>
      <c r="D1839" s="80">
        <v>7.682976269E9</v>
      </c>
      <c r="E1839" s="81" t="s">
        <v>11</v>
      </c>
      <c r="F1839" s="82"/>
      <c r="G1839" s="83" t="s">
        <v>1931</v>
      </c>
      <c r="H1839" s="75" t="s">
        <v>1932</v>
      </c>
      <c r="I1839" s="87" t="s">
        <v>2581</v>
      </c>
      <c r="J1839" s="84"/>
      <c r="K1839" s="78" t="s">
        <v>1933</v>
      </c>
      <c r="L1839" s="79"/>
    </row>
    <row r="1840" ht="22.5" customHeight="1">
      <c r="A1840" s="71">
        <v>1021.0</v>
      </c>
      <c r="B1840" s="72" t="s">
        <v>2948</v>
      </c>
      <c r="C1840" s="73"/>
      <c r="D1840" s="71">
        <v>9.777824624E9</v>
      </c>
      <c r="E1840" s="72" t="s">
        <v>11</v>
      </c>
      <c r="F1840" s="73"/>
      <c r="G1840" s="74" t="s">
        <v>1931</v>
      </c>
      <c r="H1840" s="75" t="s">
        <v>1932</v>
      </c>
      <c r="I1840" s="87" t="s">
        <v>2581</v>
      </c>
      <c r="J1840" s="77"/>
      <c r="K1840" s="78" t="s">
        <v>1933</v>
      </c>
      <c r="L1840" s="79"/>
    </row>
    <row r="1841" ht="22.5" customHeight="1">
      <c r="A1841" s="80">
        <v>1022.0</v>
      </c>
      <c r="B1841" s="81" t="s">
        <v>2949</v>
      </c>
      <c r="C1841" s="82"/>
      <c r="D1841" s="80">
        <v>6.371771257E9</v>
      </c>
      <c r="E1841" s="81" t="s">
        <v>11</v>
      </c>
      <c r="F1841" s="82"/>
      <c r="G1841" s="83" t="s">
        <v>1931</v>
      </c>
      <c r="H1841" s="75" t="s">
        <v>1932</v>
      </c>
      <c r="I1841" s="76" t="s">
        <v>1729</v>
      </c>
      <c r="J1841" s="84"/>
      <c r="K1841" s="78" t="s">
        <v>1933</v>
      </c>
      <c r="L1841" s="79"/>
    </row>
    <row r="1842" ht="22.5" customHeight="1">
      <c r="A1842" s="71">
        <v>1023.0</v>
      </c>
      <c r="B1842" s="72" t="s">
        <v>2950</v>
      </c>
      <c r="C1842" s="73"/>
      <c r="D1842" s="71">
        <v>9.937695097E9</v>
      </c>
      <c r="E1842" s="72" t="s">
        <v>11</v>
      </c>
      <c r="F1842" s="73"/>
      <c r="G1842" s="74" t="s">
        <v>1931</v>
      </c>
      <c r="H1842" s="75" t="s">
        <v>1932</v>
      </c>
      <c r="I1842" s="76" t="s">
        <v>1729</v>
      </c>
      <c r="J1842" s="77"/>
      <c r="K1842" s="78" t="s">
        <v>1933</v>
      </c>
      <c r="L1842" s="79"/>
    </row>
    <row r="1843" ht="22.5" customHeight="1">
      <c r="A1843" s="80">
        <v>1024.0</v>
      </c>
      <c r="B1843" s="81" t="s">
        <v>2951</v>
      </c>
      <c r="C1843" s="82"/>
      <c r="D1843" s="80">
        <v>7.735497185E9</v>
      </c>
      <c r="E1843" s="81" t="s">
        <v>11</v>
      </c>
      <c r="F1843" s="82"/>
      <c r="G1843" s="83" t="s">
        <v>1931</v>
      </c>
      <c r="H1843" s="75" t="s">
        <v>1932</v>
      </c>
      <c r="I1843" s="76" t="s">
        <v>1729</v>
      </c>
      <c r="J1843" s="84"/>
      <c r="K1843" s="78" t="s">
        <v>1933</v>
      </c>
      <c r="L1843" s="79"/>
    </row>
    <row r="1844" ht="22.5" customHeight="1">
      <c r="A1844" s="71">
        <v>1025.0</v>
      </c>
      <c r="B1844" s="72" t="s">
        <v>2952</v>
      </c>
      <c r="C1844" s="73"/>
      <c r="D1844" s="71">
        <v>7.605949449E9</v>
      </c>
      <c r="E1844" s="72" t="s">
        <v>11</v>
      </c>
      <c r="F1844" s="73"/>
      <c r="G1844" s="74" t="s">
        <v>1931</v>
      </c>
      <c r="H1844" s="75" t="s">
        <v>1932</v>
      </c>
      <c r="I1844" s="76" t="s">
        <v>1729</v>
      </c>
      <c r="J1844" s="77"/>
      <c r="K1844" s="78" t="s">
        <v>1933</v>
      </c>
      <c r="L1844" s="79"/>
    </row>
    <row r="1845" ht="22.5" customHeight="1">
      <c r="A1845" s="80">
        <v>1026.0</v>
      </c>
      <c r="B1845" s="81" t="s">
        <v>2953</v>
      </c>
      <c r="C1845" s="82"/>
      <c r="D1845" s="80">
        <v>8.249997238E9</v>
      </c>
      <c r="E1845" s="81" t="s">
        <v>11</v>
      </c>
      <c r="F1845" s="82"/>
      <c r="G1845" s="83" t="s">
        <v>1931</v>
      </c>
      <c r="H1845" s="75" t="s">
        <v>1932</v>
      </c>
      <c r="I1845" s="76" t="s">
        <v>1729</v>
      </c>
      <c r="J1845" s="84"/>
      <c r="K1845" s="78" t="s">
        <v>1933</v>
      </c>
      <c r="L1845" s="79"/>
    </row>
    <row r="1846" ht="22.5" customHeight="1">
      <c r="A1846" s="71">
        <v>1027.0</v>
      </c>
      <c r="B1846" s="72" t="s">
        <v>2954</v>
      </c>
      <c r="C1846" s="73"/>
      <c r="D1846" s="71">
        <v>7.978968098E9</v>
      </c>
      <c r="E1846" s="72" t="s">
        <v>11</v>
      </c>
      <c r="F1846" s="73"/>
      <c r="G1846" s="74" t="s">
        <v>1931</v>
      </c>
      <c r="H1846" s="75" t="s">
        <v>1932</v>
      </c>
      <c r="I1846" s="76" t="s">
        <v>1729</v>
      </c>
      <c r="J1846" s="77"/>
      <c r="K1846" s="78" t="s">
        <v>1933</v>
      </c>
      <c r="L1846" s="79"/>
    </row>
    <row r="1847" ht="22.5" customHeight="1">
      <c r="A1847" s="80">
        <v>1028.0</v>
      </c>
      <c r="B1847" s="81" t="s">
        <v>2955</v>
      </c>
      <c r="C1847" s="82"/>
      <c r="D1847" s="80">
        <v>8.917236031E9</v>
      </c>
      <c r="E1847" s="81" t="s">
        <v>11</v>
      </c>
      <c r="F1847" s="82"/>
      <c r="G1847" s="83" t="s">
        <v>1931</v>
      </c>
      <c r="H1847" s="75" t="s">
        <v>1932</v>
      </c>
      <c r="I1847" s="76" t="s">
        <v>1729</v>
      </c>
      <c r="J1847" s="84"/>
      <c r="K1847" s="78" t="s">
        <v>1933</v>
      </c>
      <c r="L1847" s="79"/>
    </row>
    <row r="1848" ht="22.5" customHeight="1">
      <c r="A1848" s="71">
        <v>1029.0</v>
      </c>
      <c r="B1848" s="72" t="s">
        <v>2956</v>
      </c>
      <c r="C1848" s="73"/>
      <c r="D1848" s="71">
        <v>6.350569417E9</v>
      </c>
      <c r="E1848" s="72" t="s">
        <v>11</v>
      </c>
      <c r="F1848" s="73"/>
      <c r="G1848" s="74" t="s">
        <v>1931</v>
      </c>
      <c r="H1848" s="75" t="s">
        <v>1932</v>
      </c>
      <c r="I1848" s="87" t="s">
        <v>2581</v>
      </c>
      <c r="J1848" s="77"/>
      <c r="K1848" s="78" t="s">
        <v>1933</v>
      </c>
      <c r="L1848" s="79"/>
    </row>
    <row r="1849" ht="22.5" customHeight="1">
      <c r="A1849" s="80">
        <v>1030.0</v>
      </c>
      <c r="B1849" s="81" t="s">
        <v>2957</v>
      </c>
      <c r="C1849" s="82"/>
      <c r="D1849" s="80">
        <v>9.178768917E9</v>
      </c>
      <c r="E1849" s="81" t="s">
        <v>11</v>
      </c>
      <c r="F1849" s="82"/>
      <c r="G1849" s="83" t="s">
        <v>1931</v>
      </c>
      <c r="H1849" s="75" t="s">
        <v>1932</v>
      </c>
      <c r="I1849" s="87" t="s">
        <v>2581</v>
      </c>
      <c r="J1849" s="84"/>
      <c r="K1849" s="78" t="s">
        <v>1933</v>
      </c>
      <c r="L1849" s="79"/>
    </row>
    <row r="1850" ht="22.5" customHeight="1">
      <c r="A1850" s="71">
        <v>1031.0</v>
      </c>
      <c r="B1850" s="72" t="s">
        <v>2958</v>
      </c>
      <c r="C1850" s="73"/>
      <c r="D1850" s="71">
        <v>8.147993289E9</v>
      </c>
      <c r="E1850" s="72" t="s">
        <v>11</v>
      </c>
      <c r="F1850" s="73"/>
      <c r="G1850" s="74" t="s">
        <v>1931</v>
      </c>
      <c r="H1850" s="75" t="s">
        <v>1932</v>
      </c>
      <c r="I1850" s="76" t="s">
        <v>1729</v>
      </c>
      <c r="J1850" s="77"/>
      <c r="K1850" s="78" t="s">
        <v>1933</v>
      </c>
      <c r="L1850" s="79"/>
    </row>
    <row r="1851" ht="22.5" customHeight="1">
      <c r="A1851" s="80">
        <v>1032.0</v>
      </c>
      <c r="B1851" s="81" t="s">
        <v>2959</v>
      </c>
      <c r="C1851" s="82"/>
      <c r="D1851" s="80">
        <v>9.937577665E9</v>
      </c>
      <c r="E1851" s="81" t="s">
        <v>11</v>
      </c>
      <c r="F1851" s="82"/>
      <c r="G1851" s="83" t="s">
        <v>1931</v>
      </c>
      <c r="H1851" s="75" t="s">
        <v>1932</v>
      </c>
      <c r="I1851" s="87" t="s">
        <v>2581</v>
      </c>
      <c r="J1851" s="84"/>
      <c r="K1851" s="78" t="s">
        <v>1933</v>
      </c>
      <c r="L1851" s="79"/>
    </row>
    <row r="1852" ht="22.5" customHeight="1">
      <c r="A1852" s="71">
        <v>1033.0</v>
      </c>
      <c r="B1852" s="72" t="s">
        <v>2960</v>
      </c>
      <c r="C1852" s="73"/>
      <c r="D1852" s="71">
        <v>8.917272375E9</v>
      </c>
      <c r="E1852" s="72" t="s">
        <v>11</v>
      </c>
      <c r="F1852" s="73"/>
      <c r="G1852" s="74" t="s">
        <v>1931</v>
      </c>
      <c r="H1852" s="75" t="s">
        <v>1932</v>
      </c>
      <c r="I1852" s="76" t="s">
        <v>1729</v>
      </c>
      <c r="J1852" s="77"/>
      <c r="K1852" s="78" t="s">
        <v>1933</v>
      </c>
      <c r="L1852" s="79"/>
    </row>
    <row r="1853" ht="22.5" customHeight="1">
      <c r="A1853" s="80">
        <v>1034.0</v>
      </c>
      <c r="B1853" s="81" t="s">
        <v>2961</v>
      </c>
      <c r="C1853" s="82"/>
      <c r="D1853" s="80">
        <v>7.978521068E9</v>
      </c>
      <c r="E1853" s="81" t="s">
        <v>11</v>
      </c>
      <c r="F1853" s="82"/>
      <c r="G1853" s="83" t="s">
        <v>1931</v>
      </c>
      <c r="H1853" s="75" t="s">
        <v>1932</v>
      </c>
      <c r="I1853" s="87" t="s">
        <v>2581</v>
      </c>
      <c r="J1853" s="84"/>
      <c r="K1853" s="78" t="s">
        <v>1933</v>
      </c>
      <c r="L1853" s="79"/>
    </row>
    <row r="1854" ht="22.5" customHeight="1">
      <c r="A1854" s="71">
        <v>1035.0</v>
      </c>
      <c r="B1854" s="72" t="s">
        <v>2962</v>
      </c>
      <c r="C1854" s="73"/>
      <c r="D1854" s="71">
        <v>8.26085617E9</v>
      </c>
      <c r="E1854" s="72" t="s">
        <v>11</v>
      </c>
      <c r="F1854" s="73"/>
      <c r="G1854" s="74" t="s">
        <v>1931</v>
      </c>
      <c r="H1854" s="75" t="s">
        <v>1932</v>
      </c>
      <c r="I1854" s="87" t="s">
        <v>2581</v>
      </c>
      <c r="J1854" s="77"/>
      <c r="K1854" s="78" t="s">
        <v>1933</v>
      </c>
      <c r="L1854" s="79"/>
    </row>
    <row r="1855" ht="22.5" customHeight="1">
      <c r="A1855" s="80">
        <v>1036.0</v>
      </c>
      <c r="B1855" s="81" t="s">
        <v>2963</v>
      </c>
      <c r="C1855" s="82"/>
      <c r="D1855" s="80">
        <v>7.978984474E9</v>
      </c>
      <c r="E1855" s="81" t="s">
        <v>11</v>
      </c>
      <c r="F1855" s="82"/>
      <c r="G1855" s="83" t="s">
        <v>1931</v>
      </c>
      <c r="H1855" s="75" t="s">
        <v>1932</v>
      </c>
      <c r="I1855" s="76" t="s">
        <v>1729</v>
      </c>
      <c r="J1855" s="84"/>
      <c r="K1855" s="78" t="s">
        <v>1933</v>
      </c>
      <c r="L1855" s="79"/>
    </row>
    <row r="1856" ht="22.5" customHeight="1">
      <c r="A1856" s="71">
        <v>1037.0</v>
      </c>
      <c r="B1856" s="72" t="s">
        <v>2964</v>
      </c>
      <c r="C1856" s="73"/>
      <c r="D1856" s="71">
        <v>7.008466188E9</v>
      </c>
      <c r="E1856" s="72" t="s">
        <v>11</v>
      </c>
      <c r="F1856" s="73"/>
      <c r="G1856" s="74" t="s">
        <v>1931</v>
      </c>
      <c r="H1856" s="75" t="s">
        <v>1932</v>
      </c>
      <c r="I1856" s="87" t="s">
        <v>2581</v>
      </c>
      <c r="J1856" s="77"/>
      <c r="K1856" s="78" t="s">
        <v>1933</v>
      </c>
      <c r="L1856" s="79"/>
    </row>
    <row r="1857" ht="22.5" customHeight="1">
      <c r="A1857" s="80">
        <v>1038.0</v>
      </c>
      <c r="B1857" s="81" t="s">
        <v>2965</v>
      </c>
      <c r="C1857" s="82"/>
      <c r="D1857" s="80">
        <v>9.547215763E9</v>
      </c>
      <c r="E1857" s="81" t="s">
        <v>11</v>
      </c>
      <c r="F1857" s="82"/>
      <c r="G1857" s="83" t="s">
        <v>1931</v>
      </c>
      <c r="H1857" s="75" t="s">
        <v>1932</v>
      </c>
      <c r="I1857" s="76" t="s">
        <v>1729</v>
      </c>
      <c r="J1857" s="84"/>
      <c r="K1857" s="78" t="s">
        <v>1933</v>
      </c>
      <c r="L1857" s="79"/>
    </row>
    <row r="1858" ht="22.5" customHeight="1">
      <c r="A1858" s="71">
        <v>1039.0</v>
      </c>
      <c r="B1858" s="72" t="s">
        <v>2966</v>
      </c>
      <c r="C1858" s="73"/>
      <c r="D1858" s="71">
        <v>9.937147624E9</v>
      </c>
      <c r="E1858" s="72" t="s">
        <v>11</v>
      </c>
      <c r="F1858" s="73"/>
      <c r="G1858" s="74" t="s">
        <v>1931</v>
      </c>
      <c r="H1858" s="75" t="s">
        <v>1932</v>
      </c>
      <c r="I1858" s="76" t="s">
        <v>1729</v>
      </c>
      <c r="J1858" s="77"/>
      <c r="K1858" s="78" t="s">
        <v>1933</v>
      </c>
      <c r="L1858" s="79"/>
    </row>
    <row r="1859" ht="22.5" customHeight="1">
      <c r="A1859" s="80">
        <v>1040.0</v>
      </c>
      <c r="B1859" s="81" t="s">
        <v>2967</v>
      </c>
      <c r="C1859" s="82"/>
      <c r="D1859" s="80">
        <v>9.861069811E9</v>
      </c>
      <c r="E1859" s="81" t="s">
        <v>11</v>
      </c>
      <c r="F1859" s="82"/>
      <c r="G1859" s="83" t="s">
        <v>1931</v>
      </c>
      <c r="H1859" s="75" t="s">
        <v>1932</v>
      </c>
      <c r="I1859" s="87" t="s">
        <v>2581</v>
      </c>
      <c r="J1859" s="84"/>
      <c r="K1859" s="78" t="s">
        <v>1933</v>
      </c>
      <c r="L1859" s="79"/>
    </row>
    <row r="1860" ht="22.5" customHeight="1">
      <c r="A1860" s="71">
        <v>1041.0</v>
      </c>
      <c r="B1860" s="72" t="s">
        <v>2968</v>
      </c>
      <c r="C1860" s="73"/>
      <c r="D1860" s="71">
        <v>9.437165173E9</v>
      </c>
      <c r="E1860" s="72" t="s">
        <v>11</v>
      </c>
      <c r="F1860" s="73"/>
      <c r="G1860" s="74" t="s">
        <v>1931</v>
      </c>
      <c r="H1860" s="75" t="s">
        <v>1932</v>
      </c>
      <c r="I1860" s="76" t="s">
        <v>1729</v>
      </c>
      <c r="J1860" s="77"/>
      <c r="K1860" s="78" t="s">
        <v>1933</v>
      </c>
      <c r="L1860" s="79"/>
    </row>
    <row r="1861" ht="22.5" customHeight="1">
      <c r="A1861" s="80">
        <v>1042.0</v>
      </c>
      <c r="B1861" s="81" t="s">
        <v>2969</v>
      </c>
      <c r="C1861" s="82"/>
      <c r="D1861" s="80">
        <v>7.606837414E9</v>
      </c>
      <c r="E1861" s="81" t="s">
        <v>11</v>
      </c>
      <c r="F1861" s="82"/>
      <c r="G1861" s="83" t="s">
        <v>1931</v>
      </c>
      <c r="H1861" s="75" t="s">
        <v>1932</v>
      </c>
      <c r="I1861" s="87" t="s">
        <v>2581</v>
      </c>
      <c r="J1861" s="84"/>
      <c r="K1861" s="78" t="s">
        <v>1933</v>
      </c>
      <c r="L1861" s="79"/>
    </row>
    <row r="1862" ht="22.5" customHeight="1">
      <c r="A1862" s="71">
        <v>1043.0</v>
      </c>
      <c r="B1862" s="72" t="s">
        <v>2970</v>
      </c>
      <c r="C1862" s="73"/>
      <c r="D1862" s="71">
        <v>8.637233788E9</v>
      </c>
      <c r="E1862" s="72" t="s">
        <v>11</v>
      </c>
      <c r="F1862" s="73"/>
      <c r="G1862" s="74" t="s">
        <v>1931</v>
      </c>
      <c r="H1862" s="75" t="s">
        <v>1932</v>
      </c>
      <c r="I1862" s="76" t="s">
        <v>1729</v>
      </c>
      <c r="J1862" s="77"/>
      <c r="K1862" s="78" t="s">
        <v>1933</v>
      </c>
      <c r="L1862" s="79"/>
    </row>
    <row r="1863" ht="22.5" customHeight="1">
      <c r="A1863" s="80">
        <v>1044.0</v>
      </c>
      <c r="B1863" s="81" t="s">
        <v>2971</v>
      </c>
      <c r="C1863" s="82"/>
      <c r="D1863" s="80">
        <v>7.00814575E9</v>
      </c>
      <c r="E1863" s="81" t="s">
        <v>11</v>
      </c>
      <c r="F1863" s="82"/>
      <c r="G1863" s="83" t="s">
        <v>1931</v>
      </c>
      <c r="H1863" s="75" t="s">
        <v>1932</v>
      </c>
      <c r="I1863" s="87" t="s">
        <v>2581</v>
      </c>
      <c r="J1863" s="84"/>
      <c r="K1863" s="78" t="s">
        <v>1933</v>
      </c>
      <c r="L1863" s="79"/>
    </row>
    <row r="1864" ht="22.5" customHeight="1">
      <c r="A1864" s="71">
        <v>1045.0</v>
      </c>
      <c r="B1864" s="72" t="s">
        <v>2972</v>
      </c>
      <c r="C1864" s="73"/>
      <c r="D1864" s="71">
        <v>8.917271161E9</v>
      </c>
      <c r="E1864" s="72" t="s">
        <v>11</v>
      </c>
      <c r="F1864" s="73"/>
      <c r="G1864" s="74" t="s">
        <v>1931</v>
      </c>
      <c r="H1864" s="75" t="s">
        <v>1932</v>
      </c>
      <c r="I1864" s="86" t="s">
        <v>1731</v>
      </c>
      <c r="J1864" s="77"/>
      <c r="K1864" s="78" t="s">
        <v>1933</v>
      </c>
      <c r="L1864" s="79"/>
    </row>
    <row r="1865" ht="22.5" customHeight="1">
      <c r="A1865" s="80">
        <v>1046.0</v>
      </c>
      <c r="B1865" s="81" t="s">
        <v>2973</v>
      </c>
      <c r="C1865" s="82"/>
      <c r="D1865" s="80">
        <v>8.895384889E9</v>
      </c>
      <c r="E1865" s="81" t="s">
        <v>11</v>
      </c>
      <c r="F1865" s="82"/>
      <c r="G1865" s="83" t="s">
        <v>1931</v>
      </c>
      <c r="H1865" s="75" t="s">
        <v>1932</v>
      </c>
      <c r="I1865" s="87" t="s">
        <v>2581</v>
      </c>
      <c r="J1865" s="84"/>
      <c r="K1865" s="78" t="s">
        <v>1933</v>
      </c>
      <c r="L1865" s="79"/>
    </row>
    <row r="1866" ht="22.5" customHeight="1">
      <c r="A1866" s="71">
        <v>1047.0</v>
      </c>
      <c r="B1866" s="72" t="s">
        <v>2974</v>
      </c>
      <c r="C1866" s="73"/>
      <c r="D1866" s="71">
        <v>9.975551985E9</v>
      </c>
      <c r="E1866" s="72" t="s">
        <v>11</v>
      </c>
      <c r="F1866" s="73"/>
      <c r="G1866" s="74" t="s">
        <v>1931</v>
      </c>
      <c r="H1866" s="75" t="s">
        <v>1932</v>
      </c>
      <c r="I1866" s="87" t="s">
        <v>2581</v>
      </c>
      <c r="J1866" s="77"/>
      <c r="K1866" s="78" t="s">
        <v>1933</v>
      </c>
      <c r="L1866" s="79"/>
    </row>
    <row r="1867" ht="22.5" customHeight="1">
      <c r="A1867" s="80">
        <v>1048.0</v>
      </c>
      <c r="B1867" s="81" t="s">
        <v>2975</v>
      </c>
      <c r="C1867" s="82"/>
      <c r="D1867" s="80">
        <v>9.437584143E9</v>
      </c>
      <c r="E1867" s="81" t="s">
        <v>11</v>
      </c>
      <c r="F1867" s="82"/>
      <c r="G1867" s="83" t="s">
        <v>1931</v>
      </c>
      <c r="H1867" s="75" t="s">
        <v>1932</v>
      </c>
      <c r="I1867" s="87" t="s">
        <v>2581</v>
      </c>
      <c r="J1867" s="84"/>
      <c r="K1867" s="78" t="s">
        <v>1933</v>
      </c>
      <c r="L1867" s="79"/>
    </row>
    <row r="1868" ht="22.5" customHeight="1">
      <c r="A1868" s="71">
        <v>1049.0</v>
      </c>
      <c r="B1868" s="72" t="s">
        <v>2976</v>
      </c>
      <c r="C1868" s="73"/>
      <c r="D1868" s="71">
        <v>8.847886835E9</v>
      </c>
      <c r="E1868" s="72" t="s">
        <v>11</v>
      </c>
      <c r="F1868" s="73"/>
      <c r="G1868" s="74" t="s">
        <v>1931</v>
      </c>
      <c r="H1868" s="75" t="s">
        <v>1932</v>
      </c>
      <c r="I1868" s="87" t="s">
        <v>2581</v>
      </c>
      <c r="J1868" s="77"/>
      <c r="K1868" s="78" t="s">
        <v>1933</v>
      </c>
      <c r="L1868" s="79"/>
    </row>
    <row r="1869" ht="22.5" customHeight="1">
      <c r="A1869" s="80">
        <v>1050.0</v>
      </c>
      <c r="B1869" s="81" t="s">
        <v>2977</v>
      </c>
      <c r="C1869" s="82"/>
      <c r="D1869" s="80">
        <v>7.381245435E9</v>
      </c>
      <c r="E1869" s="81" t="s">
        <v>11</v>
      </c>
      <c r="F1869" s="82"/>
      <c r="G1869" s="83" t="s">
        <v>1931</v>
      </c>
      <c r="H1869" s="75" t="s">
        <v>1932</v>
      </c>
      <c r="I1869" s="87" t="s">
        <v>2581</v>
      </c>
      <c r="J1869" s="84"/>
      <c r="K1869" s="78" t="s">
        <v>1933</v>
      </c>
      <c r="L1869" s="79"/>
    </row>
    <row r="1870" ht="22.5" customHeight="1">
      <c r="A1870" s="71">
        <v>1051.0</v>
      </c>
      <c r="B1870" s="72" t="s">
        <v>2978</v>
      </c>
      <c r="C1870" s="73"/>
      <c r="D1870" s="71">
        <v>8.895606564E9</v>
      </c>
      <c r="E1870" s="72" t="s">
        <v>11</v>
      </c>
      <c r="F1870" s="73"/>
      <c r="G1870" s="74" t="s">
        <v>1931</v>
      </c>
      <c r="H1870" s="75" t="s">
        <v>1932</v>
      </c>
      <c r="I1870" s="87" t="s">
        <v>2581</v>
      </c>
      <c r="J1870" s="77"/>
      <c r="K1870" s="78" t="s">
        <v>1933</v>
      </c>
      <c r="L1870" s="79"/>
    </row>
    <row r="1871" ht="22.5" customHeight="1">
      <c r="A1871" s="80">
        <v>1052.0</v>
      </c>
      <c r="B1871" s="81" t="s">
        <v>2979</v>
      </c>
      <c r="C1871" s="82"/>
      <c r="D1871" s="80">
        <v>9.861470532E9</v>
      </c>
      <c r="E1871" s="81" t="s">
        <v>11</v>
      </c>
      <c r="F1871" s="82"/>
      <c r="G1871" s="83" t="s">
        <v>1931</v>
      </c>
      <c r="H1871" s="75" t="s">
        <v>1932</v>
      </c>
      <c r="I1871" s="87" t="s">
        <v>2581</v>
      </c>
      <c r="J1871" s="84"/>
      <c r="K1871" s="78" t="s">
        <v>1933</v>
      </c>
      <c r="L1871" s="79"/>
    </row>
    <row r="1872" ht="22.5" customHeight="1">
      <c r="A1872" s="71">
        <v>1053.0</v>
      </c>
      <c r="B1872" s="72" t="s">
        <v>2980</v>
      </c>
      <c r="C1872" s="73"/>
      <c r="D1872" s="71">
        <v>9.938730281E9</v>
      </c>
      <c r="E1872" s="72" t="s">
        <v>11</v>
      </c>
      <c r="F1872" s="73"/>
      <c r="G1872" s="74" t="s">
        <v>1931</v>
      </c>
      <c r="H1872" s="75" t="s">
        <v>1932</v>
      </c>
      <c r="I1872" s="87" t="s">
        <v>2581</v>
      </c>
      <c r="J1872" s="77"/>
      <c r="K1872" s="78" t="s">
        <v>1933</v>
      </c>
      <c r="L1872" s="79"/>
    </row>
    <row r="1873" ht="22.5" customHeight="1">
      <c r="A1873" s="80">
        <v>1054.0</v>
      </c>
      <c r="B1873" s="81" t="s">
        <v>2981</v>
      </c>
      <c r="C1873" s="82"/>
      <c r="D1873" s="80">
        <v>9.040161813E9</v>
      </c>
      <c r="E1873" s="81" t="s">
        <v>11</v>
      </c>
      <c r="F1873" s="82"/>
      <c r="G1873" s="83" t="s">
        <v>1931</v>
      </c>
      <c r="H1873" s="75" t="s">
        <v>1932</v>
      </c>
      <c r="I1873" s="87" t="s">
        <v>2581</v>
      </c>
      <c r="J1873" s="84"/>
      <c r="K1873" s="78" t="s">
        <v>1933</v>
      </c>
      <c r="L1873" s="79"/>
    </row>
    <row r="1874" ht="22.5" customHeight="1">
      <c r="A1874" s="71">
        <v>1055.0</v>
      </c>
      <c r="B1874" s="72" t="s">
        <v>2982</v>
      </c>
      <c r="C1874" s="73"/>
      <c r="D1874" s="71">
        <v>7.735139756E9</v>
      </c>
      <c r="E1874" s="72" t="s">
        <v>11</v>
      </c>
      <c r="F1874" s="73"/>
      <c r="G1874" s="74" t="s">
        <v>1931</v>
      </c>
      <c r="H1874" s="75" t="s">
        <v>1932</v>
      </c>
      <c r="I1874" s="87" t="s">
        <v>2581</v>
      </c>
      <c r="J1874" s="77"/>
      <c r="K1874" s="78" t="s">
        <v>1933</v>
      </c>
      <c r="L1874" s="79"/>
    </row>
    <row r="1875" ht="22.5" customHeight="1">
      <c r="A1875" s="80">
        <v>1056.0</v>
      </c>
      <c r="B1875" s="81" t="s">
        <v>2983</v>
      </c>
      <c r="C1875" s="82"/>
      <c r="D1875" s="80">
        <v>7.894377816E9</v>
      </c>
      <c r="E1875" s="81" t="s">
        <v>11</v>
      </c>
      <c r="F1875" s="82"/>
      <c r="G1875" s="83" t="s">
        <v>1931</v>
      </c>
      <c r="H1875" s="75" t="s">
        <v>1932</v>
      </c>
      <c r="I1875" s="76" t="s">
        <v>1729</v>
      </c>
      <c r="J1875" s="84"/>
      <c r="K1875" s="78" t="s">
        <v>1933</v>
      </c>
      <c r="L1875" s="79"/>
    </row>
    <row r="1876" ht="22.5" customHeight="1">
      <c r="A1876" s="71">
        <v>1057.0</v>
      </c>
      <c r="B1876" s="72" t="s">
        <v>2984</v>
      </c>
      <c r="C1876" s="73"/>
      <c r="D1876" s="71">
        <v>9.337544465E9</v>
      </c>
      <c r="E1876" s="72" t="s">
        <v>11</v>
      </c>
      <c r="F1876" s="73"/>
      <c r="G1876" s="74" t="s">
        <v>1931</v>
      </c>
      <c r="H1876" s="75" t="s">
        <v>1932</v>
      </c>
      <c r="I1876" s="76" t="s">
        <v>1729</v>
      </c>
      <c r="J1876" s="77"/>
      <c r="K1876" s="78" t="s">
        <v>1933</v>
      </c>
      <c r="L1876" s="79"/>
    </row>
    <row r="1877" ht="22.5" customHeight="1">
      <c r="A1877" s="80">
        <v>1058.0</v>
      </c>
      <c r="B1877" s="81" t="s">
        <v>2985</v>
      </c>
      <c r="C1877" s="82"/>
      <c r="D1877" s="80">
        <v>8.01875389E9</v>
      </c>
      <c r="E1877" s="81" t="s">
        <v>11</v>
      </c>
      <c r="F1877" s="82"/>
      <c r="G1877" s="83" t="s">
        <v>1931</v>
      </c>
      <c r="H1877" s="75" t="s">
        <v>1932</v>
      </c>
      <c r="I1877" s="86" t="s">
        <v>1731</v>
      </c>
      <c r="J1877" s="84"/>
      <c r="K1877" s="78" t="s">
        <v>1933</v>
      </c>
      <c r="L1877" s="79"/>
    </row>
    <row r="1878" ht="22.5" customHeight="1">
      <c r="A1878" s="71">
        <v>1059.0</v>
      </c>
      <c r="B1878" s="72" t="s">
        <v>2986</v>
      </c>
      <c r="C1878" s="73"/>
      <c r="D1878" s="71">
        <v>8.249228605E9</v>
      </c>
      <c r="E1878" s="72" t="s">
        <v>11</v>
      </c>
      <c r="F1878" s="73"/>
      <c r="G1878" s="74" t="s">
        <v>1931</v>
      </c>
      <c r="H1878" s="75" t="s">
        <v>1932</v>
      </c>
      <c r="I1878" s="87" t="s">
        <v>2581</v>
      </c>
      <c r="J1878" s="77"/>
      <c r="K1878" s="78" t="s">
        <v>1933</v>
      </c>
      <c r="L1878" s="79"/>
    </row>
    <row r="1879" ht="22.5" customHeight="1">
      <c r="A1879" s="80">
        <v>1060.0</v>
      </c>
      <c r="B1879" s="81" t="s">
        <v>2987</v>
      </c>
      <c r="C1879" s="82"/>
      <c r="D1879" s="80">
        <v>8.457034853E9</v>
      </c>
      <c r="E1879" s="81" t="s">
        <v>11</v>
      </c>
      <c r="F1879" s="82"/>
      <c r="G1879" s="83" t="s">
        <v>1931</v>
      </c>
      <c r="H1879" s="75" t="s">
        <v>1932</v>
      </c>
      <c r="I1879" s="86" t="s">
        <v>1731</v>
      </c>
      <c r="J1879" s="84"/>
      <c r="K1879" s="78" t="s">
        <v>1933</v>
      </c>
      <c r="L1879" s="79"/>
    </row>
    <row r="1880" ht="22.5" customHeight="1">
      <c r="A1880" s="71">
        <v>1061.0</v>
      </c>
      <c r="B1880" s="72" t="s">
        <v>2988</v>
      </c>
      <c r="C1880" s="73"/>
      <c r="D1880" s="71">
        <v>9.778448789E9</v>
      </c>
      <c r="E1880" s="72" t="s">
        <v>11</v>
      </c>
      <c r="F1880" s="73"/>
      <c r="G1880" s="74" t="s">
        <v>1931</v>
      </c>
      <c r="H1880" s="75" t="s">
        <v>1932</v>
      </c>
      <c r="I1880" s="76" t="s">
        <v>1729</v>
      </c>
      <c r="J1880" s="77"/>
      <c r="K1880" s="78" t="s">
        <v>1933</v>
      </c>
      <c r="L1880" s="79"/>
    </row>
    <row r="1881" ht="22.5" customHeight="1">
      <c r="A1881" s="80">
        <v>1062.0</v>
      </c>
      <c r="B1881" s="81" t="s">
        <v>2989</v>
      </c>
      <c r="C1881" s="82"/>
      <c r="D1881" s="80">
        <v>9.43990282E9</v>
      </c>
      <c r="E1881" s="81" t="s">
        <v>11</v>
      </c>
      <c r="F1881" s="82"/>
      <c r="G1881" s="83" t="s">
        <v>1931</v>
      </c>
      <c r="H1881" s="75" t="s">
        <v>1932</v>
      </c>
      <c r="I1881" s="76" t="s">
        <v>1729</v>
      </c>
      <c r="J1881" s="84"/>
      <c r="K1881" s="78" t="s">
        <v>1933</v>
      </c>
      <c r="L1881" s="79"/>
    </row>
    <row r="1882" ht="22.5" customHeight="1">
      <c r="A1882" s="71">
        <v>1063.0</v>
      </c>
      <c r="B1882" s="72" t="s">
        <v>2990</v>
      </c>
      <c r="C1882" s="73"/>
      <c r="D1882" s="71">
        <v>6.370401455E9</v>
      </c>
      <c r="E1882" s="72" t="s">
        <v>11</v>
      </c>
      <c r="F1882" s="73"/>
      <c r="G1882" s="74" t="s">
        <v>1931</v>
      </c>
      <c r="H1882" s="75" t="s">
        <v>1932</v>
      </c>
      <c r="I1882" s="76" t="s">
        <v>1729</v>
      </c>
      <c r="J1882" s="77"/>
      <c r="K1882" s="78" t="s">
        <v>1933</v>
      </c>
      <c r="L1882" s="79"/>
    </row>
    <row r="1883" ht="22.5" customHeight="1">
      <c r="A1883" s="80">
        <v>1064.0</v>
      </c>
      <c r="B1883" s="81" t="s">
        <v>2991</v>
      </c>
      <c r="C1883" s="82"/>
      <c r="D1883" s="80">
        <v>7.894022642E9</v>
      </c>
      <c r="E1883" s="81" t="s">
        <v>11</v>
      </c>
      <c r="F1883" s="82"/>
      <c r="G1883" s="83" t="s">
        <v>1931</v>
      </c>
      <c r="H1883" s="75" t="s">
        <v>1932</v>
      </c>
      <c r="I1883" s="86" t="s">
        <v>1731</v>
      </c>
      <c r="J1883" s="84"/>
      <c r="K1883" s="78" t="s">
        <v>1933</v>
      </c>
      <c r="L1883" s="79"/>
    </row>
    <row r="1884" ht="22.5" customHeight="1">
      <c r="A1884" s="71">
        <v>1065.0</v>
      </c>
      <c r="B1884" s="72" t="s">
        <v>2992</v>
      </c>
      <c r="C1884" s="73"/>
      <c r="D1884" s="71">
        <v>9.668379114E9</v>
      </c>
      <c r="E1884" s="72" t="s">
        <v>11</v>
      </c>
      <c r="F1884" s="73"/>
      <c r="G1884" s="74" t="s">
        <v>1931</v>
      </c>
      <c r="H1884" s="75" t="s">
        <v>1932</v>
      </c>
      <c r="I1884" s="86" t="s">
        <v>1731</v>
      </c>
      <c r="J1884" s="77"/>
      <c r="K1884" s="78" t="s">
        <v>1933</v>
      </c>
      <c r="L1884" s="79"/>
    </row>
    <row r="1885" ht="22.5" customHeight="1">
      <c r="A1885" s="80">
        <v>1066.0</v>
      </c>
      <c r="B1885" s="81" t="s">
        <v>2993</v>
      </c>
      <c r="C1885" s="82"/>
      <c r="D1885" s="80">
        <v>9.437779271E9</v>
      </c>
      <c r="E1885" s="81" t="s">
        <v>11</v>
      </c>
      <c r="F1885" s="82"/>
      <c r="G1885" s="83" t="s">
        <v>1931</v>
      </c>
      <c r="H1885" s="75" t="s">
        <v>1932</v>
      </c>
      <c r="I1885" s="76" t="s">
        <v>1729</v>
      </c>
      <c r="J1885" s="84"/>
      <c r="K1885" s="78" t="s">
        <v>1933</v>
      </c>
      <c r="L1885" s="79"/>
    </row>
    <row r="1886" ht="22.5" customHeight="1">
      <c r="A1886" s="71">
        <v>1067.0</v>
      </c>
      <c r="B1886" s="72" t="s">
        <v>2994</v>
      </c>
      <c r="C1886" s="73"/>
      <c r="D1886" s="71">
        <v>9.776041462E9</v>
      </c>
      <c r="E1886" s="72" t="s">
        <v>11</v>
      </c>
      <c r="F1886" s="73"/>
      <c r="G1886" s="74" t="s">
        <v>1931</v>
      </c>
      <c r="H1886" s="75" t="s">
        <v>1932</v>
      </c>
      <c r="I1886" s="86" t="s">
        <v>1731</v>
      </c>
      <c r="J1886" s="77"/>
      <c r="K1886" s="78" t="s">
        <v>1933</v>
      </c>
      <c r="L1886" s="79"/>
    </row>
    <row r="1887" ht="22.5" customHeight="1">
      <c r="A1887" s="80">
        <v>1068.0</v>
      </c>
      <c r="B1887" s="81" t="s">
        <v>2995</v>
      </c>
      <c r="C1887" s="82"/>
      <c r="D1887" s="80">
        <v>9.437360517E9</v>
      </c>
      <c r="E1887" s="81" t="s">
        <v>11</v>
      </c>
      <c r="F1887" s="82"/>
      <c r="G1887" s="83" t="s">
        <v>1931</v>
      </c>
      <c r="H1887" s="75" t="s">
        <v>1932</v>
      </c>
      <c r="I1887" s="76" t="s">
        <v>1729</v>
      </c>
      <c r="J1887" s="84"/>
      <c r="K1887" s="78" t="s">
        <v>1933</v>
      </c>
      <c r="L1887" s="79"/>
    </row>
    <row r="1888" ht="22.5" customHeight="1">
      <c r="A1888" s="71">
        <v>1069.0</v>
      </c>
      <c r="B1888" s="72" t="s">
        <v>2996</v>
      </c>
      <c r="C1888" s="73"/>
      <c r="D1888" s="71">
        <v>7.978650361E9</v>
      </c>
      <c r="E1888" s="72" t="s">
        <v>11</v>
      </c>
      <c r="F1888" s="73"/>
      <c r="G1888" s="74" t="s">
        <v>1931</v>
      </c>
      <c r="H1888" s="75" t="s">
        <v>1932</v>
      </c>
      <c r="I1888" s="87" t="s">
        <v>2581</v>
      </c>
      <c r="J1888" s="77"/>
      <c r="K1888" s="78" t="s">
        <v>1933</v>
      </c>
      <c r="L1888" s="79"/>
    </row>
    <row r="1889" ht="22.5" customHeight="1">
      <c r="A1889" s="80">
        <v>1070.0</v>
      </c>
      <c r="B1889" s="81" t="s">
        <v>2997</v>
      </c>
      <c r="C1889" s="82"/>
      <c r="D1889" s="80">
        <v>9.69201773E9</v>
      </c>
      <c r="E1889" s="81" t="s">
        <v>11</v>
      </c>
      <c r="F1889" s="82"/>
      <c r="G1889" s="83" t="s">
        <v>1931</v>
      </c>
      <c r="H1889" s="75" t="s">
        <v>1932</v>
      </c>
      <c r="I1889" s="76" t="s">
        <v>1729</v>
      </c>
      <c r="J1889" s="84"/>
      <c r="K1889" s="78" t="s">
        <v>1933</v>
      </c>
      <c r="L1889" s="88"/>
    </row>
    <row r="1890" ht="22.5" customHeight="1">
      <c r="A1890" s="80"/>
      <c r="B1890" s="81" t="s">
        <v>2998</v>
      </c>
      <c r="C1890" s="82"/>
      <c r="D1890" s="80"/>
      <c r="E1890" s="81"/>
      <c r="F1890" s="82"/>
      <c r="G1890" s="83"/>
      <c r="H1890" s="75" t="s">
        <v>1932</v>
      </c>
      <c r="I1890" s="76"/>
      <c r="J1890" s="84"/>
      <c r="K1890" s="78"/>
      <c r="L1890" s="88"/>
    </row>
    <row r="1891" ht="22.5" customHeight="1">
      <c r="A1891" s="80"/>
      <c r="B1891" s="81" t="s">
        <v>2999</v>
      </c>
      <c r="C1891" s="82"/>
      <c r="D1891" s="80"/>
      <c r="E1891" s="81"/>
      <c r="F1891" s="82"/>
      <c r="G1891" s="83"/>
      <c r="H1891" s="75" t="s">
        <v>1932</v>
      </c>
      <c r="I1891" s="76"/>
      <c r="J1891" s="84"/>
      <c r="K1891" s="78"/>
      <c r="L1891" s="88"/>
    </row>
    <row r="1892" ht="22.5" customHeight="1">
      <c r="A1892" s="80"/>
      <c r="B1892" s="81" t="s">
        <v>3000</v>
      </c>
      <c r="C1892" s="82"/>
      <c r="D1892" s="80"/>
      <c r="E1892" s="81"/>
      <c r="F1892" s="82"/>
      <c r="G1892" s="83"/>
      <c r="H1892" s="75" t="s">
        <v>1932</v>
      </c>
      <c r="I1892" s="76"/>
      <c r="J1892" s="84"/>
      <c r="K1892" s="78"/>
      <c r="L1892" s="88"/>
    </row>
    <row r="1893" ht="22.5" customHeight="1">
      <c r="A1893" s="80"/>
      <c r="B1893" s="81" t="s">
        <v>3001</v>
      </c>
      <c r="C1893" s="82"/>
      <c r="D1893" s="80"/>
      <c r="E1893" s="81"/>
      <c r="F1893" s="82"/>
      <c r="G1893" s="83"/>
      <c r="H1893" s="75" t="s">
        <v>1932</v>
      </c>
      <c r="I1893" s="76"/>
      <c r="J1893" s="84"/>
      <c r="K1893" s="78"/>
      <c r="L1893" s="88"/>
    </row>
    <row r="1894" ht="22.5" customHeight="1">
      <c r="A1894" s="80"/>
      <c r="B1894" s="81" t="s">
        <v>3002</v>
      </c>
      <c r="C1894" s="82"/>
      <c r="D1894" s="80"/>
      <c r="E1894" s="81"/>
      <c r="F1894" s="82"/>
      <c r="G1894" s="83"/>
      <c r="H1894" s="75" t="s">
        <v>1932</v>
      </c>
      <c r="I1894" s="76"/>
      <c r="J1894" s="84"/>
      <c r="K1894" s="78"/>
      <c r="L1894" s="88"/>
    </row>
    <row r="1895" ht="22.5" customHeight="1">
      <c r="A1895" s="80"/>
      <c r="B1895" s="81" t="s">
        <v>3003</v>
      </c>
      <c r="C1895" s="82"/>
      <c r="D1895" s="80"/>
      <c r="E1895" s="81"/>
      <c r="F1895" s="82"/>
      <c r="G1895" s="83"/>
      <c r="H1895" s="75" t="s">
        <v>1932</v>
      </c>
      <c r="I1895" s="76"/>
      <c r="J1895" s="84"/>
      <c r="K1895" s="78"/>
      <c r="L1895" s="88"/>
    </row>
    <row r="1896" ht="22.5" customHeight="1">
      <c r="A1896" s="80"/>
      <c r="B1896" s="81" t="s">
        <v>3004</v>
      </c>
      <c r="C1896" s="82"/>
      <c r="D1896" s="80"/>
      <c r="E1896" s="81"/>
      <c r="F1896" s="82"/>
      <c r="G1896" s="83"/>
      <c r="H1896" s="75" t="s">
        <v>1932</v>
      </c>
      <c r="I1896" s="76"/>
      <c r="J1896" s="84"/>
      <c r="K1896" s="78"/>
      <c r="L1896" s="88"/>
    </row>
    <row r="1897" ht="22.5" customHeight="1">
      <c r="A1897" s="80"/>
      <c r="B1897" s="81" t="s">
        <v>3005</v>
      </c>
      <c r="C1897" s="82"/>
      <c r="D1897" s="80"/>
      <c r="E1897" s="81"/>
      <c r="F1897" s="82"/>
      <c r="G1897" s="83"/>
      <c r="H1897" s="75" t="s">
        <v>1932</v>
      </c>
      <c r="I1897" s="76"/>
      <c r="J1897" s="84"/>
      <c r="K1897" s="78"/>
      <c r="L1897" s="88"/>
    </row>
    <row r="1898" ht="22.5" customHeight="1">
      <c r="A1898" s="80"/>
      <c r="B1898" s="81" t="s">
        <v>3006</v>
      </c>
      <c r="C1898" s="82"/>
      <c r="D1898" s="80"/>
      <c r="E1898" s="81"/>
      <c r="F1898" s="82"/>
      <c r="G1898" s="83"/>
      <c r="H1898" s="75" t="s">
        <v>1932</v>
      </c>
      <c r="I1898" s="76"/>
      <c r="J1898" s="84"/>
      <c r="K1898" s="78"/>
      <c r="L1898" s="88"/>
    </row>
    <row r="1899" ht="22.5" customHeight="1">
      <c r="A1899" s="80"/>
      <c r="B1899" s="81" t="s">
        <v>3007</v>
      </c>
      <c r="C1899" s="82"/>
      <c r="D1899" s="80"/>
      <c r="E1899" s="81"/>
      <c r="F1899" s="82"/>
      <c r="G1899" s="83"/>
      <c r="H1899" s="75" t="s">
        <v>1932</v>
      </c>
      <c r="I1899" s="76"/>
      <c r="J1899" s="84"/>
      <c r="K1899" s="78"/>
      <c r="L1899" s="88"/>
    </row>
    <row r="1900" ht="22.5" customHeight="1">
      <c r="A1900" s="80"/>
      <c r="B1900" s="81" t="s">
        <v>3008</v>
      </c>
      <c r="C1900" s="82"/>
      <c r="D1900" s="80"/>
      <c r="E1900" s="81"/>
      <c r="F1900" s="82"/>
      <c r="G1900" s="83"/>
      <c r="H1900" s="75" t="s">
        <v>1932</v>
      </c>
      <c r="I1900" s="76"/>
      <c r="J1900" s="84"/>
      <c r="K1900" s="78"/>
      <c r="L1900" s="88"/>
    </row>
    <row r="1901" ht="22.5" customHeight="1">
      <c r="A1901" s="80"/>
      <c r="B1901" s="81" t="s">
        <v>3009</v>
      </c>
      <c r="C1901" s="82"/>
      <c r="D1901" s="80"/>
      <c r="E1901" s="81"/>
      <c r="F1901" s="82"/>
      <c r="G1901" s="83"/>
      <c r="H1901" s="75" t="s">
        <v>1932</v>
      </c>
      <c r="I1901" s="76"/>
      <c r="J1901" s="84"/>
      <c r="K1901" s="78"/>
      <c r="L1901" s="88"/>
    </row>
    <row r="1902" ht="22.5" customHeight="1">
      <c r="A1902" s="80"/>
      <c r="B1902" s="81" t="s">
        <v>3010</v>
      </c>
      <c r="C1902" s="82"/>
      <c r="D1902" s="80"/>
      <c r="E1902" s="81"/>
      <c r="F1902" s="82"/>
      <c r="G1902" s="83"/>
      <c r="H1902" s="75" t="s">
        <v>1932</v>
      </c>
      <c r="I1902" s="76"/>
      <c r="J1902" s="84"/>
      <c r="K1902" s="78"/>
      <c r="L1902" s="88"/>
    </row>
    <row r="1903" ht="22.5" customHeight="1">
      <c r="A1903" s="80"/>
      <c r="B1903" s="81" t="s">
        <v>3011</v>
      </c>
      <c r="C1903" s="82"/>
      <c r="D1903" s="80"/>
      <c r="E1903" s="81"/>
      <c r="F1903" s="82"/>
      <c r="G1903" s="83"/>
      <c r="H1903" s="75" t="s">
        <v>1932</v>
      </c>
      <c r="I1903" s="76"/>
      <c r="J1903" s="84"/>
      <c r="K1903" s="78"/>
      <c r="L1903" s="88"/>
    </row>
    <row r="1904" ht="22.5" customHeight="1">
      <c r="A1904" s="80"/>
      <c r="B1904" s="81" t="s">
        <v>3012</v>
      </c>
      <c r="C1904" s="82"/>
      <c r="D1904" s="80"/>
      <c r="E1904" s="81"/>
      <c r="F1904" s="82"/>
      <c r="G1904" s="83"/>
      <c r="H1904" s="75" t="s">
        <v>1932</v>
      </c>
      <c r="I1904" s="76"/>
      <c r="J1904" s="84"/>
      <c r="K1904" s="78"/>
      <c r="L1904" s="88"/>
    </row>
    <row r="1905" ht="22.5" customHeight="1">
      <c r="A1905" s="80"/>
      <c r="B1905" s="81" t="s">
        <v>3013</v>
      </c>
      <c r="C1905" s="82"/>
      <c r="D1905" s="80"/>
      <c r="E1905" s="81"/>
      <c r="F1905" s="82"/>
      <c r="G1905" s="83"/>
      <c r="H1905" s="89"/>
      <c r="I1905" s="76"/>
      <c r="J1905" s="84"/>
      <c r="K1905" s="78"/>
      <c r="L1905" s="88"/>
    </row>
    <row r="1906" ht="22.5" customHeight="1">
      <c r="A1906" s="80"/>
      <c r="B1906" s="81" t="s">
        <v>3014</v>
      </c>
      <c r="C1906" s="82"/>
      <c r="D1906" s="80"/>
      <c r="E1906" s="81"/>
      <c r="F1906" s="82"/>
      <c r="G1906" s="83"/>
      <c r="H1906" s="89"/>
      <c r="I1906" s="76"/>
      <c r="J1906" s="84"/>
      <c r="K1906" s="78"/>
      <c r="L1906" s="88"/>
    </row>
    <row r="1907" ht="22.5" customHeight="1">
      <c r="A1907" s="80"/>
      <c r="B1907" s="81" t="s">
        <v>3015</v>
      </c>
      <c r="C1907" s="82"/>
      <c r="D1907" s="80"/>
      <c r="E1907" s="81"/>
      <c r="F1907" s="82"/>
      <c r="G1907" s="83"/>
      <c r="H1907" s="89"/>
      <c r="I1907" s="76"/>
      <c r="J1907" s="84"/>
      <c r="K1907" s="78"/>
      <c r="L1907" s="88"/>
    </row>
    <row r="1908" ht="22.5" customHeight="1">
      <c r="A1908" s="80"/>
      <c r="B1908" s="81" t="s">
        <v>3016</v>
      </c>
      <c r="C1908" s="82"/>
      <c r="D1908" s="80"/>
      <c r="E1908" s="81"/>
      <c r="F1908" s="82"/>
      <c r="G1908" s="83"/>
      <c r="H1908" s="89"/>
      <c r="I1908" s="76"/>
      <c r="J1908" s="84"/>
      <c r="K1908" s="78"/>
      <c r="L1908" s="88"/>
    </row>
    <row r="1909" ht="22.5" customHeight="1">
      <c r="A1909" s="80"/>
      <c r="B1909" s="81" t="s">
        <v>3017</v>
      </c>
      <c r="C1909" s="82"/>
      <c r="D1909" s="80"/>
      <c r="E1909" s="81"/>
      <c r="F1909" s="82"/>
      <c r="G1909" s="83"/>
      <c r="H1909" s="89"/>
      <c r="I1909" s="76"/>
      <c r="J1909" s="84"/>
      <c r="K1909" s="78"/>
      <c r="L1909" s="88"/>
    </row>
    <row r="1910" ht="22.5" customHeight="1">
      <c r="A1910" s="80"/>
      <c r="B1910" s="81" t="s">
        <v>3018</v>
      </c>
      <c r="C1910" s="82"/>
      <c r="D1910" s="80"/>
      <c r="E1910" s="81"/>
      <c r="F1910" s="82"/>
      <c r="G1910" s="83"/>
      <c r="H1910" s="89"/>
      <c r="I1910" s="76"/>
      <c r="J1910" s="84"/>
      <c r="K1910" s="78"/>
      <c r="L1910" s="88"/>
    </row>
    <row r="1911" ht="22.5" customHeight="1">
      <c r="A1911" s="80"/>
      <c r="B1911" s="81" t="s">
        <v>3019</v>
      </c>
      <c r="C1911" s="82"/>
      <c r="D1911" s="80"/>
      <c r="E1911" s="81"/>
      <c r="F1911" s="82"/>
      <c r="G1911" s="83"/>
      <c r="H1911" s="89"/>
      <c r="I1911" s="76"/>
      <c r="J1911" s="84"/>
      <c r="K1911" s="78"/>
      <c r="L1911" s="88"/>
    </row>
    <row r="1912" ht="22.5" customHeight="1">
      <c r="A1912" s="80"/>
      <c r="B1912" s="81" t="s">
        <v>3020</v>
      </c>
      <c r="C1912" s="82"/>
      <c r="D1912" s="80"/>
      <c r="E1912" s="81"/>
      <c r="F1912" s="82"/>
      <c r="G1912" s="83"/>
      <c r="H1912" s="89"/>
      <c r="I1912" s="76"/>
      <c r="J1912" s="84"/>
      <c r="K1912" s="78"/>
      <c r="L1912" s="88"/>
    </row>
    <row r="1913" ht="22.5" customHeight="1">
      <c r="A1913" s="80"/>
      <c r="B1913" s="81" t="s">
        <v>3021</v>
      </c>
      <c r="C1913" s="82"/>
      <c r="D1913" s="80"/>
      <c r="E1913" s="81"/>
      <c r="F1913" s="82"/>
      <c r="G1913" s="83"/>
      <c r="H1913" s="89"/>
      <c r="I1913" s="76"/>
      <c r="J1913" s="84"/>
      <c r="K1913" s="78"/>
      <c r="L1913" s="88"/>
    </row>
    <row r="1914" ht="22.5" customHeight="1">
      <c r="A1914" s="80"/>
      <c r="B1914" s="81" t="s">
        <v>3022</v>
      </c>
      <c r="C1914" s="82"/>
      <c r="D1914" s="80"/>
      <c r="E1914" s="81"/>
      <c r="F1914" s="82"/>
      <c r="G1914" s="83"/>
      <c r="H1914" s="89"/>
      <c r="I1914" s="76"/>
      <c r="J1914" s="84"/>
      <c r="K1914" s="78"/>
      <c r="L1914" s="88"/>
    </row>
    <row r="1915" ht="22.5" customHeight="1">
      <c r="A1915" s="80"/>
      <c r="B1915" s="81" t="s">
        <v>3023</v>
      </c>
      <c r="C1915" s="82"/>
      <c r="D1915" s="80"/>
      <c r="E1915" s="81"/>
      <c r="F1915" s="82"/>
      <c r="G1915" s="83"/>
      <c r="H1915" s="89"/>
      <c r="I1915" s="76"/>
      <c r="J1915" s="84"/>
      <c r="K1915" s="78"/>
      <c r="L1915" s="88"/>
    </row>
    <row r="1916" ht="22.5" customHeight="1">
      <c r="A1916" s="80"/>
      <c r="B1916" s="81" t="s">
        <v>3024</v>
      </c>
      <c r="C1916" s="82"/>
      <c r="D1916" s="80"/>
      <c r="E1916" s="81"/>
      <c r="F1916" s="82"/>
      <c r="G1916" s="83"/>
      <c r="H1916" s="89"/>
      <c r="I1916" s="76"/>
      <c r="J1916" s="84"/>
      <c r="K1916" s="78"/>
      <c r="L1916" s="88"/>
    </row>
    <row r="1917" ht="22.5" customHeight="1">
      <c r="A1917" s="80"/>
      <c r="B1917" s="81" t="s">
        <v>3025</v>
      </c>
      <c r="C1917" s="82"/>
      <c r="D1917" s="80"/>
      <c r="E1917" s="81"/>
      <c r="F1917" s="82"/>
      <c r="G1917" s="83"/>
      <c r="H1917" s="89"/>
      <c r="I1917" s="76"/>
      <c r="J1917" s="84"/>
      <c r="K1917" s="78"/>
      <c r="L1917" s="88"/>
    </row>
    <row r="1918" ht="22.5" customHeight="1">
      <c r="A1918" s="80"/>
      <c r="B1918" s="81" t="s">
        <v>3026</v>
      </c>
      <c r="C1918" s="82"/>
      <c r="D1918" s="80"/>
      <c r="E1918" s="81"/>
      <c r="F1918" s="82"/>
      <c r="G1918" s="83"/>
      <c r="H1918" s="89"/>
      <c r="I1918" s="76"/>
      <c r="J1918" s="84"/>
      <c r="K1918" s="78"/>
      <c r="L1918" s="88"/>
    </row>
    <row r="1919" ht="22.5" customHeight="1">
      <c r="A1919" s="80"/>
      <c r="B1919" s="81" t="s">
        <v>3027</v>
      </c>
      <c r="C1919" s="82"/>
      <c r="D1919" s="80"/>
      <c r="E1919" s="81"/>
      <c r="F1919" s="82"/>
      <c r="G1919" s="83"/>
      <c r="H1919" s="89"/>
      <c r="I1919" s="76"/>
      <c r="J1919" s="84"/>
      <c r="K1919" s="78"/>
      <c r="L1919" s="88"/>
    </row>
    <row r="1920" ht="22.5" customHeight="1">
      <c r="A1920" s="80"/>
      <c r="B1920" s="81" t="s">
        <v>3028</v>
      </c>
      <c r="C1920" s="82"/>
      <c r="D1920" s="80"/>
      <c r="E1920" s="81"/>
      <c r="F1920" s="82"/>
      <c r="G1920" s="83"/>
      <c r="H1920" s="89"/>
      <c r="I1920" s="76"/>
      <c r="J1920" s="84"/>
      <c r="K1920" s="78"/>
      <c r="L1920" s="88"/>
    </row>
    <row r="1921" ht="22.5" customHeight="1">
      <c r="A1921" s="80"/>
      <c r="B1921" s="81" t="s">
        <v>3029</v>
      </c>
      <c r="C1921" s="82"/>
      <c r="D1921" s="80"/>
      <c r="E1921" s="81"/>
      <c r="F1921" s="82"/>
      <c r="G1921" s="83"/>
      <c r="H1921" s="89"/>
      <c r="I1921" s="76"/>
      <c r="J1921" s="84"/>
      <c r="K1921" s="78"/>
      <c r="L1921" s="88"/>
    </row>
    <row r="1922" ht="22.5" customHeight="1">
      <c r="A1922" s="80"/>
      <c r="B1922" s="81" t="s">
        <v>3030</v>
      </c>
      <c r="C1922" s="82"/>
      <c r="D1922" s="80"/>
      <c r="E1922" s="81"/>
      <c r="F1922" s="82"/>
      <c r="G1922" s="83"/>
      <c r="H1922" s="89"/>
      <c r="I1922" s="76"/>
      <c r="J1922" s="84"/>
      <c r="K1922" s="78"/>
      <c r="L1922" s="88"/>
    </row>
    <row r="1923" ht="22.5" customHeight="1">
      <c r="A1923" s="80"/>
      <c r="B1923" s="81" t="s">
        <v>3031</v>
      </c>
      <c r="C1923" s="82"/>
      <c r="D1923" s="80"/>
      <c r="E1923" s="81"/>
      <c r="F1923" s="82"/>
      <c r="G1923" s="83"/>
      <c r="H1923" s="89"/>
      <c r="I1923" s="76"/>
      <c r="J1923" s="84"/>
      <c r="K1923" s="78"/>
      <c r="L1923" s="88"/>
    </row>
    <row r="1924" ht="22.5" customHeight="1">
      <c r="A1924" s="80"/>
      <c r="B1924" s="81" t="s">
        <v>3032</v>
      </c>
      <c r="C1924" s="82"/>
      <c r="D1924" s="80"/>
      <c r="E1924" s="81"/>
      <c r="F1924" s="82"/>
      <c r="G1924" s="83"/>
      <c r="H1924" s="89"/>
      <c r="I1924" s="76"/>
      <c r="J1924" s="84"/>
      <c r="K1924" s="78"/>
      <c r="L1924" s="88"/>
    </row>
    <row r="1925" ht="22.5" customHeight="1">
      <c r="A1925" s="80"/>
      <c r="B1925" s="81" t="s">
        <v>3033</v>
      </c>
      <c r="C1925" s="82"/>
      <c r="D1925" s="80"/>
      <c r="E1925" s="81"/>
      <c r="F1925" s="82"/>
      <c r="G1925" s="83"/>
      <c r="H1925" s="89"/>
      <c r="I1925" s="76"/>
      <c r="J1925" s="84"/>
      <c r="K1925" s="78"/>
      <c r="L1925" s="88"/>
    </row>
    <row r="1926" ht="22.5" customHeight="1">
      <c r="A1926" s="80"/>
      <c r="B1926" s="81" t="s">
        <v>3034</v>
      </c>
      <c r="C1926" s="82"/>
      <c r="D1926" s="80"/>
      <c r="E1926" s="81"/>
      <c r="F1926" s="82"/>
      <c r="G1926" s="83"/>
      <c r="H1926" s="89"/>
      <c r="I1926" s="76"/>
      <c r="J1926" s="84"/>
      <c r="K1926" s="78"/>
      <c r="L1926" s="88"/>
    </row>
    <row r="1927" ht="22.5" customHeight="1">
      <c r="A1927" s="80"/>
      <c r="B1927" s="81" t="s">
        <v>3035</v>
      </c>
      <c r="C1927" s="82"/>
      <c r="D1927" s="80"/>
      <c r="E1927" s="81"/>
      <c r="F1927" s="82"/>
      <c r="G1927" s="83"/>
      <c r="H1927" s="89"/>
      <c r="I1927" s="76"/>
      <c r="J1927" s="84"/>
      <c r="K1927" s="78"/>
      <c r="L1927" s="88"/>
    </row>
    <row r="1928" ht="22.5" customHeight="1">
      <c r="A1928" s="80"/>
      <c r="B1928" s="81" t="s">
        <v>3036</v>
      </c>
      <c r="C1928" s="82"/>
      <c r="D1928" s="80"/>
      <c r="E1928" s="81"/>
      <c r="F1928" s="82"/>
      <c r="G1928" s="83"/>
      <c r="H1928" s="89"/>
      <c r="I1928" s="76"/>
      <c r="J1928" s="84"/>
      <c r="K1928" s="78"/>
      <c r="L1928" s="88"/>
    </row>
    <row r="1929" ht="22.5" customHeight="1">
      <c r="A1929" s="80"/>
      <c r="B1929" s="81" t="s">
        <v>3037</v>
      </c>
      <c r="C1929" s="82"/>
      <c r="D1929" s="80"/>
      <c r="E1929" s="81"/>
      <c r="F1929" s="82"/>
      <c r="G1929" s="83"/>
      <c r="H1929" s="89"/>
      <c r="I1929" s="76"/>
      <c r="J1929" s="84"/>
      <c r="K1929" s="78"/>
      <c r="L1929" s="88"/>
    </row>
    <row r="1930" ht="22.5" customHeight="1">
      <c r="A1930" s="80"/>
      <c r="B1930" s="81" t="s">
        <v>3038</v>
      </c>
      <c r="C1930" s="82"/>
      <c r="D1930" s="80"/>
      <c r="E1930" s="81"/>
      <c r="F1930" s="82"/>
      <c r="G1930" s="83"/>
      <c r="H1930" s="89"/>
      <c r="I1930" s="76"/>
      <c r="J1930" s="84"/>
      <c r="K1930" s="78"/>
      <c r="L1930" s="88"/>
    </row>
    <row r="1931" ht="22.5" customHeight="1">
      <c r="A1931" s="80"/>
      <c r="B1931" s="81" t="s">
        <v>3039</v>
      </c>
      <c r="C1931" s="82"/>
      <c r="D1931" s="80"/>
      <c r="E1931" s="81"/>
      <c r="F1931" s="82"/>
      <c r="G1931" s="83"/>
      <c r="H1931" s="89"/>
      <c r="I1931" s="76"/>
      <c r="J1931" s="84"/>
      <c r="K1931" s="78"/>
      <c r="L1931" s="88"/>
    </row>
    <row r="1932" ht="22.5" customHeight="1">
      <c r="A1932" s="80"/>
      <c r="B1932" s="81" t="s">
        <v>3040</v>
      </c>
      <c r="C1932" s="82"/>
      <c r="D1932" s="80"/>
      <c r="E1932" s="81"/>
      <c r="F1932" s="82"/>
      <c r="G1932" s="83"/>
      <c r="H1932" s="89"/>
      <c r="I1932" s="76"/>
      <c r="J1932" s="84"/>
      <c r="K1932" s="78"/>
      <c r="L1932" s="88"/>
    </row>
    <row r="1933" ht="22.5" customHeight="1">
      <c r="A1933" s="80"/>
      <c r="B1933" s="81" t="s">
        <v>3041</v>
      </c>
      <c r="C1933" s="82"/>
      <c r="D1933" s="80"/>
      <c r="E1933" s="81"/>
      <c r="F1933" s="82"/>
      <c r="G1933" s="83"/>
      <c r="H1933" s="89"/>
      <c r="I1933" s="76"/>
      <c r="J1933" s="84"/>
      <c r="K1933" s="78"/>
      <c r="L1933" s="88"/>
    </row>
    <row r="1934" ht="22.5" customHeight="1">
      <c r="A1934" s="80"/>
      <c r="B1934" s="81" t="s">
        <v>3042</v>
      </c>
      <c r="C1934" s="82"/>
      <c r="D1934" s="80"/>
      <c r="E1934" s="81"/>
      <c r="F1934" s="82"/>
      <c r="G1934" s="83"/>
      <c r="H1934" s="89"/>
      <c r="I1934" s="76"/>
      <c r="J1934" s="84"/>
      <c r="K1934" s="78"/>
      <c r="L1934" s="88"/>
    </row>
    <row r="1935" ht="22.5" customHeight="1">
      <c r="A1935" s="80"/>
      <c r="B1935" s="81" t="s">
        <v>3043</v>
      </c>
      <c r="C1935" s="82"/>
      <c r="D1935" s="80"/>
      <c r="E1935" s="81"/>
      <c r="F1935" s="82"/>
      <c r="G1935" s="83"/>
      <c r="H1935" s="89"/>
      <c r="I1935" s="76"/>
      <c r="J1935" s="84"/>
      <c r="K1935" s="78"/>
      <c r="L1935" s="88"/>
    </row>
    <row r="1936" ht="22.5" customHeight="1">
      <c r="A1936" s="80"/>
      <c r="B1936" s="81" t="s">
        <v>3044</v>
      </c>
      <c r="C1936" s="82"/>
      <c r="D1936" s="80"/>
      <c r="E1936" s="81"/>
      <c r="F1936" s="82"/>
      <c r="G1936" s="83"/>
      <c r="H1936" s="89"/>
      <c r="I1936" s="76"/>
      <c r="J1936" s="84"/>
      <c r="K1936" s="78"/>
      <c r="L1936" s="88"/>
    </row>
    <row r="1937" ht="22.5" customHeight="1">
      <c r="A1937" s="80"/>
      <c r="B1937" s="81" t="s">
        <v>3045</v>
      </c>
      <c r="C1937" s="82"/>
      <c r="D1937" s="80"/>
      <c r="E1937" s="81"/>
      <c r="F1937" s="82"/>
      <c r="G1937" s="83"/>
      <c r="H1937" s="89"/>
      <c r="I1937" s="76"/>
      <c r="J1937" s="84"/>
      <c r="K1937" s="78"/>
      <c r="L1937" s="88"/>
    </row>
    <row r="1938" ht="22.5" customHeight="1">
      <c r="A1938" s="80"/>
      <c r="B1938" s="81" t="s">
        <v>3046</v>
      </c>
      <c r="C1938" s="82"/>
      <c r="D1938" s="80"/>
      <c r="E1938" s="81"/>
      <c r="F1938" s="82"/>
      <c r="G1938" s="83"/>
      <c r="H1938" s="89"/>
      <c r="I1938" s="76"/>
      <c r="J1938" s="84"/>
      <c r="K1938" s="78"/>
      <c r="L1938" s="88"/>
    </row>
    <row r="1939" ht="22.5" customHeight="1">
      <c r="A1939" s="80"/>
      <c r="B1939" s="81" t="s">
        <v>3047</v>
      </c>
      <c r="C1939" s="82"/>
      <c r="D1939" s="80"/>
      <c r="E1939" s="81"/>
      <c r="F1939" s="82"/>
      <c r="G1939" s="83"/>
      <c r="H1939" s="89"/>
      <c r="I1939" s="76"/>
      <c r="J1939" s="84"/>
      <c r="K1939" s="78"/>
      <c r="L1939" s="88"/>
    </row>
    <row r="1940" ht="22.5" customHeight="1">
      <c r="A1940" s="80"/>
      <c r="B1940" s="81" t="s">
        <v>3048</v>
      </c>
      <c r="C1940" s="82"/>
      <c r="D1940" s="80"/>
      <c r="E1940" s="81"/>
      <c r="F1940" s="82"/>
      <c r="G1940" s="83"/>
      <c r="H1940" s="89"/>
      <c r="I1940" s="76"/>
      <c r="J1940" s="84"/>
      <c r="K1940" s="78"/>
      <c r="L1940" s="88"/>
    </row>
    <row r="1941" ht="22.5" customHeight="1">
      <c r="A1941" s="80"/>
      <c r="B1941" s="81" t="s">
        <v>3049</v>
      </c>
      <c r="C1941" s="82"/>
      <c r="D1941" s="80"/>
      <c r="E1941" s="81"/>
      <c r="F1941" s="82"/>
      <c r="G1941" s="83"/>
      <c r="H1941" s="89"/>
      <c r="I1941" s="76"/>
      <c r="J1941" s="84"/>
      <c r="K1941" s="78"/>
      <c r="L1941" s="88"/>
    </row>
    <row r="1942" ht="22.5" customHeight="1">
      <c r="A1942" s="80"/>
      <c r="B1942" s="81" t="s">
        <v>3050</v>
      </c>
      <c r="C1942" s="82"/>
      <c r="D1942" s="80"/>
      <c r="E1942" s="81"/>
      <c r="F1942" s="82"/>
      <c r="G1942" s="83"/>
      <c r="H1942" s="89"/>
      <c r="I1942" s="76"/>
      <c r="J1942" s="84"/>
      <c r="K1942" s="78"/>
      <c r="L1942" s="88"/>
    </row>
    <row r="1943" ht="22.5" customHeight="1">
      <c r="A1943" s="80"/>
      <c r="B1943" s="81" t="s">
        <v>3051</v>
      </c>
      <c r="C1943" s="82"/>
      <c r="D1943" s="80"/>
      <c r="E1943" s="81"/>
      <c r="F1943" s="82"/>
      <c r="G1943" s="83"/>
      <c r="H1943" s="89"/>
      <c r="I1943" s="76"/>
      <c r="J1943" s="84"/>
      <c r="K1943" s="78"/>
      <c r="L1943" s="88"/>
    </row>
    <row r="1944" ht="22.5" customHeight="1">
      <c r="A1944" s="80"/>
      <c r="B1944" s="81" t="s">
        <v>3052</v>
      </c>
      <c r="C1944" s="82"/>
      <c r="D1944" s="80"/>
      <c r="E1944" s="81"/>
      <c r="F1944" s="82"/>
      <c r="G1944" s="83"/>
      <c r="H1944" s="89"/>
      <c r="I1944" s="76"/>
      <c r="J1944" s="84"/>
      <c r="K1944" s="78"/>
      <c r="L1944" s="88"/>
    </row>
    <row r="1945" ht="22.5" customHeight="1">
      <c r="A1945" s="80"/>
      <c r="B1945" s="81" t="s">
        <v>3053</v>
      </c>
      <c r="C1945" s="82"/>
      <c r="D1945" s="80"/>
      <c r="E1945" s="81"/>
      <c r="F1945" s="82"/>
      <c r="G1945" s="83"/>
      <c r="H1945" s="89"/>
      <c r="I1945" s="76"/>
      <c r="J1945" s="84"/>
      <c r="K1945" s="78"/>
      <c r="L1945" s="88"/>
    </row>
    <row r="1946" ht="22.5" customHeight="1">
      <c r="A1946" s="80"/>
      <c r="B1946" s="81" t="s">
        <v>3054</v>
      </c>
      <c r="C1946" s="82"/>
      <c r="D1946" s="80"/>
      <c r="E1946" s="81"/>
      <c r="F1946" s="82"/>
      <c r="G1946" s="83"/>
      <c r="H1946" s="89"/>
      <c r="I1946" s="76"/>
      <c r="J1946" s="84"/>
      <c r="K1946" s="78"/>
      <c r="L1946" s="88"/>
    </row>
    <row r="1947" ht="22.5" customHeight="1">
      <c r="A1947" s="80"/>
      <c r="B1947" s="81" t="s">
        <v>3055</v>
      </c>
      <c r="C1947" s="82"/>
      <c r="D1947" s="80"/>
      <c r="E1947" s="81"/>
      <c r="F1947" s="82"/>
      <c r="G1947" s="83"/>
      <c r="H1947" s="89"/>
      <c r="I1947" s="76"/>
      <c r="J1947" s="84"/>
      <c r="K1947" s="78"/>
      <c r="L1947" s="88"/>
    </row>
    <row r="1948" ht="22.5" customHeight="1">
      <c r="A1948" s="80"/>
      <c r="B1948" s="81" t="s">
        <v>3056</v>
      </c>
      <c r="C1948" s="82"/>
      <c r="D1948" s="80"/>
      <c r="E1948" s="81"/>
      <c r="F1948" s="82"/>
      <c r="G1948" s="83"/>
      <c r="H1948" s="89"/>
      <c r="I1948" s="76"/>
      <c r="J1948" s="84"/>
      <c r="K1948" s="78"/>
      <c r="L1948" s="88"/>
    </row>
    <row r="1949" ht="22.5" customHeight="1">
      <c r="A1949" s="80"/>
      <c r="B1949" s="81" t="s">
        <v>3057</v>
      </c>
      <c r="C1949" s="82"/>
      <c r="D1949" s="80"/>
      <c r="E1949" s="81"/>
      <c r="F1949" s="82"/>
      <c r="G1949" s="83"/>
      <c r="H1949" s="89"/>
      <c r="I1949" s="76"/>
      <c r="J1949" s="84"/>
      <c r="K1949" s="78"/>
      <c r="L1949" s="88"/>
    </row>
    <row r="1950" ht="22.5" customHeight="1">
      <c r="A1950" s="80"/>
      <c r="B1950" s="81" t="s">
        <v>3058</v>
      </c>
      <c r="C1950" s="82"/>
      <c r="D1950" s="80"/>
      <c r="E1950" s="81"/>
      <c r="F1950" s="82"/>
      <c r="G1950" s="83"/>
      <c r="H1950" s="89"/>
      <c r="I1950" s="76"/>
      <c r="J1950" s="84"/>
      <c r="K1950" s="78"/>
      <c r="L1950" s="88"/>
    </row>
    <row r="1951" ht="22.5" customHeight="1">
      <c r="A1951" s="80"/>
      <c r="B1951" s="81" t="s">
        <v>3059</v>
      </c>
      <c r="C1951" s="82"/>
      <c r="D1951" s="80"/>
      <c r="E1951" s="81"/>
      <c r="F1951" s="82"/>
      <c r="G1951" s="83"/>
      <c r="H1951" s="89"/>
      <c r="I1951" s="76"/>
      <c r="J1951" s="84"/>
      <c r="K1951" s="78"/>
      <c r="L1951" s="88"/>
    </row>
    <row r="1952" ht="22.5" customHeight="1">
      <c r="A1952" s="80"/>
      <c r="B1952" s="81" t="s">
        <v>3060</v>
      </c>
      <c r="C1952" s="82"/>
      <c r="D1952" s="80"/>
      <c r="E1952" s="81"/>
      <c r="F1952" s="82"/>
      <c r="G1952" s="83"/>
      <c r="H1952" s="89"/>
      <c r="I1952" s="76"/>
      <c r="J1952" s="84"/>
      <c r="K1952" s="78"/>
      <c r="L1952" s="88"/>
    </row>
    <row r="1953" ht="22.5" customHeight="1">
      <c r="A1953" s="80"/>
      <c r="B1953" s="81" t="s">
        <v>3061</v>
      </c>
      <c r="C1953" s="82"/>
      <c r="D1953" s="80"/>
      <c r="E1953" s="81"/>
      <c r="F1953" s="82"/>
      <c r="G1953" s="83"/>
      <c r="H1953" s="89"/>
      <c r="I1953" s="76"/>
      <c r="J1953" s="84"/>
      <c r="K1953" s="78"/>
      <c r="L1953" s="88"/>
    </row>
    <row r="1954" ht="22.5" customHeight="1">
      <c r="A1954" s="80"/>
      <c r="B1954" s="81" t="s">
        <v>3062</v>
      </c>
      <c r="C1954" s="82"/>
      <c r="D1954" s="80"/>
      <c r="E1954" s="81"/>
      <c r="F1954" s="82"/>
      <c r="G1954" s="83"/>
      <c r="H1954" s="89"/>
      <c r="I1954" s="76"/>
      <c r="J1954" s="84"/>
      <c r="K1954" s="78"/>
      <c r="L1954" s="88"/>
    </row>
    <row r="1955" ht="22.5" customHeight="1">
      <c r="A1955" s="80"/>
      <c r="B1955" s="81" t="s">
        <v>3063</v>
      </c>
      <c r="C1955" s="82"/>
      <c r="D1955" s="80"/>
      <c r="E1955" s="81"/>
      <c r="F1955" s="82"/>
      <c r="G1955" s="83"/>
      <c r="H1955" s="89"/>
      <c r="I1955" s="76"/>
      <c r="J1955" s="84"/>
      <c r="K1955" s="78"/>
      <c r="L1955" s="88"/>
    </row>
    <row r="1956" ht="22.5" customHeight="1">
      <c r="A1956" s="80"/>
      <c r="B1956" s="81" t="s">
        <v>3064</v>
      </c>
      <c r="C1956" s="82"/>
      <c r="D1956" s="80"/>
      <c r="E1956" s="81"/>
      <c r="F1956" s="82"/>
      <c r="G1956" s="83"/>
      <c r="H1956" s="89"/>
      <c r="I1956" s="76"/>
      <c r="J1956" s="84"/>
      <c r="K1956" s="78"/>
      <c r="L1956" s="88"/>
    </row>
    <row r="1957" ht="22.5" customHeight="1">
      <c r="A1957" s="80"/>
      <c r="B1957" s="81" t="s">
        <v>3043</v>
      </c>
      <c r="C1957" s="82"/>
      <c r="D1957" s="80"/>
      <c r="E1957" s="81"/>
      <c r="F1957" s="82"/>
      <c r="G1957" s="83"/>
      <c r="H1957" s="89"/>
      <c r="I1957" s="76"/>
      <c r="J1957" s="84"/>
      <c r="K1957" s="78"/>
      <c r="L1957" s="88"/>
    </row>
    <row r="1958" ht="22.5" customHeight="1">
      <c r="A1958" s="80"/>
      <c r="B1958" s="81" t="s">
        <v>3065</v>
      </c>
      <c r="C1958" s="82"/>
      <c r="D1958" s="80"/>
      <c r="E1958" s="81"/>
      <c r="F1958" s="82"/>
      <c r="G1958" s="83"/>
      <c r="H1958" s="89"/>
      <c r="I1958" s="76"/>
      <c r="J1958" s="84"/>
      <c r="K1958" s="78"/>
      <c r="L1958" s="88"/>
    </row>
    <row r="1959" ht="22.5" customHeight="1">
      <c r="A1959" s="80"/>
      <c r="B1959" s="81" t="s">
        <v>3066</v>
      </c>
      <c r="C1959" s="82"/>
      <c r="D1959" s="80"/>
      <c r="E1959" s="81"/>
      <c r="F1959" s="82"/>
      <c r="G1959" s="83"/>
      <c r="H1959" s="89"/>
      <c r="I1959" s="76"/>
      <c r="J1959" s="84"/>
      <c r="K1959" s="78"/>
      <c r="L1959" s="88"/>
    </row>
    <row r="1960" ht="22.5" customHeight="1">
      <c r="A1960" s="80"/>
      <c r="B1960" s="81" t="s">
        <v>3067</v>
      </c>
      <c r="C1960" s="82"/>
      <c r="D1960" s="80"/>
      <c r="E1960" s="81"/>
      <c r="F1960" s="82"/>
      <c r="G1960" s="83"/>
      <c r="H1960" s="89"/>
      <c r="I1960" s="76"/>
      <c r="J1960" s="84"/>
      <c r="K1960" s="78"/>
      <c r="L1960" s="88"/>
    </row>
    <row r="1961" ht="22.5" customHeight="1">
      <c r="A1961" s="80"/>
      <c r="B1961" s="81" t="s">
        <v>3068</v>
      </c>
      <c r="C1961" s="82"/>
      <c r="D1961" s="80"/>
      <c r="E1961" s="81"/>
      <c r="F1961" s="82"/>
      <c r="G1961" s="83"/>
      <c r="H1961" s="89"/>
      <c r="I1961" s="76"/>
      <c r="J1961" s="84"/>
      <c r="K1961" s="78"/>
      <c r="L1961" s="88"/>
    </row>
    <row r="1962" ht="22.5" customHeight="1">
      <c r="A1962" s="80"/>
      <c r="B1962" s="81" t="s">
        <v>3069</v>
      </c>
      <c r="C1962" s="82"/>
      <c r="D1962" s="80"/>
      <c r="E1962" s="81"/>
      <c r="F1962" s="82"/>
      <c r="G1962" s="83"/>
      <c r="H1962" s="89"/>
      <c r="I1962" s="76"/>
      <c r="J1962" s="84"/>
      <c r="K1962" s="78"/>
      <c r="L1962" s="88"/>
    </row>
    <row r="1963" ht="22.5" customHeight="1">
      <c r="A1963" s="80"/>
      <c r="B1963" s="81" t="s">
        <v>3070</v>
      </c>
      <c r="C1963" s="82"/>
      <c r="D1963" s="80"/>
      <c r="E1963" s="81"/>
      <c r="F1963" s="82"/>
      <c r="G1963" s="83"/>
      <c r="H1963" s="89"/>
      <c r="I1963" s="76"/>
      <c r="J1963" s="84"/>
      <c r="K1963" s="78"/>
      <c r="L1963" s="88"/>
    </row>
    <row r="1964" ht="22.5" customHeight="1">
      <c r="A1964" s="80"/>
      <c r="B1964" s="81" t="s">
        <v>3071</v>
      </c>
      <c r="C1964" s="82"/>
      <c r="D1964" s="80"/>
      <c r="E1964" s="81"/>
      <c r="F1964" s="82"/>
      <c r="G1964" s="83"/>
      <c r="H1964" s="89"/>
      <c r="I1964" s="76"/>
      <c r="J1964" s="84"/>
      <c r="K1964" s="78"/>
      <c r="L1964" s="88"/>
    </row>
    <row r="1965" ht="22.5" customHeight="1">
      <c r="A1965" s="80"/>
      <c r="B1965" s="81" t="s">
        <v>3072</v>
      </c>
      <c r="C1965" s="82"/>
      <c r="D1965" s="80"/>
      <c r="E1965" s="81"/>
      <c r="F1965" s="82"/>
      <c r="G1965" s="83"/>
      <c r="H1965" s="89"/>
      <c r="I1965" s="76"/>
      <c r="J1965" s="84"/>
      <c r="K1965" s="78"/>
      <c r="L1965" s="88"/>
    </row>
    <row r="1966" ht="22.5" customHeight="1">
      <c r="A1966" s="80"/>
      <c r="B1966" s="81" t="s">
        <v>3073</v>
      </c>
      <c r="C1966" s="82"/>
      <c r="D1966" s="80"/>
      <c r="E1966" s="81"/>
      <c r="F1966" s="82"/>
      <c r="G1966" s="83"/>
      <c r="H1966" s="89"/>
      <c r="I1966" s="76"/>
      <c r="J1966" s="84"/>
      <c r="K1966" s="78"/>
      <c r="L1966" s="88"/>
    </row>
    <row r="1967" ht="22.5" customHeight="1">
      <c r="A1967" s="80"/>
      <c r="B1967" s="81" t="s">
        <v>3074</v>
      </c>
      <c r="C1967" s="82"/>
      <c r="D1967" s="80"/>
      <c r="E1967" s="81"/>
      <c r="F1967" s="82"/>
      <c r="G1967" s="83"/>
      <c r="H1967" s="89"/>
      <c r="I1967" s="76"/>
      <c r="J1967" s="84"/>
      <c r="K1967" s="78"/>
      <c r="L1967" s="88"/>
    </row>
    <row r="1968" ht="22.5" customHeight="1">
      <c r="A1968" s="80"/>
      <c r="B1968" s="81" t="s">
        <v>3075</v>
      </c>
      <c r="C1968" s="82"/>
      <c r="D1968" s="80"/>
      <c r="E1968" s="81"/>
      <c r="F1968" s="82"/>
      <c r="G1968" s="83"/>
      <c r="H1968" s="89"/>
      <c r="I1968" s="76"/>
      <c r="J1968" s="84"/>
      <c r="K1968" s="78"/>
      <c r="L1968" s="88"/>
    </row>
    <row r="1969" ht="22.5" customHeight="1">
      <c r="A1969" s="80"/>
      <c r="B1969" s="81" t="s">
        <v>3076</v>
      </c>
      <c r="C1969" s="82"/>
      <c r="D1969" s="80"/>
      <c r="E1969" s="81"/>
      <c r="F1969" s="82"/>
      <c r="G1969" s="83"/>
      <c r="H1969" s="89"/>
      <c r="I1969" s="76"/>
      <c r="J1969" s="84"/>
      <c r="K1969" s="78"/>
      <c r="L1969" s="88"/>
    </row>
    <row r="1970" ht="22.5" customHeight="1">
      <c r="A1970" s="80"/>
      <c r="B1970" s="81" t="s">
        <v>3077</v>
      </c>
      <c r="C1970" s="82"/>
      <c r="D1970" s="80"/>
      <c r="E1970" s="81"/>
      <c r="F1970" s="82"/>
      <c r="G1970" s="83"/>
      <c r="H1970" s="89"/>
      <c r="I1970" s="76"/>
      <c r="J1970" s="84"/>
      <c r="K1970" s="78"/>
      <c r="L1970" s="88"/>
    </row>
    <row r="1971" ht="22.5" customHeight="1">
      <c r="A1971" s="80"/>
      <c r="B1971" s="81" t="s">
        <v>3078</v>
      </c>
      <c r="C1971" s="82"/>
      <c r="D1971" s="80"/>
      <c r="E1971" s="81"/>
      <c r="F1971" s="82"/>
      <c r="G1971" s="83"/>
      <c r="H1971" s="89"/>
      <c r="I1971" s="76"/>
      <c r="J1971" s="84"/>
      <c r="K1971" s="78"/>
      <c r="L1971" s="88"/>
    </row>
    <row r="1972" ht="22.5" customHeight="1">
      <c r="A1972" s="80"/>
      <c r="B1972" s="81" t="s">
        <v>3079</v>
      </c>
      <c r="C1972" s="82"/>
      <c r="D1972" s="80"/>
      <c r="E1972" s="81"/>
      <c r="F1972" s="82"/>
      <c r="G1972" s="83"/>
      <c r="H1972" s="89"/>
      <c r="I1972" s="76"/>
      <c r="J1972" s="84"/>
      <c r="K1972" s="78"/>
      <c r="L1972" s="88"/>
    </row>
    <row r="1973" ht="22.5" customHeight="1">
      <c r="A1973" s="80"/>
      <c r="B1973" s="81" t="s">
        <v>3080</v>
      </c>
      <c r="C1973" s="82"/>
      <c r="D1973" s="80"/>
      <c r="E1973" s="81"/>
      <c r="F1973" s="82"/>
      <c r="G1973" s="83"/>
      <c r="H1973" s="89"/>
      <c r="I1973" s="76"/>
      <c r="J1973" s="84"/>
      <c r="K1973" s="78"/>
      <c r="L1973" s="88"/>
    </row>
    <row r="1974" ht="22.5" customHeight="1">
      <c r="A1974" s="80"/>
      <c r="B1974" s="81" t="s">
        <v>3081</v>
      </c>
      <c r="C1974" s="82"/>
      <c r="D1974" s="80"/>
      <c r="E1974" s="81"/>
      <c r="F1974" s="82"/>
      <c r="G1974" s="83"/>
      <c r="H1974" s="89"/>
      <c r="I1974" s="76"/>
      <c r="J1974" s="84"/>
      <c r="K1974" s="78"/>
      <c r="L1974" s="88"/>
    </row>
    <row r="1975" ht="22.5" customHeight="1">
      <c r="A1975" s="80"/>
      <c r="B1975" s="81" t="s">
        <v>3082</v>
      </c>
      <c r="C1975" s="82"/>
      <c r="D1975" s="80"/>
      <c r="E1975" s="81"/>
      <c r="F1975" s="82"/>
      <c r="G1975" s="83"/>
      <c r="H1975" s="89"/>
      <c r="I1975" s="76"/>
      <c r="J1975" s="84"/>
      <c r="K1975" s="78"/>
      <c r="L1975" s="88"/>
    </row>
    <row r="1976" ht="22.5" customHeight="1">
      <c r="A1976" s="80"/>
      <c r="B1976" s="81" t="s">
        <v>3083</v>
      </c>
      <c r="C1976" s="82"/>
      <c r="D1976" s="80"/>
      <c r="E1976" s="81"/>
      <c r="F1976" s="82"/>
      <c r="G1976" s="83"/>
      <c r="H1976" s="89"/>
      <c r="I1976" s="76"/>
      <c r="J1976" s="84"/>
      <c r="K1976" s="78"/>
      <c r="L1976" s="88"/>
    </row>
    <row r="1977" ht="22.5" customHeight="1">
      <c r="A1977" s="80"/>
      <c r="B1977" s="81" t="s">
        <v>3084</v>
      </c>
      <c r="C1977" s="82"/>
      <c r="D1977" s="80"/>
      <c r="E1977" s="81"/>
      <c r="F1977" s="82"/>
      <c r="G1977" s="83"/>
      <c r="H1977" s="89"/>
      <c r="I1977" s="76"/>
      <c r="J1977" s="84"/>
      <c r="K1977" s="78"/>
      <c r="L1977" s="88"/>
    </row>
    <row r="1978" ht="22.5" customHeight="1">
      <c r="A1978" s="80"/>
      <c r="B1978" s="81" t="s">
        <v>3085</v>
      </c>
      <c r="C1978" s="82"/>
      <c r="D1978" s="80"/>
      <c r="E1978" s="81"/>
      <c r="F1978" s="82"/>
      <c r="G1978" s="83"/>
      <c r="H1978" s="89"/>
      <c r="I1978" s="76"/>
      <c r="J1978" s="84"/>
      <c r="K1978" s="78"/>
      <c r="L1978" s="88"/>
    </row>
    <row r="1979" ht="22.5" customHeight="1">
      <c r="A1979" s="80"/>
      <c r="B1979" s="81" t="s">
        <v>3086</v>
      </c>
      <c r="C1979" s="82"/>
      <c r="D1979" s="80"/>
      <c r="E1979" s="81"/>
      <c r="F1979" s="82"/>
      <c r="G1979" s="83"/>
      <c r="H1979" s="89"/>
      <c r="I1979" s="76"/>
      <c r="J1979" s="84"/>
      <c r="K1979" s="78"/>
      <c r="L1979" s="88"/>
    </row>
    <row r="1980" ht="22.5" customHeight="1">
      <c r="A1980" s="80"/>
      <c r="B1980" s="81" t="s">
        <v>3087</v>
      </c>
      <c r="C1980" s="82"/>
      <c r="D1980" s="80"/>
      <c r="E1980" s="81"/>
      <c r="F1980" s="82"/>
      <c r="G1980" s="83"/>
      <c r="H1980" s="89"/>
      <c r="I1980" s="76"/>
      <c r="J1980" s="84"/>
      <c r="K1980" s="78"/>
      <c r="L1980" s="88"/>
    </row>
    <row r="1981" ht="22.5" customHeight="1">
      <c r="A1981" s="80"/>
      <c r="B1981" s="81" t="s">
        <v>3088</v>
      </c>
      <c r="C1981" s="82"/>
      <c r="D1981" s="80"/>
      <c r="E1981" s="81"/>
      <c r="F1981" s="82"/>
      <c r="G1981" s="83"/>
      <c r="H1981" s="89"/>
      <c r="I1981" s="76"/>
      <c r="J1981" s="84"/>
      <c r="K1981" s="78"/>
      <c r="L1981" s="88"/>
    </row>
    <row r="1982" ht="22.5" customHeight="1">
      <c r="A1982" s="80"/>
      <c r="B1982" s="81" t="s">
        <v>3089</v>
      </c>
      <c r="C1982" s="82"/>
      <c r="D1982" s="80"/>
      <c r="E1982" s="81"/>
      <c r="F1982" s="82"/>
      <c r="G1982" s="83"/>
      <c r="H1982" s="89"/>
      <c r="I1982" s="76"/>
      <c r="J1982" s="84"/>
      <c r="K1982" s="78"/>
      <c r="L1982" s="88"/>
    </row>
    <row r="1983" ht="22.5" customHeight="1">
      <c r="A1983" s="80"/>
      <c r="B1983" s="81" t="s">
        <v>3090</v>
      </c>
      <c r="C1983" s="82"/>
      <c r="D1983" s="80"/>
      <c r="E1983" s="81"/>
      <c r="F1983" s="82"/>
      <c r="G1983" s="83"/>
      <c r="H1983" s="89"/>
      <c r="I1983" s="76"/>
      <c r="J1983" s="84"/>
      <c r="K1983" s="78"/>
      <c r="L1983" s="88"/>
    </row>
    <row r="1984" ht="22.5" customHeight="1">
      <c r="A1984" s="80"/>
      <c r="B1984" s="81" t="s">
        <v>3091</v>
      </c>
      <c r="C1984" s="82"/>
      <c r="D1984" s="80"/>
      <c r="E1984" s="81"/>
      <c r="F1984" s="82"/>
      <c r="G1984" s="83"/>
      <c r="H1984" s="89"/>
      <c r="I1984" s="76"/>
      <c r="J1984" s="84"/>
      <c r="K1984" s="78"/>
      <c r="L1984" s="88"/>
    </row>
    <row r="1985" ht="22.5" customHeight="1">
      <c r="A1985" s="80"/>
      <c r="B1985" s="81" t="s">
        <v>3092</v>
      </c>
      <c r="C1985" s="82"/>
      <c r="D1985" s="80"/>
      <c r="E1985" s="81"/>
      <c r="F1985" s="82"/>
      <c r="G1985" s="83"/>
      <c r="H1985" s="89"/>
      <c r="I1985" s="76"/>
      <c r="J1985" s="84"/>
      <c r="K1985" s="78"/>
      <c r="L1985" s="88"/>
    </row>
    <row r="1986" ht="22.5" customHeight="1">
      <c r="A1986" s="80"/>
      <c r="B1986" s="81" t="s">
        <v>3093</v>
      </c>
      <c r="C1986" s="82"/>
      <c r="D1986" s="80"/>
      <c r="E1986" s="81"/>
      <c r="F1986" s="82"/>
      <c r="G1986" s="83"/>
      <c r="H1986" s="89"/>
      <c r="I1986" s="76"/>
      <c r="J1986" s="84"/>
      <c r="K1986" s="78"/>
      <c r="L1986" s="88"/>
    </row>
    <row r="1987" ht="22.5" customHeight="1">
      <c r="A1987" s="80"/>
      <c r="B1987" s="81" t="s">
        <v>3094</v>
      </c>
      <c r="C1987" s="82"/>
      <c r="D1987" s="80"/>
      <c r="E1987" s="81"/>
      <c r="F1987" s="82"/>
      <c r="G1987" s="83"/>
      <c r="H1987" s="89"/>
      <c r="I1987" s="76"/>
      <c r="J1987" s="84"/>
      <c r="K1987" s="78"/>
      <c r="L1987" s="88"/>
    </row>
    <row r="1988" ht="22.5" customHeight="1">
      <c r="A1988" s="80"/>
      <c r="B1988" s="81" t="s">
        <v>3095</v>
      </c>
      <c r="C1988" s="82"/>
      <c r="D1988" s="80"/>
      <c r="E1988" s="81"/>
      <c r="F1988" s="82"/>
      <c r="G1988" s="83"/>
      <c r="H1988" s="89"/>
      <c r="I1988" s="76"/>
      <c r="J1988" s="84"/>
      <c r="K1988" s="78"/>
      <c r="L1988" s="88"/>
    </row>
    <row r="1989" ht="22.5" customHeight="1">
      <c r="A1989" s="80"/>
      <c r="B1989" s="81" t="s">
        <v>3096</v>
      </c>
      <c r="C1989" s="82"/>
      <c r="D1989" s="80"/>
      <c r="E1989" s="81"/>
      <c r="F1989" s="82"/>
      <c r="G1989" s="83"/>
      <c r="H1989" s="89"/>
      <c r="I1989" s="76"/>
      <c r="J1989" s="84"/>
      <c r="K1989" s="78"/>
      <c r="L1989" s="88"/>
    </row>
    <row r="1990" ht="22.5" customHeight="1">
      <c r="A1990" s="80"/>
      <c r="B1990" s="81" t="s">
        <v>3097</v>
      </c>
      <c r="C1990" s="82"/>
      <c r="D1990" s="80"/>
      <c r="E1990" s="81"/>
      <c r="F1990" s="82"/>
      <c r="G1990" s="83"/>
      <c r="H1990" s="89"/>
      <c r="I1990" s="76"/>
      <c r="J1990" s="84"/>
      <c r="K1990" s="78"/>
      <c r="L1990" s="88"/>
    </row>
    <row r="1991" ht="22.5" customHeight="1">
      <c r="A1991" s="80"/>
      <c r="B1991" s="81" t="s">
        <v>3098</v>
      </c>
      <c r="C1991" s="82"/>
      <c r="D1991" s="80"/>
      <c r="E1991" s="81"/>
      <c r="F1991" s="82"/>
      <c r="G1991" s="83"/>
      <c r="H1991" s="89"/>
      <c r="I1991" s="76"/>
      <c r="J1991" s="84"/>
      <c r="K1991" s="78"/>
      <c r="L1991" s="88"/>
    </row>
    <row r="1992" ht="22.5" customHeight="1">
      <c r="A1992" s="80"/>
      <c r="B1992" s="81" t="s">
        <v>3099</v>
      </c>
      <c r="C1992" s="82"/>
      <c r="D1992" s="80"/>
      <c r="E1992" s="81"/>
      <c r="F1992" s="82"/>
      <c r="G1992" s="83"/>
      <c r="H1992" s="89"/>
      <c r="I1992" s="76"/>
      <c r="J1992" s="84"/>
      <c r="K1992" s="78"/>
      <c r="L1992" s="88"/>
    </row>
    <row r="1993" ht="22.5" customHeight="1">
      <c r="A1993" s="80"/>
      <c r="B1993" s="81" t="s">
        <v>3100</v>
      </c>
      <c r="C1993" s="82"/>
      <c r="D1993" s="80"/>
      <c r="E1993" s="81"/>
      <c r="F1993" s="82"/>
      <c r="G1993" s="83"/>
      <c r="H1993" s="89"/>
      <c r="I1993" s="76"/>
      <c r="J1993" s="84"/>
      <c r="K1993" s="78"/>
      <c r="L1993" s="88"/>
    </row>
    <row r="1994" ht="22.5" customHeight="1">
      <c r="A1994" s="80"/>
      <c r="B1994" s="81" t="s">
        <v>3101</v>
      </c>
      <c r="C1994" s="82"/>
      <c r="D1994" s="80"/>
      <c r="E1994" s="81"/>
      <c r="F1994" s="82"/>
      <c r="G1994" s="83"/>
      <c r="H1994" s="89"/>
      <c r="I1994" s="76"/>
      <c r="J1994" s="84"/>
      <c r="K1994" s="78"/>
      <c r="L1994" s="88"/>
    </row>
    <row r="1995" ht="22.5" customHeight="1">
      <c r="A1995" s="80"/>
      <c r="B1995" s="81" t="s">
        <v>3102</v>
      </c>
      <c r="C1995" s="82"/>
      <c r="D1995" s="80"/>
      <c r="E1995" s="81"/>
      <c r="F1995" s="82"/>
      <c r="G1995" s="83"/>
      <c r="H1995" s="89"/>
      <c r="I1995" s="76"/>
      <c r="J1995" s="84"/>
      <c r="K1995" s="78"/>
      <c r="L1995" s="88"/>
    </row>
    <row r="1996" ht="22.5" customHeight="1">
      <c r="A1996" s="80"/>
      <c r="B1996" s="81" t="s">
        <v>3103</v>
      </c>
      <c r="C1996" s="82"/>
      <c r="D1996" s="80"/>
      <c r="E1996" s="81"/>
      <c r="F1996" s="82"/>
      <c r="G1996" s="83"/>
      <c r="H1996" s="89"/>
      <c r="I1996" s="76"/>
      <c r="J1996" s="84"/>
      <c r="K1996" s="78"/>
      <c r="L1996" s="88"/>
    </row>
    <row r="1997" ht="22.5" customHeight="1">
      <c r="A1997" s="80"/>
      <c r="B1997" s="81" t="s">
        <v>3104</v>
      </c>
      <c r="C1997" s="82"/>
      <c r="D1997" s="80"/>
      <c r="E1997" s="81"/>
      <c r="F1997" s="82"/>
      <c r="G1997" s="83"/>
      <c r="H1997" s="89"/>
      <c r="I1997" s="76"/>
      <c r="J1997" s="84"/>
      <c r="K1997" s="78"/>
      <c r="L1997" s="88"/>
    </row>
    <row r="1998" ht="22.5" customHeight="1">
      <c r="A1998" s="80"/>
      <c r="B1998" s="81" t="s">
        <v>3105</v>
      </c>
      <c r="C1998" s="82"/>
      <c r="D1998" s="80"/>
      <c r="E1998" s="81"/>
      <c r="F1998" s="82"/>
      <c r="G1998" s="83"/>
      <c r="H1998" s="89"/>
      <c r="I1998" s="76"/>
      <c r="J1998" s="84"/>
      <c r="K1998" s="78"/>
      <c r="L1998" s="88"/>
    </row>
    <row r="1999" ht="22.5" customHeight="1">
      <c r="A1999" s="80"/>
      <c r="B1999" s="81" t="s">
        <v>3106</v>
      </c>
      <c r="C1999" s="82"/>
      <c r="D1999" s="80"/>
      <c r="E1999" s="81"/>
      <c r="F1999" s="82"/>
      <c r="G1999" s="83"/>
      <c r="H1999" s="89"/>
      <c r="I1999" s="76"/>
      <c r="J1999" s="84"/>
      <c r="K1999" s="78"/>
      <c r="L1999" s="88"/>
    </row>
    <row r="2000" ht="22.5" customHeight="1">
      <c r="A2000" s="80"/>
      <c r="B2000" s="81" t="s">
        <v>3107</v>
      </c>
      <c r="C2000" s="82"/>
      <c r="D2000" s="80"/>
      <c r="E2000" s="81"/>
      <c r="F2000" s="82"/>
      <c r="G2000" s="83"/>
      <c r="H2000" s="89"/>
      <c r="I2000" s="76"/>
      <c r="J2000" s="84"/>
      <c r="K2000" s="78"/>
      <c r="L2000" s="88"/>
    </row>
    <row r="2001" ht="22.5" customHeight="1">
      <c r="A2001" s="80"/>
      <c r="B2001" s="81" t="s">
        <v>3108</v>
      </c>
      <c r="C2001" s="82"/>
      <c r="D2001" s="80"/>
      <c r="E2001" s="81"/>
      <c r="F2001" s="82"/>
      <c r="G2001" s="83"/>
      <c r="H2001" s="89"/>
      <c r="I2001" s="76"/>
      <c r="J2001" s="84"/>
      <c r="K2001" s="78"/>
      <c r="L2001" s="88"/>
    </row>
    <row r="2002" ht="22.5" customHeight="1">
      <c r="A2002" s="80"/>
      <c r="B2002" s="81" t="s">
        <v>3109</v>
      </c>
      <c r="C2002" s="82"/>
      <c r="D2002" s="80"/>
      <c r="E2002" s="81"/>
      <c r="F2002" s="82"/>
      <c r="G2002" s="83"/>
      <c r="H2002" s="89"/>
      <c r="I2002" s="76"/>
      <c r="J2002" s="84"/>
      <c r="K2002" s="78"/>
      <c r="L2002" s="88"/>
    </row>
    <row r="2003" ht="22.5" customHeight="1">
      <c r="A2003" s="80"/>
      <c r="B2003" s="81" t="s">
        <v>3110</v>
      </c>
      <c r="C2003" s="82"/>
      <c r="D2003" s="80"/>
      <c r="E2003" s="81"/>
      <c r="F2003" s="82"/>
      <c r="G2003" s="83"/>
      <c r="H2003" s="89"/>
      <c r="I2003" s="76"/>
      <c r="J2003" s="84"/>
      <c r="K2003" s="78"/>
      <c r="L2003" s="88"/>
    </row>
    <row r="2004" ht="22.5" customHeight="1">
      <c r="A2004" s="80"/>
      <c r="B2004" s="81" t="s">
        <v>3111</v>
      </c>
      <c r="C2004" s="82"/>
      <c r="D2004" s="80"/>
      <c r="E2004" s="81"/>
      <c r="F2004" s="82"/>
      <c r="G2004" s="83"/>
      <c r="H2004" s="89"/>
      <c r="I2004" s="76"/>
      <c r="J2004" s="84"/>
      <c r="K2004" s="78"/>
      <c r="L2004" s="88"/>
    </row>
    <row r="2005" ht="22.5" customHeight="1">
      <c r="A2005" s="80"/>
      <c r="B2005" s="81" t="s">
        <v>3112</v>
      </c>
      <c r="C2005" s="82"/>
      <c r="D2005" s="80"/>
      <c r="E2005" s="81"/>
      <c r="F2005" s="82"/>
      <c r="G2005" s="83"/>
      <c r="H2005" s="89"/>
      <c r="I2005" s="76"/>
      <c r="J2005" s="84"/>
      <c r="K2005" s="78"/>
      <c r="L2005" s="88"/>
    </row>
    <row r="2006" ht="22.5" customHeight="1">
      <c r="A2006" s="80"/>
      <c r="B2006" s="81" t="s">
        <v>3113</v>
      </c>
      <c r="C2006" s="82"/>
      <c r="D2006" s="80"/>
      <c r="E2006" s="81"/>
      <c r="F2006" s="82"/>
      <c r="G2006" s="83"/>
      <c r="H2006" s="89"/>
      <c r="I2006" s="76"/>
      <c r="J2006" s="84"/>
      <c r="K2006" s="78"/>
      <c r="L2006" s="88"/>
    </row>
    <row r="2007" ht="22.5" customHeight="1">
      <c r="A2007" s="80"/>
      <c r="B2007" s="81" t="s">
        <v>3114</v>
      </c>
      <c r="C2007" s="82"/>
      <c r="D2007" s="80"/>
      <c r="E2007" s="81"/>
      <c r="F2007" s="82"/>
      <c r="G2007" s="83"/>
      <c r="H2007" s="89"/>
      <c r="I2007" s="76"/>
      <c r="J2007" s="84"/>
      <c r="K2007" s="78"/>
      <c r="L2007" s="88"/>
    </row>
    <row r="2008" ht="22.5" customHeight="1">
      <c r="A2008" s="80"/>
      <c r="B2008" s="81" t="s">
        <v>3115</v>
      </c>
      <c r="C2008" s="82"/>
      <c r="D2008" s="80"/>
      <c r="E2008" s="81"/>
      <c r="F2008" s="82"/>
      <c r="G2008" s="83"/>
      <c r="H2008" s="89"/>
      <c r="I2008" s="76"/>
      <c r="J2008" s="84"/>
      <c r="K2008" s="78"/>
      <c r="L2008" s="88"/>
    </row>
    <row r="2009" ht="22.5" customHeight="1">
      <c r="A2009" s="80"/>
      <c r="B2009" s="81" t="s">
        <v>3116</v>
      </c>
      <c r="C2009" s="82"/>
      <c r="D2009" s="80"/>
      <c r="E2009" s="81"/>
      <c r="F2009" s="82"/>
      <c r="G2009" s="83"/>
      <c r="H2009" s="89"/>
      <c r="I2009" s="76"/>
      <c r="J2009" s="84"/>
      <c r="K2009" s="78"/>
      <c r="L2009" s="88"/>
    </row>
    <row r="2010" ht="22.5" customHeight="1">
      <c r="A2010" s="80"/>
      <c r="B2010" s="81" t="s">
        <v>3117</v>
      </c>
      <c r="C2010" s="82"/>
      <c r="D2010" s="80"/>
      <c r="E2010" s="81"/>
      <c r="F2010" s="82"/>
      <c r="G2010" s="83"/>
      <c r="H2010" s="89"/>
      <c r="I2010" s="76"/>
      <c r="J2010" s="84"/>
      <c r="K2010" s="78"/>
      <c r="L2010" s="88"/>
    </row>
    <row r="2011" ht="22.5" customHeight="1">
      <c r="A2011" s="80"/>
      <c r="B2011" s="81" t="s">
        <v>3118</v>
      </c>
      <c r="C2011" s="82"/>
      <c r="D2011" s="80"/>
      <c r="E2011" s="81"/>
      <c r="F2011" s="82"/>
      <c r="G2011" s="83"/>
      <c r="H2011" s="89"/>
      <c r="I2011" s="76"/>
      <c r="J2011" s="84"/>
      <c r="K2011" s="78"/>
      <c r="L2011" s="88"/>
    </row>
    <row r="2012" ht="22.5" customHeight="1">
      <c r="A2012" s="80"/>
      <c r="B2012" s="81" t="s">
        <v>3119</v>
      </c>
      <c r="C2012" s="82"/>
      <c r="D2012" s="80"/>
      <c r="E2012" s="81"/>
      <c r="F2012" s="82"/>
      <c r="G2012" s="83"/>
      <c r="H2012" s="89"/>
      <c r="I2012" s="76"/>
      <c r="J2012" s="84"/>
      <c r="K2012" s="78"/>
      <c r="L2012" s="88"/>
    </row>
    <row r="2013" ht="22.5" customHeight="1">
      <c r="A2013" s="80"/>
      <c r="B2013" s="81" t="s">
        <v>3120</v>
      </c>
      <c r="C2013" s="82"/>
      <c r="D2013" s="80"/>
      <c r="E2013" s="81"/>
      <c r="F2013" s="82"/>
      <c r="G2013" s="83"/>
      <c r="H2013" s="89"/>
      <c r="I2013" s="76"/>
      <c r="J2013" s="84"/>
      <c r="K2013" s="78"/>
      <c r="L2013" s="88"/>
    </row>
    <row r="2014" ht="22.5" customHeight="1">
      <c r="A2014" s="80"/>
      <c r="B2014" s="81" t="s">
        <v>3121</v>
      </c>
      <c r="C2014" s="82"/>
      <c r="D2014" s="80"/>
      <c r="E2014" s="81"/>
      <c r="F2014" s="82"/>
      <c r="G2014" s="83"/>
      <c r="H2014" s="89"/>
      <c r="I2014" s="76"/>
      <c r="J2014" s="84"/>
      <c r="K2014" s="78"/>
      <c r="L2014" s="88"/>
    </row>
    <row r="2015" ht="22.5" customHeight="1">
      <c r="A2015" s="80"/>
      <c r="B2015" s="81" t="s">
        <v>3122</v>
      </c>
      <c r="C2015" s="82"/>
      <c r="D2015" s="80"/>
      <c r="E2015" s="81"/>
      <c r="F2015" s="82"/>
      <c r="G2015" s="83"/>
      <c r="H2015" s="89"/>
      <c r="I2015" s="76"/>
      <c r="J2015" s="84"/>
      <c r="K2015" s="78"/>
      <c r="L2015" s="88"/>
    </row>
    <row r="2016" ht="22.5" customHeight="1">
      <c r="A2016" s="80"/>
      <c r="B2016" s="81" t="s">
        <v>3123</v>
      </c>
      <c r="C2016" s="82"/>
      <c r="D2016" s="80"/>
      <c r="E2016" s="81"/>
      <c r="F2016" s="82"/>
      <c r="G2016" s="83"/>
      <c r="H2016" s="89"/>
      <c r="I2016" s="76"/>
      <c r="J2016" s="84"/>
      <c r="K2016" s="78"/>
      <c r="L2016" s="88"/>
    </row>
    <row r="2017" ht="22.5" customHeight="1">
      <c r="A2017" s="80"/>
      <c r="B2017" s="81" t="s">
        <v>3124</v>
      </c>
      <c r="C2017" s="82"/>
      <c r="D2017" s="80"/>
      <c r="E2017" s="81"/>
      <c r="F2017" s="82"/>
      <c r="G2017" s="83"/>
      <c r="H2017" s="89"/>
      <c r="I2017" s="76"/>
      <c r="J2017" s="84"/>
      <c r="K2017" s="78"/>
      <c r="L2017" s="88"/>
    </row>
    <row r="2018" ht="22.5" customHeight="1">
      <c r="A2018" s="80"/>
      <c r="B2018" s="81" t="s">
        <v>3125</v>
      </c>
      <c r="C2018" s="82"/>
      <c r="D2018" s="80"/>
      <c r="E2018" s="81"/>
      <c r="F2018" s="82"/>
      <c r="G2018" s="83"/>
      <c r="H2018" s="89"/>
      <c r="I2018" s="76"/>
      <c r="J2018" s="84"/>
      <c r="K2018" s="78"/>
      <c r="L2018" s="88"/>
    </row>
    <row r="2019" ht="22.5" customHeight="1">
      <c r="A2019" s="80"/>
      <c r="B2019" s="81" t="s">
        <v>3126</v>
      </c>
      <c r="C2019" s="82"/>
      <c r="D2019" s="80"/>
      <c r="E2019" s="81"/>
      <c r="F2019" s="82"/>
      <c r="G2019" s="83"/>
      <c r="H2019" s="89"/>
      <c r="I2019" s="76"/>
      <c r="J2019" s="84"/>
      <c r="K2019" s="78"/>
      <c r="L2019" s="88"/>
    </row>
    <row r="2020" ht="22.5" customHeight="1">
      <c r="A2020" s="80"/>
      <c r="B2020" s="81" t="s">
        <v>3127</v>
      </c>
      <c r="C2020" s="82"/>
      <c r="D2020" s="80"/>
      <c r="E2020" s="81"/>
      <c r="F2020" s="82"/>
      <c r="G2020" s="83"/>
      <c r="H2020" s="89"/>
      <c r="I2020" s="76"/>
      <c r="J2020" s="84"/>
      <c r="K2020" s="78"/>
      <c r="L2020" s="88"/>
    </row>
    <row r="2021" ht="22.5" customHeight="1">
      <c r="A2021" s="80"/>
      <c r="B2021" s="81" t="s">
        <v>3128</v>
      </c>
      <c r="C2021" s="82"/>
      <c r="D2021" s="80"/>
      <c r="E2021" s="81"/>
      <c r="F2021" s="82"/>
      <c r="G2021" s="83"/>
      <c r="H2021" s="89"/>
      <c r="I2021" s="76"/>
      <c r="J2021" s="84"/>
      <c r="K2021" s="78"/>
      <c r="L2021" s="88"/>
    </row>
    <row r="2022" ht="22.5" customHeight="1">
      <c r="A2022" s="80"/>
      <c r="B2022" s="81" t="s">
        <v>3129</v>
      </c>
      <c r="C2022" s="82"/>
      <c r="D2022" s="80"/>
      <c r="E2022" s="81"/>
      <c r="F2022" s="82"/>
      <c r="G2022" s="83"/>
      <c r="H2022" s="89"/>
      <c r="I2022" s="76"/>
      <c r="J2022" s="84"/>
      <c r="K2022" s="78"/>
      <c r="L2022" s="88"/>
    </row>
    <row r="2023" ht="22.5" customHeight="1">
      <c r="A2023" s="80"/>
      <c r="B2023" s="81" t="s">
        <v>3130</v>
      </c>
      <c r="C2023" s="82"/>
      <c r="D2023" s="80"/>
      <c r="E2023" s="81"/>
      <c r="F2023" s="82"/>
      <c r="G2023" s="83"/>
      <c r="H2023" s="89"/>
      <c r="I2023" s="76"/>
      <c r="J2023" s="84"/>
      <c r="K2023" s="78"/>
      <c r="L2023" s="88"/>
    </row>
    <row r="2024" ht="22.5" customHeight="1">
      <c r="A2024" s="80"/>
      <c r="B2024" s="81" t="s">
        <v>3131</v>
      </c>
      <c r="C2024" s="82"/>
      <c r="D2024" s="80"/>
      <c r="E2024" s="81"/>
      <c r="F2024" s="82"/>
      <c r="G2024" s="83"/>
      <c r="H2024" s="89"/>
      <c r="I2024" s="76"/>
      <c r="J2024" s="84"/>
      <c r="K2024" s="78"/>
      <c r="L2024" s="88"/>
    </row>
    <row r="2025" ht="22.5" customHeight="1">
      <c r="A2025" s="80"/>
      <c r="B2025" s="81" t="s">
        <v>3132</v>
      </c>
      <c r="C2025" s="82"/>
      <c r="D2025" s="80"/>
      <c r="E2025" s="81"/>
      <c r="F2025" s="82"/>
      <c r="G2025" s="83"/>
      <c r="H2025" s="89"/>
      <c r="I2025" s="76"/>
      <c r="J2025" s="84"/>
      <c r="K2025" s="78"/>
      <c r="L2025" s="88"/>
    </row>
    <row r="2026" ht="22.5" customHeight="1">
      <c r="A2026" s="80"/>
      <c r="B2026" s="81" t="s">
        <v>3133</v>
      </c>
      <c r="C2026" s="82"/>
      <c r="D2026" s="80"/>
      <c r="E2026" s="81"/>
      <c r="F2026" s="82"/>
      <c r="G2026" s="83"/>
      <c r="H2026" s="89"/>
      <c r="I2026" s="76"/>
      <c r="J2026" s="84"/>
      <c r="K2026" s="78"/>
      <c r="L2026" s="88"/>
    </row>
    <row r="2027" ht="22.5" customHeight="1">
      <c r="A2027" s="80"/>
      <c r="B2027" s="81" t="s">
        <v>3134</v>
      </c>
      <c r="C2027" s="82"/>
      <c r="D2027" s="80"/>
      <c r="E2027" s="81"/>
      <c r="F2027" s="82"/>
      <c r="G2027" s="83"/>
      <c r="H2027" s="89"/>
      <c r="I2027" s="76"/>
      <c r="J2027" s="84"/>
      <c r="K2027" s="78"/>
      <c r="L2027" s="88"/>
    </row>
    <row r="2028" ht="22.5" customHeight="1">
      <c r="A2028" s="80"/>
      <c r="B2028" s="81" t="s">
        <v>3135</v>
      </c>
      <c r="C2028" s="82"/>
      <c r="D2028" s="80"/>
      <c r="E2028" s="81"/>
      <c r="F2028" s="82"/>
      <c r="G2028" s="83"/>
      <c r="H2028" s="89"/>
      <c r="I2028" s="76"/>
      <c r="J2028" s="84"/>
      <c r="K2028" s="78"/>
      <c r="L2028" s="88"/>
    </row>
    <row r="2029" ht="22.5" customHeight="1">
      <c r="A2029" s="80"/>
      <c r="B2029" s="81" t="s">
        <v>3136</v>
      </c>
      <c r="C2029" s="82"/>
      <c r="D2029" s="80"/>
      <c r="E2029" s="81"/>
      <c r="F2029" s="82"/>
      <c r="G2029" s="83"/>
      <c r="H2029" s="89"/>
      <c r="I2029" s="76"/>
      <c r="J2029" s="84"/>
      <c r="K2029" s="78"/>
      <c r="L2029" s="88"/>
    </row>
    <row r="2030" ht="22.5" customHeight="1">
      <c r="A2030" s="80"/>
      <c r="B2030" s="81" t="s">
        <v>3137</v>
      </c>
      <c r="C2030" s="82"/>
      <c r="D2030" s="80"/>
      <c r="E2030" s="81"/>
      <c r="F2030" s="82"/>
      <c r="G2030" s="83"/>
      <c r="H2030" s="89"/>
      <c r="I2030" s="76"/>
      <c r="J2030" s="84"/>
      <c r="K2030" s="78"/>
      <c r="L2030" s="88"/>
    </row>
    <row r="2031" ht="22.5" customHeight="1">
      <c r="A2031" s="80"/>
      <c r="B2031" s="81" t="s">
        <v>3131</v>
      </c>
      <c r="C2031" s="82"/>
      <c r="D2031" s="80"/>
      <c r="E2031" s="81"/>
      <c r="F2031" s="82"/>
      <c r="G2031" s="83"/>
      <c r="H2031" s="89"/>
      <c r="I2031" s="76"/>
      <c r="J2031" s="84"/>
      <c r="K2031" s="78"/>
      <c r="L2031" s="88"/>
    </row>
    <row r="2032" ht="22.5" customHeight="1">
      <c r="A2032" s="80"/>
      <c r="B2032" s="81" t="s">
        <v>3138</v>
      </c>
      <c r="C2032" s="82"/>
      <c r="D2032" s="80"/>
      <c r="E2032" s="81"/>
      <c r="F2032" s="82"/>
      <c r="G2032" s="83"/>
      <c r="H2032" s="89"/>
      <c r="I2032" s="76"/>
      <c r="J2032" s="84"/>
      <c r="K2032" s="78"/>
      <c r="L2032" s="88"/>
    </row>
    <row r="2033" ht="22.5" customHeight="1">
      <c r="A2033" s="80"/>
      <c r="B2033" s="81" t="s">
        <v>3139</v>
      </c>
      <c r="C2033" s="82"/>
      <c r="D2033" s="80"/>
      <c r="E2033" s="81"/>
      <c r="F2033" s="82"/>
      <c r="G2033" s="83"/>
      <c r="H2033" s="89"/>
      <c r="I2033" s="76"/>
      <c r="J2033" s="84"/>
      <c r="K2033" s="78"/>
      <c r="L2033" s="88"/>
    </row>
    <row r="2034" ht="22.5" customHeight="1">
      <c r="A2034" s="80"/>
      <c r="B2034" s="81" t="s">
        <v>3140</v>
      </c>
      <c r="C2034" s="82"/>
      <c r="D2034" s="80"/>
      <c r="E2034" s="81"/>
      <c r="F2034" s="82"/>
      <c r="G2034" s="83"/>
      <c r="H2034" s="89"/>
      <c r="I2034" s="76"/>
      <c r="J2034" s="84"/>
      <c r="K2034" s="78"/>
      <c r="L2034" s="88"/>
    </row>
    <row r="2035" ht="22.5" customHeight="1">
      <c r="A2035" s="80"/>
      <c r="B2035" s="81" t="s">
        <v>3141</v>
      </c>
      <c r="C2035" s="82"/>
      <c r="D2035" s="80"/>
      <c r="E2035" s="81"/>
      <c r="F2035" s="82"/>
      <c r="G2035" s="83"/>
      <c r="H2035" s="89"/>
      <c r="I2035" s="76"/>
      <c r="J2035" s="84"/>
      <c r="K2035" s="78"/>
      <c r="L2035" s="88"/>
    </row>
    <row r="2036" ht="22.5" customHeight="1">
      <c r="A2036" s="80"/>
      <c r="B2036" s="81" t="s">
        <v>3142</v>
      </c>
      <c r="C2036" s="82"/>
      <c r="D2036" s="80"/>
      <c r="E2036" s="81"/>
      <c r="F2036" s="82"/>
      <c r="G2036" s="83"/>
      <c r="H2036" s="89"/>
      <c r="I2036" s="76"/>
      <c r="J2036" s="84"/>
      <c r="K2036" s="78"/>
      <c r="L2036" s="88"/>
    </row>
    <row r="2037" ht="22.5" customHeight="1">
      <c r="A2037" s="80"/>
      <c r="B2037" s="81" t="s">
        <v>3143</v>
      </c>
      <c r="C2037" s="82"/>
      <c r="D2037" s="80"/>
      <c r="E2037" s="81"/>
      <c r="F2037" s="82"/>
      <c r="G2037" s="83"/>
      <c r="H2037" s="89"/>
      <c r="I2037" s="76"/>
      <c r="J2037" s="84"/>
      <c r="K2037" s="78"/>
      <c r="L2037" s="88"/>
    </row>
    <row r="2038" ht="22.5" customHeight="1">
      <c r="A2038" s="80"/>
      <c r="B2038" s="81" t="s">
        <v>3144</v>
      </c>
      <c r="C2038" s="82"/>
      <c r="D2038" s="80"/>
      <c r="E2038" s="81"/>
      <c r="F2038" s="82"/>
      <c r="G2038" s="83"/>
      <c r="H2038" s="89"/>
      <c r="I2038" s="76"/>
      <c r="J2038" s="84"/>
      <c r="K2038" s="78"/>
      <c r="L2038" s="88"/>
    </row>
    <row r="2039" ht="22.5" customHeight="1">
      <c r="A2039" s="80"/>
      <c r="B2039" s="81" t="s">
        <v>3145</v>
      </c>
      <c r="C2039" s="82"/>
      <c r="D2039" s="80"/>
      <c r="E2039" s="81"/>
      <c r="F2039" s="82"/>
      <c r="G2039" s="83"/>
      <c r="H2039" s="89"/>
      <c r="I2039" s="76"/>
      <c r="J2039" s="84"/>
      <c r="K2039" s="78"/>
      <c r="L2039" s="88"/>
    </row>
    <row r="2040" ht="22.5" customHeight="1">
      <c r="A2040" s="80"/>
      <c r="B2040" s="81" t="s">
        <v>3146</v>
      </c>
      <c r="C2040" s="82"/>
      <c r="D2040" s="80"/>
      <c r="E2040" s="81"/>
      <c r="F2040" s="82"/>
      <c r="G2040" s="83"/>
      <c r="H2040" s="89"/>
      <c r="I2040" s="76"/>
      <c r="J2040" s="84"/>
      <c r="K2040" s="78"/>
      <c r="L2040" s="88"/>
    </row>
    <row r="2041" ht="22.5" customHeight="1">
      <c r="A2041" s="80"/>
      <c r="B2041" s="81" t="s">
        <v>3147</v>
      </c>
      <c r="C2041" s="82"/>
      <c r="D2041" s="80"/>
      <c r="E2041" s="81"/>
      <c r="F2041" s="82"/>
      <c r="G2041" s="83"/>
      <c r="H2041" s="89"/>
      <c r="I2041" s="76"/>
      <c r="J2041" s="84"/>
      <c r="K2041" s="78"/>
      <c r="L2041" s="88"/>
    </row>
    <row r="2042" ht="22.5" customHeight="1">
      <c r="A2042" s="80"/>
      <c r="B2042" s="81" t="s">
        <v>3148</v>
      </c>
      <c r="C2042" s="82"/>
      <c r="D2042" s="80"/>
      <c r="E2042" s="81"/>
      <c r="F2042" s="82"/>
      <c r="G2042" s="83"/>
      <c r="H2042" s="89"/>
      <c r="I2042" s="76"/>
      <c r="J2042" s="84"/>
      <c r="K2042" s="78"/>
      <c r="L2042" s="88"/>
    </row>
    <row r="2043" ht="22.5" customHeight="1">
      <c r="A2043" s="80"/>
      <c r="B2043" s="81" t="s">
        <v>3149</v>
      </c>
      <c r="C2043" s="82"/>
      <c r="D2043" s="80"/>
      <c r="E2043" s="81"/>
      <c r="F2043" s="82"/>
      <c r="G2043" s="83"/>
      <c r="H2043" s="89"/>
      <c r="I2043" s="76"/>
      <c r="J2043" s="84"/>
      <c r="K2043" s="78"/>
      <c r="L2043" s="88"/>
    </row>
    <row r="2044" ht="22.5" customHeight="1">
      <c r="A2044" s="80"/>
      <c r="B2044" s="81" t="s">
        <v>3150</v>
      </c>
      <c r="C2044" s="82"/>
      <c r="D2044" s="80"/>
      <c r="E2044" s="81"/>
      <c r="F2044" s="82"/>
      <c r="G2044" s="83"/>
      <c r="H2044" s="89"/>
      <c r="I2044" s="76"/>
      <c r="J2044" s="84"/>
      <c r="K2044" s="78"/>
      <c r="L2044" s="88"/>
    </row>
    <row r="2045" ht="22.5" customHeight="1">
      <c r="A2045" s="80"/>
      <c r="B2045" s="81" t="s">
        <v>3151</v>
      </c>
      <c r="C2045" s="82"/>
      <c r="D2045" s="80"/>
      <c r="E2045" s="81"/>
      <c r="F2045" s="82"/>
      <c r="G2045" s="83"/>
      <c r="H2045" s="89"/>
      <c r="I2045" s="76"/>
      <c r="J2045" s="84"/>
      <c r="K2045" s="78"/>
      <c r="L2045" s="88"/>
    </row>
    <row r="2046" ht="22.5" customHeight="1">
      <c r="A2046" s="80"/>
      <c r="B2046" s="81" t="s">
        <v>3152</v>
      </c>
      <c r="C2046" s="82"/>
      <c r="D2046" s="80"/>
      <c r="E2046" s="81"/>
      <c r="F2046" s="82"/>
      <c r="G2046" s="83"/>
      <c r="H2046" s="89"/>
      <c r="I2046" s="76"/>
      <c r="J2046" s="84"/>
      <c r="K2046" s="78"/>
      <c r="L2046" s="88"/>
    </row>
    <row r="2047" ht="22.5" customHeight="1">
      <c r="A2047" s="80"/>
      <c r="B2047" s="81" t="s">
        <v>3153</v>
      </c>
      <c r="C2047" s="82"/>
      <c r="D2047" s="80"/>
      <c r="E2047" s="81"/>
      <c r="F2047" s="82"/>
      <c r="G2047" s="83"/>
      <c r="H2047" s="89"/>
      <c r="I2047" s="76"/>
      <c r="J2047" s="84"/>
      <c r="K2047" s="78"/>
      <c r="L2047" s="88"/>
    </row>
    <row r="2048" ht="22.5" customHeight="1">
      <c r="A2048" s="80"/>
      <c r="B2048" s="81" t="s">
        <v>3154</v>
      </c>
      <c r="C2048" s="82"/>
      <c r="D2048" s="80"/>
      <c r="E2048" s="81"/>
      <c r="F2048" s="82"/>
      <c r="G2048" s="83"/>
      <c r="H2048" s="89"/>
      <c r="I2048" s="76"/>
      <c r="J2048" s="84"/>
      <c r="K2048" s="78"/>
      <c r="L2048" s="88"/>
    </row>
    <row r="2049" ht="22.5" customHeight="1">
      <c r="A2049" s="80"/>
      <c r="B2049" s="81" t="s">
        <v>3155</v>
      </c>
      <c r="C2049" s="82"/>
      <c r="D2049" s="80"/>
      <c r="E2049" s="81"/>
      <c r="F2049" s="82"/>
      <c r="G2049" s="83"/>
      <c r="H2049" s="89"/>
      <c r="I2049" s="76"/>
      <c r="J2049" s="84"/>
      <c r="K2049" s="78"/>
      <c r="L2049" s="88"/>
    </row>
    <row r="2050" ht="22.5" customHeight="1">
      <c r="A2050" s="80"/>
      <c r="B2050" s="81" t="s">
        <v>3156</v>
      </c>
      <c r="C2050" s="82"/>
      <c r="D2050" s="80"/>
      <c r="E2050" s="81"/>
      <c r="F2050" s="82"/>
      <c r="G2050" s="83"/>
      <c r="H2050" s="89"/>
      <c r="I2050" s="76"/>
      <c r="J2050" s="84"/>
      <c r="K2050" s="78"/>
      <c r="L2050" s="88"/>
    </row>
    <row r="2051" ht="22.5" customHeight="1">
      <c r="A2051" s="80"/>
      <c r="B2051" s="81" t="s">
        <v>3157</v>
      </c>
      <c r="C2051" s="82"/>
      <c r="D2051" s="80"/>
      <c r="E2051" s="81"/>
      <c r="F2051" s="82"/>
      <c r="G2051" s="83"/>
      <c r="H2051" s="89"/>
      <c r="I2051" s="76"/>
      <c r="J2051" s="84"/>
      <c r="K2051" s="78"/>
      <c r="L2051" s="88"/>
    </row>
    <row r="2052" ht="22.5" customHeight="1">
      <c r="A2052" s="80"/>
      <c r="B2052" s="81" t="s">
        <v>3158</v>
      </c>
      <c r="C2052" s="82"/>
      <c r="D2052" s="80"/>
      <c r="E2052" s="81"/>
      <c r="F2052" s="82"/>
      <c r="G2052" s="83"/>
      <c r="H2052" s="89"/>
      <c r="I2052" s="76"/>
      <c r="J2052" s="84"/>
      <c r="K2052" s="78"/>
      <c r="L2052" s="88"/>
    </row>
    <row r="2053" ht="22.5" customHeight="1">
      <c r="A2053" s="80"/>
      <c r="B2053" s="81" t="s">
        <v>3159</v>
      </c>
      <c r="C2053" s="82"/>
      <c r="D2053" s="80"/>
      <c r="E2053" s="81"/>
      <c r="F2053" s="82"/>
      <c r="G2053" s="83"/>
      <c r="H2053" s="89"/>
      <c r="I2053" s="76"/>
      <c r="J2053" s="84"/>
      <c r="K2053" s="78"/>
      <c r="L2053" s="88"/>
    </row>
    <row r="2054" ht="22.5" customHeight="1">
      <c r="A2054" s="80"/>
      <c r="B2054" s="81" t="s">
        <v>3160</v>
      </c>
      <c r="C2054" s="82"/>
      <c r="D2054" s="80"/>
      <c r="E2054" s="81"/>
      <c r="F2054" s="82"/>
      <c r="G2054" s="83"/>
      <c r="H2054" s="89"/>
      <c r="I2054" s="76"/>
      <c r="J2054" s="84"/>
      <c r="K2054" s="78"/>
      <c r="L2054" s="88"/>
    </row>
    <row r="2055" ht="22.5" customHeight="1">
      <c r="A2055" s="80"/>
      <c r="B2055" s="81" t="s">
        <v>3161</v>
      </c>
      <c r="C2055" s="82"/>
      <c r="D2055" s="80"/>
      <c r="E2055" s="81"/>
      <c r="F2055" s="82"/>
      <c r="G2055" s="83"/>
      <c r="H2055" s="89"/>
      <c r="I2055" s="76"/>
      <c r="J2055" s="84"/>
      <c r="K2055" s="78"/>
      <c r="L2055" s="88"/>
    </row>
    <row r="2056" ht="22.5" customHeight="1">
      <c r="A2056" s="80"/>
      <c r="B2056" s="81" t="s">
        <v>3162</v>
      </c>
      <c r="C2056" s="82"/>
      <c r="D2056" s="80"/>
      <c r="E2056" s="81"/>
      <c r="F2056" s="82"/>
      <c r="G2056" s="83"/>
      <c r="H2056" s="89"/>
      <c r="I2056" s="76"/>
      <c r="J2056" s="84"/>
      <c r="K2056" s="78"/>
      <c r="L2056" s="88"/>
    </row>
    <row r="2057" ht="22.5" customHeight="1">
      <c r="A2057" s="80"/>
      <c r="B2057" s="81" t="s">
        <v>3163</v>
      </c>
      <c r="C2057" s="82"/>
      <c r="D2057" s="80"/>
      <c r="E2057" s="81"/>
      <c r="F2057" s="82"/>
      <c r="G2057" s="83"/>
      <c r="H2057" s="89"/>
      <c r="I2057" s="76"/>
      <c r="J2057" s="84"/>
      <c r="K2057" s="78"/>
      <c r="L2057" s="88"/>
    </row>
    <row r="2058" ht="22.5" customHeight="1">
      <c r="A2058" s="80"/>
      <c r="B2058" s="81" t="s">
        <v>3164</v>
      </c>
      <c r="C2058" s="82"/>
      <c r="D2058" s="80"/>
      <c r="E2058" s="81"/>
      <c r="F2058" s="82"/>
      <c r="G2058" s="83"/>
      <c r="H2058" s="89"/>
      <c r="I2058" s="76"/>
      <c r="J2058" s="84"/>
      <c r="K2058" s="78"/>
      <c r="L2058" s="88"/>
    </row>
    <row r="2059" ht="22.5" customHeight="1">
      <c r="A2059" s="80"/>
      <c r="B2059" s="81" t="s">
        <v>3165</v>
      </c>
      <c r="C2059" s="82"/>
      <c r="D2059" s="80"/>
      <c r="E2059" s="81"/>
      <c r="F2059" s="82"/>
      <c r="G2059" s="83"/>
      <c r="H2059" s="89"/>
      <c r="I2059" s="76"/>
      <c r="J2059" s="84"/>
      <c r="K2059" s="78"/>
      <c r="L2059" s="88"/>
    </row>
    <row r="2060" ht="22.5" customHeight="1">
      <c r="A2060" s="80"/>
      <c r="B2060" s="81" t="s">
        <v>3166</v>
      </c>
      <c r="C2060" s="82"/>
      <c r="D2060" s="80"/>
      <c r="E2060" s="81"/>
      <c r="F2060" s="82"/>
      <c r="G2060" s="83"/>
      <c r="H2060" s="89"/>
      <c r="I2060" s="76"/>
      <c r="J2060" s="84"/>
      <c r="K2060" s="78"/>
      <c r="L2060" s="88"/>
    </row>
    <row r="2061" ht="22.5" customHeight="1">
      <c r="A2061" s="80"/>
      <c r="B2061" s="81" t="s">
        <v>3167</v>
      </c>
      <c r="C2061" s="82"/>
      <c r="D2061" s="80"/>
      <c r="E2061" s="81"/>
      <c r="F2061" s="82"/>
      <c r="G2061" s="83"/>
      <c r="H2061" s="89"/>
      <c r="I2061" s="76"/>
      <c r="J2061" s="84"/>
      <c r="K2061" s="78"/>
      <c r="L2061" s="88"/>
    </row>
    <row r="2062" ht="22.5" customHeight="1">
      <c r="A2062" s="80"/>
      <c r="B2062" s="81" t="s">
        <v>3168</v>
      </c>
      <c r="C2062" s="82"/>
      <c r="D2062" s="80"/>
      <c r="E2062" s="81"/>
      <c r="F2062" s="82"/>
      <c r="G2062" s="83"/>
      <c r="H2062" s="89"/>
      <c r="I2062" s="76"/>
      <c r="J2062" s="84"/>
      <c r="K2062" s="78"/>
      <c r="L2062" s="88"/>
    </row>
    <row r="2063" ht="22.5" customHeight="1">
      <c r="A2063" s="80"/>
      <c r="B2063" s="81" t="s">
        <v>3169</v>
      </c>
      <c r="C2063" s="82"/>
      <c r="D2063" s="80"/>
      <c r="E2063" s="81"/>
      <c r="F2063" s="82"/>
      <c r="G2063" s="83"/>
      <c r="H2063" s="89"/>
      <c r="I2063" s="76"/>
      <c r="J2063" s="84"/>
      <c r="K2063" s="78"/>
      <c r="L2063" s="88"/>
    </row>
    <row r="2064" ht="22.5" customHeight="1">
      <c r="A2064" s="80"/>
      <c r="B2064" s="81" t="s">
        <v>3170</v>
      </c>
      <c r="C2064" s="82"/>
      <c r="D2064" s="80"/>
      <c r="E2064" s="81"/>
      <c r="F2064" s="82"/>
      <c r="G2064" s="83"/>
      <c r="H2064" s="89"/>
      <c r="I2064" s="76"/>
      <c r="J2064" s="84"/>
      <c r="K2064" s="78"/>
      <c r="L2064" s="88"/>
    </row>
    <row r="2065" ht="22.5" customHeight="1">
      <c r="A2065" s="80"/>
      <c r="B2065" s="81" t="s">
        <v>3171</v>
      </c>
      <c r="C2065" s="82"/>
      <c r="D2065" s="80"/>
      <c r="E2065" s="81"/>
      <c r="F2065" s="82"/>
      <c r="G2065" s="83"/>
      <c r="H2065" s="89"/>
      <c r="I2065" s="76"/>
      <c r="J2065" s="84"/>
      <c r="K2065" s="78"/>
      <c r="L2065" s="88"/>
    </row>
    <row r="2066" ht="22.5" customHeight="1">
      <c r="A2066" s="80"/>
      <c r="B2066" s="81" t="s">
        <v>3172</v>
      </c>
      <c r="C2066" s="82"/>
      <c r="D2066" s="80"/>
      <c r="E2066" s="81"/>
      <c r="F2066" s="82"/>
      <c r="G2066" s="83"/>
      <c r="H2066" s="89"/>
      <c r="I2066" s="76"/>
      <c r="J2066" s="84"/>
      <c r="K2066" s="78"/>
      <c r="L2066" s="88"/>
    </row>
    <row r="2067" ht="22.5" customHeight="1">
      <c r="A2067" s="80"/>
      <c r="B2067" s="81" t="s">
        <v>3173</v>
      </c>
      <c r="C2067" s="82"/>
      <c r="D2067" s="80"/>
      <c r="E2067" s="81"/>
      <c r="F2067" s="82"/>
      <c r="G2067" s="83"/>
      <c r="H2067" s="89"/>
      <c r="I2067" s="76"/>
      <c r="J2067" s="84"/>
      <c r="K2067" s="78"/>
      <c r="L2067" s="88"/>
    </row>
    <row r="2068" ht="22.5" customHeight="1">
      <c r="A2068" s="80"/>
      <c r="B2068" s="81" t="s">
        <v>3174</v>
      </c>
      <c r="C2068" s="82"/>
      <c r="D2068" s="80"/>
      <c r="E2068" s="81"/>
      <c r="F2068" s="82"/>
      <c r="G2068" s="83"/>
      <c r="H2068" s="89"/>
      <c r="I2068" s="76"/>
      <c r="J2068" s="84"/>
      <c r="K2068" s="78"/>
      <c r="L2068" s="88"/>
    </row>
    <row r="2069" ht="22.5" customHeight="1">
      <c r="A2069" s="80"/>
      <c r="B2069" s="81" t="s">
        <v>3175</v>
      </c>
      <c r="C2069" s="82"/>
      <c r="D2069" s="80"/>
      <c r="E2069" s="81"/>
      <c r="F2069" s="82"/>
      <c r="G2069" s="83"/>
      <c r="H2069" s="89"/>
      <c r="I2069" s="76"/>
      <c r="J2069" s="84"/>
      <c r="K2069" s="78"/>
      <c r="L2069" s="88"/>
    </row>
    <row r="2070" ht="22.5" customHeight="1">
      <c r="A2070" s="80"/>
      <c r="B2070" s="81" t="s">
        <v>3176</v>
      </c>
      <c r="C2070" s="82"/>
      <c r="D2070" s="80"/>
      <c r="E2070" s="81"/>
      <c r="F2070" s="82"/>
      <c r="G2070" s="83"/>
      <c r="H2070" s="89"/>
      <c r="I2070" s="76"/>
      <c r="J2070" s="84"/>
      <c r="K2070" s="78"/>
      <c r="L2070" s="88"/>
    </row>
    <row r="2071" ht="22.5" customHeight="1">
      <c r="A2071" s="80"/>
      <c r="B2071" s="81" t="s">
        <v>3177</v>
      </c>
      <c r="C2071" s="82"/>
      <c r="D2071" s="80"/>
      <c r="E2071" s="81"/>
      <c r="F2071" s="82"/>
      <c r="G2071" s="83"/>
      <c r="H2071" s="89"/>
      <c r="I2071" s="76"/>
      <c r="J2071" s="84"/>
      <c r="K2071" s="78"/>
      <c r="L2071" s="88"/>
    </row>
    <row r="2072" ht="22.5" customHeight="1">
      <c r="A2072" s="80"/>
      <c r="B2072" s="81" t="s">
        <v>3178</v>
      </c>
      <c r="C2072" s="82"/>
      <c r="D2072" s="80"/>
      <c r="E2072" s="81"/>
      <c r="F2072" s="82"/>
      <c r="G2072" s="83"/>
      <c r="H2072" s="89"/>
      <c r="I2072" s="76"/>
      <c r="J2072" s="84"/>
      <c r="K2072" s="78"/>
      <c r="L2072" s="88"/>
    </row>
    <row r="2073" ht="22.5" customHeight="1">
      <c r="A2073" s="80"/>
      <c r="B2073" s="81" t="s">
        <v>3179</v>
      </c>
      <c r="C2073" s="82"/>
      <c r="D2073" s="80"/>
      <c r="E2073" s="81"/>
      <c r="F2073" s="82"/>
      <c r="G2073" s="83"/>
      <c r="H2073" s="89"/>
      <c r="I2073" s="76"/>
      <c r="J2073" s="84"/>
      <c r="K2073" s="78"/>
      <c r="L2073" s="88"/>
    </row>
    <row r="2074" ht="22.5" customHeight="1">
      <c r="A2074" s="80"/>
      <c r="B2074" s="81" t="s">
        <v>3180</v>
      </c>
      <c r="C2074" s="82"/>
      <c r="D2074" s="80"/>
      <c r="E2074" s="81"/>
      <c r="F2074" s="82"/>
      <c r="G2074" s="83"/>
      <c r="H2074" s="89"/>
      <c r="I2074" s="76"/>
      <c r="J2074" s="84"/>
      <c r="K2074" s="78"/>
      <c r="L2074" s="88"/>
    </row>
    <row r="2075" ht="22.5" customHeight="1">
      <c r="A2075" s="80"/>
      <c r="B2075" s="81" t="s">
        <v>3181</v>
      </c>
      <c r="C2075" s="82"/>
      <c r="D2075" s="80"/>
      <c r="E2075" s="81"/>
      <c r="F2075" s="82"/>
      <c r="G2075" s="83"/>
      <c r="H2075" s="89"/>
      <c r="I2075" s="76"/>
      <c r="J2075" s="84"/>
      <c r="K2075" s="78"/>
      <c r="L2075" s="88"/>
    </row>
    <row r="2076" ht="22.5" customHeight="1">
      <c r="A2076" s="80"/>
      <c r="B2076" s="81" t="s">
        <v>3182</v>
      </c>
      <c r="C2076" s="82"/>
      <c r="D2076" s="80"/>
      <c r="E2076" s="81"/>
      <c r="F2076" s="82"/>
      <c r="G2076" s="83"/>
      <c r="H2076" s="89"/>
      <c r="I2076" s="76"/>
      <c r="J2076" s="84"/>
      <c r="K2076" s="78"/>
      <c r="L2076" s="88"/>
    </row>
    <row r="2077" ht="22.5" customHeight="1">
      <c r="A2077" s="80"/>
      <c r="B2077" s="81" t="s">
        <v>3183</v>
      </c>
      <c r="C2077" s="82"/>
      <c r="D2077" s="80"/>
      <c r="E2077" s="81"/>
      <c r="F2077" s="82"/>
      <c r="G2077" s="83"/>
      <c r="H2077" s="89"/>
      <c r="I2077" s="76"/>
      <c r="J2077" s="84"/>
      <c r="K2077" s="78"/>
      <c r="L2077" s="88"/>
    </row>
    <row r="2078" ht="22.5" customHeight="1">
      <c r="A2078" s="80"/>
      <c r="B2078" s="81" t="s">
        <v>3184</v>
      </c>
      <c r="C2078" s="82"/>
      <c r="D2078" s="80"/>
      <c r="E2078" s="81"/>
      <c r="F2078" s="82"/>
      <c r="G2078" s="83"/>
      <c r="H2078" s="89"/>
      <c r="I2078" s="76"/>
      <c r="J2078" s="84"/>
      <c r="K2078" s="78"/>
      <c r="L2078" s="88"/>
    </row>
    <row r="2079" ht="22.5" customHeight="1">
      <c r="A2079" s="80"/>
      <c r="B2079" s="81" t="s">
        <v>3185</v>
      </c>
      <c r="C2079" s="82"/>
      <c r="D2079" s="80"/>
      <c r="E2079" s="81"/>
      <c r="F2079" s="82"/>
      <c r="G2079" s="83"/>
      <c r="H2079" s="89"/>
      <c r="I2079" s="76"/>
      <c r="J2079" s="84"/>
      <c r="K2079" s="78"/>
      <c r="L2079" s="88"/>
    </row>
    <row r="2080" ht="22.5" customHeight="1">
      <c r="A2080" s="80"/>
      <c r="B2080" s="81" t="s">
        <v>3186</v>
      </c>
      <c r="C2080" s="82"/>
      <c r="D2080" s="80"/>
      <c r="E2080" s="81"/>
      <c r="F2080" s="82"/>
      <c r="G2080" s="83"/>
      <c r="H2080" s="89"/>
      <c r="I2080" s="76"/>
      <c r="J2080" s="84"/>
      <c r="K2080" s="78"/>
      <c r="L2080" s="88"/>
    </row>
    <row r="2081" ht="22.5" customHeight="1">
      <c r="A2081" s="80"/>
      <c r="B2081" s="81" t="s">
        <v>3187</v>
      </c>
      <c r="C2081" s="82"/>
      <c r="D2081" s="80"/>
      <c r="E2081" s="81"/>
      <c r="F2081" s="82"/>
      <c r="G2081" s="83"/>
      <c r="H2081" s="89"/>
      <c r="I2081" s="76"/>
      <c r="J2081" s="84"/>
      <c r="K2081" s="78"/>
      <c r="L2081" s="88"/>
    </row>
    <row r="2082" ht="22.5" customHeight="1">
      <c r="A2082" s="80"/>
      <c r="B2082" s="81" t="s">
        <v>3188</v>
      </c>
      <c r="C2082" s="82"/>
      <c r="D2082" s="80"/>
      <c r="E2082" s="81"/>
      <c r="F2082" s="82"/>
      <c r="G2082" s="83"/>
      <c r="H2082" s="89"/>
      <c r="I2082" s="76"/>
      <c r="J2082" s="84"/>
      <c r="K2082" s="78"/>
      <c r="L2082" s="88"/>
    </row>
    <row r="2083" ht="22.5" customHeight="1">
      <c r="A2083" s="80"/>
      <c r="B2083" s="81" t="s">
        <v>3189</v>
      </c>
      <c r="C2083" s="82"/>
      <c r="D2083" s="80"/>
      <c r="E2083" s="81"/>
      <c r="F2083" s="82"/>
      <c r="G2083" s="83"/>
      <c r="H2083" s="89"/>
      <c r="I2083" s="76"/>
      <c r="J2083" s="84"/>
      <c r="K2083" s="78"/>
      <c r="L2083" s="88"/>
    </row>
    <row r="2084" ht="22.5" customHeight="1">
      <c r="A2084" s="80"/>
      <c r="B2084" s="81" t="s">
        <v>3190</v>
      </c>
      <c r="C2084" s="82"/>
      <c r="D2084" s="80"/>
      <c r="E2084" s="81"/>
      <c r="F2084" s="82"/>
      <c r="G2084" s="83"/>
      <c r="H2084" s="89"/>
      <c r="I2084" s="76"/>
      <c r="J2084" s="84"/>
      <c r="K2084" s="78"/>
      <c r="L2084" s="88"/>
    </row>
    <row r="2085" ht="22.5" customHeight="1">
      <c r="A2085" s="80"/>
      <c r="B2085" s="81" t="s">
        <v>3191</v>
      </c>
      <c r="C2085" s="82"/>
      <c r="D2085" s="80"/>
      <c r="E2085" s="81"/>
      <c r="F2085" s="82"/>
      <c r="G2085" s="83"/>
      <c r="H2085" s="89"/>
      <c r="I2085" s="76"/>
      <c r="J2085" s="84"/>
      <c r="K2085" s="78"/>
      <c r="L2085" s="88"/>
    </row>
    <row r="2086" ht="22.5" customHeight="1">
      <c r="A2086" s="80"/>
      <c r="B2086" s="81" t="s">
        <v>3192</v>
      </c>
      <c r="C2086" s="82"/>
      <c r="D2086" s="80"/>
      <c r="E2086" s="81"/>
      <c r="F2086" s="82"/>
      <c r="G2086" s="83"/>
      <c r="H2086" s="89"/>
      <c r="I2086" s="76"/>
      <c r="J2086" s="84"/>
      <c r="K2086" s="78"/>
      <c r="L2086" s="88"/>
    </row>
    <row r="2087" ht="22.5" customHeight="1">
      <c r="A2087" s="80"/>
      <c r="B2087" s="81" t="s">
        <v>3193</v>
      </c>
      <c r="C2087" s="82"/>
      <c r="D2087" s="80"/>
      <c r="E2087" s="81"/>
      <c r="F2087" s="82"/>
      <c r="G2087" s="83"/>
      <c r="H2087" s="89"/>
      <c r="I2087" s="76"/>
      <c r="J2087" s="84"/>
      <c r="K2087" s="78"/>
      <c r="L2087" s="88"/>
    </row>
    <row r="2088" ht="22.5" customHeight="1">
      <c r="A2088" s="80"/>
      <c r="B2088" s="81" t="s">
        <v>3194</v>
      </c>
      <c r="C2088" s="82"/>
      <c r="D2088" s="80"/>
      <c r="E2088" s="81"/>
      <c r="F2088" s="82"/>
      <c r="G2088" s="83"/>
      <c r="H2088" s="89"/>
      <c r="I2088" s="76"/>
      <c r="J2088" s="84"/>
      <c r="K2088" s="78"/>
      <c r="L2088" s="88"/>
    </row>
    <row r="2089" ht="22.5" customHeight="1">
      <c r="A2089" s="80"/>
      <c r="B2089" s="81" t="s">
        <v>3195</v>
      </c>
      <c r="C2089" s="82"/>
      <c r="D2089" s="80"/>
      <c r="E2089" s="81"/>
      <c r="F2089" s="82"/>
      <c r="G2089" s="83"/>
      <c r="H2089" s="89"/>
      <c r="I2089" s="76"/>
      <c r="J2089" s="84"/>
      <c r="K2089" s="78"/>
      <c r="L2089" s="88"/>
    </row>
    <row r="2090" ht="22.5" customHeight="1">
      <c r="A2090" s="80"/>
      <c r="B2090" s="81" t="s">
        <v>3196</v>
      </c>
      <c r="C2090" s="82"/>
      <c r="D2090" s="80"/>
      <c r="E2090" s="81"/>
      <c r="F2090" s="82"/>
      <c r="G2090" s="83"/>
      <c r="H2090" s="89"/>
      <c r="I2090" s="76"/>
      <c r="J2090" s="84"/>
      <c r="K2090" s="78"/>
      <c r="L2090" s="88"/>
    </row>
    <row r="2091" ht="22.5" customHeight="1">
      <c r="A2091" s="80"/>
      <c r="B2091" s="81" t="s">
        <v>3197</v>
      </c>
      <c r="C2091" s="82"/>
      <c r="D2091" s="80"/>
      <c r="E2091" s="81"/>
      <c r="F2091" s="82"/>
      <c r="G2091" s="83"/>
      <c r="H2091" s="89"/>
      <c r="I2091" s="76"/>
      <c r="J2091" s="84"/>
      <c r="K2091" s="78"/>
      <c r="L2091" s="88"/>
    </row>
    <row r="2092" ht="22.5" customHeight="1">
      <c r="A2092" s="80"/>
      <c r="B2092" s="81" t="s">
        <v>3198</v>
      </c>
      <c r="C2092" s="82"/>
      <c r="D2092" s="80"/>
      <c r="E2092" s="81"/>
      <c r="F2092" s="82"/>
      <c r="G2092" s="83"/>
      <c r="H2092" s="89"/>
      <c r="I2092" s="76"/>
      <c r="J2092" s="84"/>
      <c r="K2092" s="78"/>
      <c r="L2092" s="88"/>
    </row>
    <row r="2093" ht="22.5" customHeight="1">
      <c r="A2093" s="80"/>
      <c r="B2093" s="81" t="s">
        <v>3199</v>
      </c>
      <c r="C2093" s="82"/>
      <c r="D2093" s="80"/>
      <c r="E2093" s="81"/>
      <c r="F2093" s="82"/>
      <c r="G2093" s="83"/>
      <c r="H2093" s="89"/>
      <c r="I2093" s="76"/>
      <c r="J2093" s="84"/>
      <c r="K2093" s="78"/>
      <c r="L2093" s="88"/>
    </row>
    <row r="2094" ht="22.5" customHeight="1">
      <c r="A2094" s="80"/>
      <c r="B2094" s="81" t="s">
        <v>3200</v>
      </c>
      <c r="C2094" s="82"/>
      <c r="D2094" s="80"/>
      <c r="E2094" s="81"/>
      <c r="F2094" s="82"/>
      <c r="G2094" s="83"/>
      <c r="H2094" s="89"/>
      <c r="I2094" s="76"/>
      <c r="J2094" s="84"/>
      <c r="K2094" s="78"/>
      <c r="L2094" s="88"/>
    </row>
    <row r="2095" ht="22.5" customHeight="1">
      <c r="A2095" s="80"/>
      <c r="B2095" s="81" t="s">
        <v>3201</v>
      </c>
      <c r="C2095" s="82"/>
      <c r="D2095" s="80"/>
      <c r="E2095" s="81"/>
      <c r="F2095" s="82"/>
      <c r="G2095" s="83"/>
      <c r="H2095" s="89"/>
      <c r="I2095" s="76"/>
      <c r="J2095" s="84"/>
      <c r="K2095" s="78"/>
      <c r="L2095" s="88"/>
    </row>
    <row r="2096" ht="22.5" customHeight="1">
      <c r="A2096" s="80"/>
      <c r="B2096" s="81" t="s">
        <v>3202</v>
      </c>
      <c r="C2096" s="82"/>
      <c r="D2096" s="80"/>
      <c r="E2096" s="81"/>
      <c r="F2096" s="82"/>
      <c r="G2096" s="83"/>
      <c r="H2096" s="89"/>
      <c r="I2096" s="76"/>
      <c r="J2096" s="84"/>
      <c r="K2096" s="78"/>
      <c r="L2096" s="88"/>
    </row>
    <row r="2097" ht="22.5" customHeight="1">
      <c r="A2097" s="80"/>
      <c r="B2097" s="81" t="s">
        <v>3203</v>
      </c>
      <c r="C2097" s="82"/>
      <c r="D2097" s="80"/>
      <c r="E2097" s="81"/>
      <c r="F2097" s="82"/>
      <c r="G2097" s="83"/>
      <c r="H2097" s="89"/>
      <c r="I2097" s="76"/>
      <c r="J2097" s="84"/>
      <c r="K2097" s="78"/>
      <c r="L2097" s="88"/>
    </row>
    <row r="2098" ht="22.5" customHeight="1">
      <c r="A2098" s="80"/>
      <c r="B2098" s="81" t="s">
        <v>3204</v>
      </c>
      <c r="C2098" s="82"/>
      <c r="D2098" s="80"/>
      <c r="E2098" s="81"/>
      <c r="F2098" s="82"/>
      <c r="G2098" s="83"/>
      <c r="H2098" s="89"/>
      <c r="I2098" s="76"/>
      <c r="J2098" s="84"/>
      <c r="K2098" s="78"/>
      <c r="L2098" s="88"/>
    </row>
    <row r="2099" ht="22.5" customHeight="1">
      <c r="A2099" s="80"/>
      <c r="B2099" s="81" t="s">
        <v>3205</v>
      </c>
      <c r="C2099" s="82"/>
      <c r="D2099" s="80"/>
      <c r="E2099" s="81"/>
      <c r="F2099" s="82"/>
      <c r="G2099" s="83"/>
      <c r="H2099" s="89"/>
      <c r="I2099" s="76"/>
      <c r="J2099" s="84"/>
      <c r="K2099" s="78"/>
      <c r="L2099" s="88"/>
    </row>
    <row r="2100" ht="22.5" customHeight="1">
      <c r="A2100" s="80"/>
      <c r="B2100" s="81" t="s">
        <v>3206</v>
      </c>
      <c r="C2100" s="82"/>
      <c r="D2100" s="80"/>
      <c r="E2100" s="81"/>
      <c r="F2100" s="82"/>
      <c r="G2100" s="83"/>
      <c r="H2100" s="89"/>
      <c r="I2100" s="76"/>
      <c r="J2100" s="84"/>
      <c r="K2100" s="78"/>
      <c r="L2100" s="88"/>
    </row>
    <row r="2101" ht="22.5" customHeight="1">
      <c r="A2101" s="80"/>
      <c r="B2101" s="81" t="s">
        <v>3207</v>
      </c>
      <c r="C2101" s="82"/>
      <c r="D2101" s="80"/>
      <c r="E2101" s="81"/>
      <c r="F2101" s="82"/>
      <c r="G2101" s="83"/>
      <c r="H2101" s="89"/>
      <c r="I2101" s="76"/>
      <c r="J2101" s="84"/>
      <c r="K2101" s="78"/>
      <c r="L2101" s="88"/>
    </row>
    <row r="2102" ht="22.5" customHeight="1">
      <c r="A2102" s="80"/>
      <c r="B2102" s="81" t="s">
        <v>3208</v>
      </c>
      <c r="C2102" s="82"/>
      <c r="D2102" s="80"/>
      <c r="E2102" s="81"/>
      <c r="F2102" s="82"/>
      <c r="G2102" s="83"/>
      <c r="H2102" s="89"/>
      <c r="I2102" s="76"/>
      <c r="J2102" s="84"/>
      <c r="K2102" s="78"/>
      <c r="L2102" s="88"/>
    </row>
    <row r="2103" ht="22.5" customHeight="1">
      <c r="A2103" s="80"/>
      <c r="B2103" s="81" t="s">
        <v>3209</v>
      </c>
      <c r="C2103" s="82"/>
      <c r="D2103" s="80"/>
      <c r="E2103" s="81"/>
      <c r="F2103" s="82"/>
      <c r="G2103" s="83"/>
      <c r="H2103" s="89"/>
      <c r="I2103" s="76"/>
      <c r="J2103" s="84"/>
      <c r="K2103" s="78"/>
      <c r="L2103" s="88"/>
    </row>
    <row r="2104" ht="22.5" customHeight="1">
      <c r="A2104" s="80"/>
      <c r="B2104" s="81" t="s">
        <v>3210</v>
      </c>
      <c r="C2104" s="82"/>
      <c r="D2104" s="80"/>
      <c r="E2104" s="81"/>
      <c r="F2104" s="82"/>
      <c r="G2104" s="83"/>
      <c r="H2104" s="89"/>
      <c r="I2104" s="76"/>
      <c r="J2104" s="84"/>
      <c r="K2104" s="78"/>
      <c r="L2104" s="88"/>
    </row>
    <row r="2105" ht="22.5" customHeight="1">
      <c r="A2105" s="80"/>
      <c r="B2105" s="81" t="s">
        <v>3211</v>
      </c>
      <c r="C2105" s="82"/>
      <c r="D2105" s="80"/>
      <c r="E2105" s="81"/>
      <c r="F2105" s="82"/>
      <c r="G2105" s="83"/>
      <c r="H2105" s="89"/>
      <c r="I2105" s="76"/>
      <c r="J2105" s="84"/>
      <c r="K2105" s="78"/>
      <c r="L2105" s="88"/>
    </row>
    <row r="2106" ht="22.5" customHeight="1">
      <c r="A2106" s="80"/>
      <c r="B2106" s="81" t="s">
        <v>3212</v>
      </c>
      <c r="C2106" s="82"/>
      <c r="D2106" s="80"/>
      <c r="E2106" s="81"/>
      <c r="F2106" s="82"/>
      <c r="G2106" s="83"/>
      <c r="H2106" s="89"/>
      <c r="I2106" s="76"/>
      <c r="J2106" s="84"/>
      <c r="K2106" s="78"/>
      <c r="L2106" s="88"/>
    </row>
    <row r="2107" ht="22.5" customHeight="1">
      <c r="A2107" s="80"/>
      <c r="B2107" s="81" t="s">
        <v>3213</v>
      </c>
      <c r="C2107" s="82"/>
      <c r="D2107" s="80"/>
      <c r="E2107" s="81"/>
      <c r="F2107" s="82"/>
      <c r="G2107" s="83"/>
      <c r="H2107" s="89"/>
      <c r="I2107" s="76"/>
      <c r="J2107" s="84"/>
      <c r="K2107" s="78"/>
      <c r="L2107" s="88"/>
    </row>
    <row r="2108" ht="22.5" customHeight="1">
      <c r="A2108" s="80"/>
      <c r="B2108" s="81" t="s">
        <v>3214</v>
      </c>
      <c r="C2108" s="82"/>
      <c r="D2108" s="80"/>
      <c r="E2108" s="81"/>
      <c r="F2108" s="82"/>
      <c r="G2108" s="83"/>
      <c r="H2108" s="89"/>
      <c r="I2108" s="76"/>
      <c r="J2108" s="84"/>
      <c r="K2108" s="78"/>
      <c r="L2108" s="88"/>
    </row>
    <row r="2109" ht="22.5" customHeight="1">
      <c r="A2109" s="80"/>
      <c r="B2109" s="81" t="s">
        <v>3215</v>
      </c>
      <c r="C2109" s="82"/>
      <c r="D2109" s="80"/>
      <c r="E2109" s="81"/>
      <c r="F2109" s="82"/>
      <c r="G2109" s="83"/>
      <c r="H2109" s="89"/>
      <c r="I2109" s="76"/>
      <c r="J2109" s="84"/>
      <c r="K2109" s="78"/>
      <c r="L2109" s="88"/>
    </row>
    <row r="2110" ht="22.5" customHeight="1">
      <c r="A2110" s="80"/>
      <c r="B2110" s="81" t="s">
        <v>3216</v>
      </c>
      <c r="C2110" s="82"/>
      <c r="D2110" s="80"/>
      <c r="E2110" s="81"/>
      <c r="F2110" s="82"/>
      <c r="G2110" s="83"/>
      <c r="H2110" s="89"/>
      <c r="I2110" s="76"/>
      <c r="J2110" s="84"/>
      <c r="K2110" s="78"/>
      <c r="L2110" s="88"/>
    </row>
    <row r="2111" ht="22.5" customHeight="1">
      <c r="A2111" s="80"/>
      <c r="B2111" s="81" t="s">
        <v>3217</v>
      </c>
      <c r="C2111" s="82"/>
      <c r="D2111" s="80"/>
      <c r="E2111" s="81"/>
      <c r="F2111" s="82"/>
      <c r="G2111" s="83"/>
      <c r="H2111" s="89"/>
      <c r="I2111" s="76"/>
      <c r="J2111" s="84"/>
      <c r="K2111" s="78"/>
      <c r="L2111" s="88"/>
    </row>
    <row r="2112" ht="22.5" customHeight="1">
      <c r="A2112" s="80"/>
      <c r="B2112" s="81" t="s">
        <v>3218</v>
      </c>
      <c r="C2112" s="82"/>
      <c r="D2112" s="80"/>
      <c r="E2112" s="81"/>
      <c r="F2112" s="82"/>
      <c r="G2112" s="83"/>
      <c r="H2112" s="89"/>
      <c r="I2112" s="76"/>
      <c r="J2112" s="84"/>
      <c r="K2112" s="78"/>
      <c r="L2112" s="88"/>
    </row>
    <row r="2113" ht="22.5" customHeight="1">
      <c r="A2113" s="80"/>
      <c r="B2113" s="81" t="s">
        <v>3219</v>
      </c>
      <c r="C2113" s="82"/>
      <c r="D2113" s="80"/>
      <c r="E2113" s="81"/>
      <c r="F2113" s="82"/>
      <c r="G2113" s="83"/>
      <c r="H2113" s="89"/>
      <c r="I2113" s="76"/>
      <c r="J2113" s="84"/>
      <c r="K2113" s="78"/>
      <c r="L2113" s="88"/>
    </row>
    <row r="2114" ht="22.5" customHeight="1">
      <c r="A2114" s="80"/>
      <c r="B2114" s="81" t="s">
        <v>3220</v>
      </c>
      <c r="C2114" s="82"/>
      <c r="D2114" s="80"/>
      <c r="E2114" s="81"/>
      <c r="F2114" s="82"/>
      <c r="G2114" s="83"/>
      <c r="H2114" s="89"/>
      <c r="I2114" s="76"/>
      <c r="J2114" s="84"/>
      <c r="K2114" s="78"/>
      <c r="L2114" s="88"/>
    </row>
    <row r="2115" ht="22.5" customHeight="1">
      <c r="A2115" s="80"/>
      <c r="B2115" s="81" t="s">
        <v>3221</v>
      </c>
      <c r="C2115" s="82"/>
      <c r="D2115" s="80"/>
      <c r="E2115" s="81"/>
      <c r="F2115" s="82"/>
      <c r="G2115" s="83"/>
      <c r="H2115" s="89"/>
      <c r="I2115" s="76"/>
      <c r="J2115" s="84"/>
      <c r="K2115" s="78"/>
      <c r="L2115" s="88"/>
    </row>
    <row r="2116" ht="22.5" customHeight="1">
      <c r="A2116" s="80"/>
      <c r="B2116" s="81" t="s">
        <v>3222</v>
      </c>
      <c r="C2116" s="82"/>
      <c r="D2116" s="80"/>
      <c r="E2116" s="81"/>
      <c r="F2116" s="82"/>
      <c r="G2116" s="83"/>
      <c r="H2116" s="89"/>
      <c r="I2116" s="76"/>
      <c r="J2116" s="84"/>
      <c r="K2116" s="78"/>
      <c r="L2116" s="88"/>
    </row>
    <row r="2117" ht="22.5" customHeight="1">
      <c r="A2117" s="80"/>
      <c r="B2117" s="81" t="s">
        <v>3223</v>
      </c>
      <c r="C2117" s="82"/>
      <c r="D2117" s="80"/>
      <c r="E2117" s="81"/>
      <c r="F2117" s="82"/>
      <c r="G2117" s="83"/>
      <c r="H2117" s="89"/>
      <c r="I2117" s="76"/>
      <c r="J2117" s="84"/>
      <c r="K2117" s="78"/>
      <c r="L2117" s="88"/>
    </row>
    <row r="2118" ht="22.5" customHeight="1">
      <c r="A2118" s="80"/>
      <c r="B2118" s="81" t="s">
        <v>3224</v>
      </c>
      <c r="C2118" s="82"/>
      <c r="D2118" s="80"/>
      <c r="E2118" s="81"/>
      <c r="F2118" s="82"/>
      <c r="G2118" s="83"/>
      <c r="H2118" s="89"/>
      <c r="I2118" s="76"/>
      <c r="J2118" s="84"/>
      <c r="K2118" s="78"/>
      <c r="L2118" s="88"/>
    </row>
    <row r="2119" ht="22.5" customHeight="1">
      <c r="A2119" s="80"/>
      <c r="B2119" s="81" t="s">
        <v>3225</v>
      </c>
      <c r="C2119" s="82"/>
      <c r="D2119" s="80"/>
      <c r="E2119" s="81"/>
      <c r="F2119" s="82"/>
      <c r="G2119" s="83"/>
      <c r="H2119" s="89"/>
      <c r="I2119" s="76"/>
      <c r="J2119" s="84"/>
      <c r="K2119" s="78"/>
      <c r="L2119" s="88"/>
    </row>
    <row r="2120" ht="22.5" customHeight="1">
      <c r="A2120" s="80"/>
      <c r="B2120" s="81" t="s">
        <v>3226</v>
      </c>
      <c r="C2120" s="82"/>
      <c r="D2120" s="80"/>
      <c r="E2120" s="81"/>
      <c r="F2120" s="82"/>
      <c r="G2120" s="83"/>
      <c r="H2120" s="89"/>
      <c r="I2120" s="76"/>
      <c r="J2120" s="84"/>
      <c r="K2120" s="78"/>
      <c r="L2120" s="88"/>
    </row>
    <row r="2121" ht="22.5" customHeight="1">
      <c r="A2121" s="80"/>
      <c r="B2121" s="81" t="s">
        <v>3227</v>
      </c>
      <c r="C2121" s="82"/>
      <c r="D2121" s="80"/>
      <c r="E2121" s="81"/>
      <c r="F2121" s="82"/>
      <c r="G2121" s="83"/>
      <c r="H2121" s="89"/>
      <c r="I2121" s="76"/>
      <c r="J2121" s="84"/>
      <c r="K2121" s="78"/>
      <c r="L2121" s="88"/>
    </row>
    <row r="2122" ht="22.5" customHeight="1">
      <c r="A2122" s="80"/>
      <c r="B2122" s="81" t="s">
        <v>3228</v>
      </c>
      <c r="C2122" s="82"/>
      <c r="D2122" s="80"/>
      <c r="E2122" s="81"/>
      <c r="F2122" s="82"/>
      <c r="G2122" s="83"/>
      <c r="H2122" s="89"/>
      <c r="I2122" s="76"/>
      <c r="J2122" s="84"/>
      <c r="K2122" s="78"/>
      <c r="L2122" s="88"/>
    </row>
    <row r="2123" ht="22.5" customHeight="1">
      <c r="A2123" s="80"/>
      <c r="B2123" s="81" t="s">
        <v>3229</v>
      </c>
      <c r="C2123" s="82"/>
      <c r="D2123" s="80"/>
      <c r="E2123" s="81"/>
      <c r="F2123" s="82"/>
      <c r="G2123" s="83"/>
      <c r="H2123" s="89"/>
      <c r="I2123" s="76"/>
      <c r="J2123" s="84"/>
      <c r="K2123" s="78"/>
      <c r="L2123" s="88"/>
    </row>
    <row r="2124" ht="22.5" customHeight="1">
      <c r="A2124" s="80"/>
      <c r="B2124" s="81" t="s">
        <v>3230</v>
      </c>
      <c r="C2124" s="82"/>
      <c r="D2124" s="80"/>
      <c r="E2124" s="81"/>
      <c r="F2124" s="82"/>
      <c r="G2124" s="83"/>
      <c r="H2124" s="89"/>
      <c r="I2124" s="76"/>
      <c r="J2124" s="84"/>
      <c r="K2124" s="78"/>
      <c r="L2124" s="88"/>
    </row>
    <row r="2125" ht="22.5" customHeight="1">
      <c r="A2125" s="80"/>
      <c r="B2125" s="81" t="s">
        <v>3231</v>
      </c>
      <c r="C2125" s="82"/>
      <c r="D2125" s="80"/>
      <c r="E2125" s="81"/>
      <c r="F2125" s="82"/>
      <c r="G2125" s="83"/>
      <c r="H2125" s="89"/>
      <c r="I2125" s="76"/>
      <c r="J2125" s="84"/>
      <c r="K2125" s="78"/>
      <c r="L2125" s="88"/>
    </row>
    <row r="2126" ht="22.5" customHeight="1">
      <c r="A2126" s="80"/>
      <c r="B2126" s="81" t="s">
        <v>3232</v>
      </c>
      <c r="C2126" s="82"/>
      <c r="D2126" s="80"/>
      <c r="E2126" s="81"/>
      <c r="F2126" s="82"/>
      <c r="G2126" s="83"/>
      <c r="H2126" s="89"/>
      <c r="I2126" s="76"/>
      <c r="J2126" s="84"/>
      <c r="K2126" s="78"/>
      <c r="L2126" s="88"/>
    </row>
    <row r="2127" ht="22.5" customHeight="1">
      <c r="A2127" s="80"/>
      <c r="B2127" s="81" t="s">
        <v>3233</v>
      </c>
      <c r="C2127" s="82"/>
      <c r="D2127" s="80"/>
      <c r="E2127" s="81"/>
      <c r="F2127" s="82"/>
      <c r="G2127" s="83"/>
      <c r="H2127" s="89"/>
      <c r="I2127" s="76"/>
      <c r="J2127" s="84"/>
      <c r="K2127" s="78"/>
      <c r="L2127" s="88"/>
    </row>
    <row r="2128" ht="22.5" customHeight="1">
      <c r="A2128" s="80"/>
      <c r="B2128" s="81" t="s">
        <v>3234</v>
      </c>
      <c r="C2128" s="82"/>
      <c r="D2128" s="80"/>
      <c r="E2128" s="81"/>
      <c r="F2128" s="82"/>
      <c r="G2128" s="83"/>
      <c r="H2128" s="89"/>
      <c r="I2128" s="76"/>
      <c r="J2128" s="84"/>
      <c r="K2128" s="78"/>
      <c r="L2128" s="88"/>
    </row>
    <row r="2129" ht="22.5" customHeight="1">
      <c r="A2129" s="80"/>
      <c r="B2129" s="81" t="s">
        <v>3235</v>
      </c>
      <c r="C2129" s="82"/>
      <c r="D2129" s="80"/>
      <c r="E2129" s="81"/>
      <c r="F2129" s="82"/>
      <c r="G2129" s="83"/>
      <c r="H2129" s="89"/>
      <c r="I2129" s="76"/>
      <c r="J2129" s="84"/>
      <c r="K2129" s="78"/>
      <c r="L2129" s="88"/>
    </row>
    <row r="2130" ht="22.5" customHeight="1">
      <c r="A2130" s="80"/>
      <c r="B2130" s="81" t="s">
        <v>3236</v>
      </c>
      <c r="C2130" s="82"/>
      <c r="D2130" s="80"/>
      <c r="E2130" s="81"/>
      <c r="F2130" s="82"/>
      <c r="G2130" s="83"/>
      <c r="H2130" s="89"/>
      <c r="I2130" s="76"/>
      <c r="J2130" s="84"/>
      <c r="K2130" s="78"/>
      <c r="L2130" s="88"/>
    </row>
    <row r="2131" ht="22.5" customHeight="1">
      <c r="A2131" s="80"/>
      <c r="B2131" s="81" t="s">
        <v>3237</v>
      </c>
      <c r="C2131" s="82"/>
      <c r="D2131" s="80"/>
      <c r="E2131" s="81"/>
      <c r="F2131" s="82"/>
      <c r="G2131" s="83"/>
      <c r="H2131" s="89"/>
      <c r="I2131" s="76"/>
      <c r="J2131" s="84"/>
      <c r="K2131" s="78"/>
      <c r="L2131" s="88"/>
    </row>
    <row r="2132" ht="22.5" customHeight="1">
      <c r="A2132" s="80"/>
      <c r="B2132" s="81" t="s">
        <v>3238</v>
      </c>
      <c r="C2132" s="82"/>
      <c r="D2132" s="80"/>
      <c r="E2132" s="81"/>
      <c r="F2132" s="82"/>
      <c r="G2132" s="83"/>
      <c r="H2132" s="89"/>
      <c r="I2132" s="76"/>
      <c r="J2132" s="84"/>
      <c r="K2132" s="78"/>
      <c r="L2132" s="88"/>
    </row>
    <row r="2133" ht="22.5" customHeight="1">
      <c r="A2133" s="80"/>
      <c r="B2133" s="81" t="s">
        <v>3239</v>
      </c>
      <c r="C2133" s="82"/>
      <c r="D2133" s="80"/>
      <c r="E2133" s="81"/>
      <c r="F2133" s="82"/>
      <c r="G2133" s="83"/>
      <c r="H2133" s="89"/>
      <c r="I2133" s="76"/>
      <c r="J2133" s="84"/>
      <c r="K2133" s="78"/>
      <c r="L2133" s="88"/>
    </row>
    <row r="2134" ht="22.5" customHeight="1">
      <c r="A2134" s="80"/>
      <c r="B2134" s="81" t="s">
        <v>3240</v>
      </c>
      <c r="C2134" s="82"/>
      <c r="D2134" s="80"/>
      <c r="E2134" s="81"/>
      <c r="F2134" s="82"/>
      <c r="G2134" s="83"/>
      <c r="H2134" s="89"/>
      <c r="I2134" s="76"/>
      <c r="J2134" s="84"/>
      <c r="K2134" s="78"/>
      <c r="L2134" s="88"/>
    </row>
    <row r="2135" ht="22.5" customHeight="1">
      <c r="A2135" s="80"/>
      <c r="B2135" s="81" t="s">
        <v>3241</v>
      </c>
      <c r="C2135" s="82"/>
      <c r="D2135" s="80"/>
      <c r="E2135" s="81"/>
      <c r="F2135" s="82"/>
      <c r="G2135" s="83"/>
      <c r="H2135" s="89"/>
      <c r="I2135" s="76"/>
      <c r="J2135" s="84"/>
      <c r="K2135" s="78"/>
      <c r="L2135" s="88"/>
    </row>
    <row r="2136" ht="22.5" customHeight="1">
      <c r="A2136" s="80"/>
      <c r="B2136" s="81" t="s">
        <v>3242</v>
      </c>
      <c r="C2136" s="82"/>
      <c r="D2136" s="80"/>
      <c r="E2136" s="81"/>
      <c r="F2136" s="82"/>
      <c r="G2136" s="83"/>
      <c r="H2136" s="89"/>
      <c r="I2136" s="76"/>
      <c r="J2136" s="84"/>
      <c r="K2136" s="78"/>
      <c r="L2136" s="88"/>
    </row>
    <row r="2137" ht="22.5" customHeight="1">
      <c r="A2137" s="80"/>
      <c r="B2137" s="81" t="s">
        <v>3243</v>
      </c>
      <c r="C2137" s="82"/>
      <c r="D2137" s="80"/>
      <c r="E2137" s="81"/>
      <c r="F2137" s="82"/>
      <c r="G2137" s="83"/>
      <c r="H2137" s="89"/>
      <c r="I2137" s="76"/>
      <c r="J2137" s="84"/>
      <c r="K2137" s="78"/>
      <c r="L2137" s="88"/>
    </row>
    <row r="2138" ht="22.5" customHeight="1">
      <c r="A2138" s="80"/>
      <c r="B2138" s="81" t="s">
        <v>3244</v>
      </c>
      <c r="C2138" s="82"/>
      <c r="D2138" s="80"/>
      <c r="E2138" s="81"/>
      <c r="F2138" s="82"/>
      <c r="G2138" s="83"/>
      <c r="H2138" s="89"/>
      <c r="I2138" s="76"/>
      <c r="J2138" s="84"/>
      <c r="K2138" s="78"/>
      <c r="L2138" s="88"/>
    </row>
    <row r="2139" ht="22.5" customHeight="1">
      <c r="A2139" s="80"/>
      <c r="B2139" s="81" t="s">
        <v>3245</v>
      </c>
      <c r="C2139" s="82"/>
      <c r="D2139" s="80"/>
      <c r="E2139" s="81"/>
      <c r="F2139" s="82"/>
      <c r="G2139" s="83"/>
      <c r="H2139" s="89"/>
      <c r="I2139" s="76"/>
      <c r="J2139" s="84"/>
      <c r="K2139" s="78"/>
      <c r="L2139" s="88"/>
    </row>
    <row r="2140" ht="22.5" customHeight="1">
      <c r="A2140" s="80"/>
      <c r="B2140" s="81" t="s">
        <v>3246</v>
      </c>
      <c r="C2140" s="82"/>
      <c r="D2140" s="80"/>
      <c r="E2140" s="81"/>
      <c r="F2140" s="82"/>
      <c r="G2140" s="83"/>
      <c r="H2140" s="89"/>
      <c r="I2140" s="76"/>
      <c r="J2140" s="84"/>
      <c r="K2140" s="78"/>
      <c r="L2140" s="88"/>
    </row>
    <row r="2141" ht="22.5" customHeight="1">
      <c r="A2141" s="80"/>
      <c r="B2141" s="81" t="s">
        <v>3247</v>
      </c>
      <c r="C2141" s="82"/>
      <c r="D2141" s="80"/>
      <c r="E2141" s="81"/>
      <c r="F2141" s="82"/>
      <c r="G2141" s="83"/>
      <c r="H2141" s="89"/>
      <c r="I2141" s="76"/>
      <c r="J2141" s="84"/>
      <c r="K2141" s="78"/>
      <c r="L2141" s="88"/>
    </row>
    <row r="2142" ht="22.5" customHeight="1">
      <c r="A2142" s="80"/>
      <c r="B2142" s="81" t="s">
        <v>3248</v>
      </c>
      <c r="C2142" s="82"/>
      <c r="D2142" s="80"/>
      <c r="E2142" s="81"/>
      <c r="F2142" s="82"/>
      <c r="G2142" s="83"/>
      <c r="H2142" s="89"/>
      <c r="I2142" s="76"/>
      <c r="J2142" s="84"/>
      <c r="K2142" s="78"/>
      <c r="L2142" s="88"/>
    </row>
    <row r="2143" ht="22.5" customHeight="1">
      <c r="A2143" s="80"/>
      <c r="B2143" s="81" t="s">
        <v>3249</v>
      </c>
      <c r="C2143" s="82"/>
      <c r="D2143" s="80"/>
      <c r="E2143" s="81"/>
      <c r="F2143" s="82"/>
      <c r="G2143" s="83"/>
      <c r="H2143" s="89"/>
      <c r="I2143" s="76"/>
      <c r="J2143" s="84"/>
      <c r="K2143" s="78"/>
      <c r="L2143" s="88"/>
    </row>
    <row r="2144" ht="22.5" customHeight="1">
      <c r="A2144" s="80"/>
      <c r="B2144" s="81" t="s">
        <v>3250</v>
      </c>
      <c r="C2144" s="82"/>
      <c r="D2144" s="80"/>
      <c r="E2144" s="81"/>
      <c r="F2144" s="82"/>
      <c r="G2144" s="83"/>
      <c r="H2144" s="89"/>
      <c r="I2144" s="76"/>
      <c r="J2144" s="84"/>
      <c r="K2144" s="78"/>
      <c r="L2144" s="88"/>
    </row>
    <row r="2145" ht="22.5" customHeight="1">
      <c r="A2145" s="80"/>
      <c r="B2145" s="81" t="s">
        <v>3251</v>
      </c>
      <c r="C2145" s="82"/>
      <c r="D2145" s="80"/>
      <c r="E2145" s="81"/>
      <c r="F2145" s="82"/>
      <c r="G2145" s="83"/>
      <c r="H2145" s="89"/>
      <c r="I2145" s="76"/>
      <c r="J2145" s="84"/>
      <c r="K2145" s="78"/>
      <c r="L2145" s="88"/>
    </row>
    <row r="2146" ht="22.5" customHeight="1">
      <c r="A2146" s="80"/>
      <c r="B2146" s="81" t="s">
        <v>3252</v>
      </c>
      <c r="C2146" s="82"/>
      <c r="D2146" s="80"/>
      <c r="E2146" s="81"/>
      <c r="F2146" s="82"/>
      <c r="G2146" s="83"/>
      <c r="H2146" s="89"/>
      <c r="I2146" s="76"/>
      <c r="J2146" s="84"/>
      <c r="K2146" s="78"/>
      <c r="L2146" s="88"/>
    </row>
    <row r="2147" ht="22.5" customHeight="1">
      <c r="A2147" s="80"/>
      <c r="B2147" s="81" t="s">
        <v>3253</v>
      </c>
      <c r="C2147" s="82"/>
      <c r="D2147" s="80"/>
      <c r="E2147" s="81"/>
      <c r="F2147" s="82"/>
      <c r="G2147" s="83"/>
      <c r="H2147" s="89"/>
      <c r="I2147" s="76"/>
      <c r="J2147" s="84"/>
      <c r="K2147" s="78"/>
      <c r="L2147" s="88"/>
    </row>
    <row r="2148" ht="22.5" customHeight="1">
      <c r="A2148" s="80"/>
      <c r="B2148" s="81" t="s">
        <v>3254</v>
      </c>
      <c r="C2148" s="82"/>
      <c r="D2148" s="80"/>
      <c r="E2148" s="81"/>
      <c r="F2148" s="82"/>
      <c r="G2148" s="83"/>
      <c r="H2148" s="89"/>
      <c r="I2148" s="76"/>
      <c r="J2148" s="84"/>
      <c r="K2148" s="78"/>
      <c r="L2148" s="88"/>
    </row>
    <row r="2149" ht="22.5" customHeight="1">
      <c r="A2149" s="80"/>
      <c r="B2149" s="81" t="s">
        <v>3255</v>
      </c>
      <c r="C2149" s="82"/>
      <c r="D2149" s="80"/>
      <c r="E2149" s="81"/>
      <c r="F2149" s="82"/>
      <c r="G2149" s="83"/>
      <c r="H2149" s="89"/>
      <c r="I2149" s="76"/>
      <c r="J2149" s="84"/>
      <c r="K2149" s="78"/>
      <c r="L2149" s="88"/>
    </row>
    <row r="2150" ht="22.5" customHeight="1">
      <c r="A2150" s="80"/>
      <c r="B2150" s="81" t="s">
        <v>3256</v>
      </c>
      <c r="C2150" s="82"/>
      <c r="D2150" s="80"/>
      <c r="E2150" s="81"/>
      <c r="F2150" s="82"/>
      <c r="G2150" s="83"/>
      <c r="H2150" s="89"/>
      <c r="I2150" s="76"/>
      <c r="J2150" s="84"/>
      <c r="K2150" s="78"/>
      <c r="L2150" s="88"/>
    </row>
    <row r="2151" ht="22.5" customHeight="1">
      <c r="A2151" s="80"/>
      <c r="B2151" s="81" t="s">
        <v>3257</v>
      </c>
      <c r="C2151" s="82"/>
      <c r="D2151" s="80"/>
      <c r="E2151" s="81"/>
      <c r="F2151" s="82"/>
      <c r="G2151" s="83"/>
      <c r="H2151" s="89"/>
      <c r="I2151" s="76"/>
      <c r="J2151" s="84"/>
      <c r="K2151" s="78"/>
      <c r="L2151" s="88"/>
    </row>
    <row r="2152" ht="22.5" customHeight="1">
      <c r="A2152" s="80"/>
      <c r="B2152" s="81" t="s">
        <v>3258</v>
      </c>
      <c r="C2152" s="82"/>
      <c r="D2152" s="80"/>
      <c r="E2152" s="81"/>
      <c r="F2152" s="82"/>
      <c r="G2152" s="83"/>
      <c r="H2152" s="89"/>
      <c r="I2152" s="76"/>
      <c r="J2152" s="84"/>
      <c r="K2152" s="78"/>
      <c r="L2152" s="88"/>
    </row>
    <row r="2153" ht="22.5" customHeight="1">
      <c r="A2153" s="80"/>
      <c r="B2153" s="81" t="s">
        <v>3259</v>
      </c>
      <c r="C2153" s="82"/>
      <c r="D2153" s="80"/>
      <c r="E2153" s="81"/>
      <c r="F2153" s="82"/>
      <c r="G2153" s="83"/>
      <c r="H2153" s="89"/>
      <c r="I2153" s="76"/>
      <c r="J2153" s="84"/>
      <c r="K2153" s="78"/>
      <c r="L2153" s="88"/>
    </row>
    <row r="2154" ht="22.5" customHeight="1">
      <c r="A2154" s="80"/>
      <c r="B2154" s="81" t="s">
        <v>3260</v>
      </c>
      <c r="C2154" s="82"/>
      <c r="D2154" s="80"/>
      <c r="E2154" s="81"/>
      <c r="F2154" s="82"/>
      <c r="G2154" s="83"/>
      <c r="H2154" s="89"/>
      <c r="I2154" s="76"/>
      <c r="J2154" s="84"/>
      <c r="K2154" s="78"/>
      <c r="L2154" s="88"/>
    </row>
    <row r="2155" ht="22.5" customHeight="1">
      <c r="A2155" s="80"/>
      <c r="B2155" s="81" t="s">
        <v>3261</v>
      </c>
      <c r="C2155" s="82"/>
      <c r="D2155" s="80"/>
      <c r="E2155" s="81"/>
      <c r="F2155" s="82"/>
      <c r="G2155" s="83"/>
      <c r="H2155" s="89"/>
      <c r="I2155" s="76"/>
      <c r="J2155" s="84"/>
      <c r="K2155" s="78"/>
      <c r="L2155" s="88"/>
    </row>
    <row r="2156" ht="22.5" customHeight="1">
      <c r="A2156" s="80"/>
      <c r="B2156" s="81" t="s">
        <v>3262</v>
      </c>
      <c r="C2156" s="82"/>
      <c r="D2156" s="80"/>
      <c r="E2156" s="81"/>
      <c r="F2156" s="82"/>
      <c r="G2156" s="83"/>
      <c r="H2156" s="89"/>
      <c r="I2156" s="76"/>
      <c r="J2156" s="84"/>
      <c r="K2156" s="78"/>
      <c r="L2156" s="88"/>
    </row>
    <row r="2157" ht="22.5" customHeight="1">
      <c r="A2157" s="80"/>
      <c r="B2157" s="81" t="s">
        <v>3263</v>
      </c>
      <c r="C2157" s="82"/>
      <c r="D2157" s="80"/>
      <c r="E2157" s="81"/>
      <c r="F2157" s="82"/>
      <c r="G2157" s="83"/>
      <c r="H2157" s="89"/>
      <c r="I2157" s="76"/>
      <c r="J2157" s="84"/>
      <c r="K2157" s="78"/>
      <c r="L2157" s="88"/>
    </row>
    <row r="2158" ht="22.5" customHeight="1">
      <c r="A2158" s="80"/>
      <c r="B2158" s="81" t="s">
        <v>3264</v>
      </c>
      <c r="C2158" s="82"/>
      <c r="D2158" s="80"/>
      <c r="E2158" s="81"/>
      <c r="F2158" s="82"/>
      <c r="G2158" s="83"/>
      <c r="H2158" s="89"/>
      <c r="I2158" s="76"/>
      <c r="J2158" s="84"/>
      <c r="K2158" s="78"/>
      <c r="L2158" s="88"/>
    </row>
    <row r="2159" ht="22.5" customHeight="1">
      <c r="A2159" s="80"/>
      <c r="B2159" s="81" t="s">
        <v>3265</v>
      </c>
      <c r="C2159" s="82"/>
      <c r="D2159" s="80"/>
      <c r="E2159" s="81"/>
      <c r="F2159" s="82"/>
      <c r="G2159" s="83"/>
      <c r="H2159" s="89"/>
      <c r="I2159" s="76"/>
      <c r="J2159" s="84"/>
      <c r="K2159" s="78"/>
      <c r="L2159" s="88"/>
    </row>
    <row r="2160" ht="22.5" customHeight="1">
      <c r="A2160" s="80"/>
      <c r="B2160" s="81" t="s">
        <v>3266</v>
      </c>
      <c r="C2160" s="82"/>
      <c r="D2160" s="80"/>
      <c r="E2160" s="81"/>
      <c r="F2160" s="82"/>
      <c r="G2160" s="83"/>
      <c r="H2160" s="89"/>
      <c r="I2160" s="76"/>
      <c r="J2160" s="84"/>
      <c r="K2160" s="78"/>
      <c r="L2160" s="88"/>
    </row>
    <row r="2161" ht="22.5" customHeight="1">
      <c r="A2161" s="80"/>
      <c r="B2161" s="81" t="s">
        <v>3267</v>
      </c>
      <c r="C2161" s="82"/>
      <c r="D2161" s="80"/>
      <c r="E2161" s="81"/>
      <c r="F2161" s="82"/>
      <c r="G2161" s="83"/>
      <c r="H2161" s="89"/>
      <c r="I2161" s="76"/>
      <c r="J2161" s="84"/>
      <c r="K2161" s="78"/>
      <c r="L2161" s="88"/>
    </row>
    <row r="2162" ht="22.5" customHeight="1">
      <c r="A2162" s="80"/>
      <c r="B2162" s="81" t="s">
        <v>3268</v>
      </c>
      <c r="C2162" s="82"/>
      <c r="D2162" s="80"/>
      <c r="E2162" s="81"/>
      <c r="F2162" s="82"/>
      <c r="G2162" s="83"/>
      <c r="H2162" s="89"/>
      <c r="I2162" s="76"/>
      <c r="J2162" s="84"/>
      <c r="K2162" s="78"/>
      <c r="L2162" s="88"/>
    </row>
    <row r="2163" ht="22.5" customHeight="1">
      <c r="A2163" s="80"/>
      <c r="B2163" s="81" t="s">
        <v>3269</v>
      </c>
      <c r="C2163" s="82"/>
      <c r="D2163" s="80"/>
      <c r="E2163" s="81"/>
      <c r="F2163" s="82"/>
      <c r="G2163" s="83"/>
      <c r="H2163" s="89"/>
      <c r="I2163" s="76"/>
      <c r="J2163" s="84"/>
      <c r="K2163" s="78"/>
      <c r="L2163" s="88"/>
    </row>
    <row r="2164" ht="22.5" customHeight="1">
      <c r="A2164" s="80"/>
      <c r="B2164" s="81" t="s">
        <v>3270</v>
      </c>
      <c r="C2164" s="82"/>
      <c r="D2164" s="80"/>
      <c r="E2164" s="81"/>
      <c r="F2164" s="82"/>
      <c r="G2164" s="83"/>
      <c r="H2164" s="89"/>
      <c r="I2164" s="76"/>
      <c r="J2164" s="84"/>
      <c r="K2164" s="78"/>
      <c r="L2164" s="88"/>
    </row>
    <row r="2165" ht="22.5" customHeight="1">
      <c r="A2165" s="80"/>
      <c r="B2165" s="81" t="s">
        <v>3271</v>
      </c>
      <c r="C2165" s="82"/>
      <c r="D2165" s="80"/>
      <c r="E2165" s="81"/>
      <c r="F2165" s="82"/>
      <c r="G2165" s="83"/>
      <c r="H2165" s="89"/>
      <c r="I2165" s="76"/>
      <c r="J2165" s="84"/>
      <c r="K2165" s="78"/>
      <c r="L2165" s="88"/>
    </row>
    <row r="2166" ht="22.5" customHeight="1">
      <c r="A2166" s="80"/>
      <c r="B2166" s="81" t="s">
        <v>3272</v>
      </c>
      <c r="C2166" s="82"/>
      <c r="D2166" s="80"/>
      <c r="E2166" s="81"/>
      <c r="F2166" s="82"/>
      <c r="G2166" s="83"/>
      <c r="H2166" s="89"/>
      <c r="I2166" s="76"/>
      <c r="J2166" s="84"/>
      <c r="K2166" s="78"/>
      <c r="L2166" s="88"/>
    </row>
    <row r="2167" ht="22.5" customHeight="1">
      <c r="A2167" s="80"/>
      <c r="B2167" s="81" t="s">
        <v>3273</v>
      </c>
      <c r="C2167" s="82"/>
      <c r="D2167" s="80"/>
      <c r="E2167" s="81"/>
      <c r="F2167" s="82"/>
      <c r="G2167" s="83"/>
      <c r="H2167" s="89"/>
      <c r="I2167" s="76"/>
      <c r="J2167" s="84"/>
      <c r="K2167" s="78"/>
      <c r="L2167" s="88"/>
    </row>
    <row r="2168" ht="22.5" customHeight="1">
      <c r="A2168" s="80"/>
      <c r="B2168" s="81" t="s">
        <v>3274</v>
      </c>
      <c r="C2168" s="82"/>
      <c r="D2168" s="80"/>
      <c r="E2168" s="81"/>
      <c r="F2168" s="82"/>
      <c r="G2168" s="83"/>
      <c r="H2168" s="89"/>
      <c r="I2168" s="76"/>
      <c r="J2168" s="84"/>
      <c r="K2168" s="78"/>
      <c r="L2168" s="88"/>
    </row>
    <row r="2169" ht="22.5" customHeight="1">
      <c r="A2169" s="80"/>
      <c r="B2169" s="81" t="s">
        <v>3275</v>
      </c>
      <c r="C2169" s="82"/>
      <c r="D2169" s="80"/>
      <c r="E2169" s="81"/>
      <c r="F2169" s="82"/>
      <c r="G2169" s="83"/>
      <c r="H2169" s="89"/>
      <c r="I2169" s="76"/>
      <c r="J2169" s="84"/>
      <c r="K2169" s="78"/>
      <c r="L2169" s="88"/>
    </row>
    <row r="2170" ht="22.5" customHeight="1">
      <c r="A2170" s="80"/>
      <c r="B2170" s="81" t="s">
        <v>3276</v>
      </c>
      <c r="C2170" s="82"/>
      <c r="D2170" s="80"/>
      <c r="E2170" s="81"/>
      <c r="F2170" s="82"/>
      <c r="G2170" s="83"/>
      <c r="H2170" s="89"/>
      <c r="I2170" s="76"/>
      <c r="J2170" s="84"/>
      <c r="K2170" s="78"/>
      <c r="L2170" s="88"/>
    </row>
    <row r="2171" ht="22.5" customHeight="1">
      <c r="A2171" s="80"/>
      <c r="B2171" s="81" t="s">
        <v>3277</v>
      </c>
      <c r="C2171" s="82"/>
      <c r="D2171" s="80"/>
      <c r="E2171" s="81"/>
      <c r="F2171" s="82"/>
      <c r="G2171" s="83"/>
      <c r="H2171" s="89"/>
      <c r="I2171" s="76"/>
      <c r="J2171" s="84"/>
      <c r="K2171" s="78"/>
      <c r="L2171" s="88"/>
    </row>
    <row r="2172" ht="22.5" customHeight="1">
      <c r="A2172" s="80"/>
      <c r="B2172" s="81" t="s">
        <v>3278</v>
      </c>
      <c r="C2172" s="82"/>
      <c r="D2172" s="80"/>
      <c r="E2172" s="81"/>
      <c r="F2172" s="82"/>
      <c r="G2172" s="83"/>
      <c r="H2172" s="89"/>
      <c r="I2172" s="76"/>
      <c r="J2172" s="84"/>
      <c r="K2172" s="78"/>
      <c r="L2172" s="88"/>
    </row>
    <row r="2173" ht="22.5" customHeight="1">
      <c r="A2173" s="80"/>
      <c r="B2173" s="81" t="s">
        <v>3279</v>
      </c>
      <c r="C2173" s="82"/>
      <c r="D2173" s="80"/>
      <c r="E2173" s="81"/>
      <c r="F2173" s="82"/>
      <c r="G2173" s="83"/>
      <c r="H2173" s="89"/>
      <c r="I2173" s="76"/>
      <c r="J2173" s="84"/>
      <c r="K2173" s="78"/>
      <c r="L2173" s="88"/>
    </row>
    <row r="2174" ht="22.5" customHeight="1">
      <c r="A2174" s="80"/>
      <c r="B2174" s="81" t="s">
        <v>3280</v>
      </c>
      <c r="C2174" s="82"/>
      <c r="D2174" s="80"/>
      <c r="E2174" s="81"/>
      <c r="F2174" s="82"/>
      <c r="G2174" s="83"/>
      <c r="H2174" s="89"/>
      <c r="I2174" s="76"/>
      <c r="J2174" s="84"/>
      <c r="K2174" s="78"/>
      <c r="L2174" s="88"/>
    </row>
    <row r="2175" ht="22.5" customHeight="1">
      <c r="A2175" s="80"/>
      <c r="B2175" s="81" t="s">
        <v>3281</v>
      </c>
      <c r="C2175" s="82"/>
      <c r="D2175" s="80"/>
      <c r="E2175" s="81"/>
      <c r="F2175" s="82"/>
      <c r="G2175" s="83"/>
      <c r="H2175" s="89"/>
      <c r="I2175" s="76"/>
      <c r="J2175" s="84"/>
      <c r="K2175" s="78"/>
      <c r="L2175" s="88"/>
    </row>
    <row r="2176" ht="22.5" customHeight="1">
      <c r="A2176" s="80"/>
      <c r="B2176" s="81" t="s">
        <v>3282</v>
      </c>
      <c r="C2176" s="82"/>
      <c r="D2176" s="80"/>
      <c r="E2176" s="81"/>
      <c r="F2176" s="82"/>
      <c r="G2176" s="83"/>
      <c r="H2176" s="89"/>
      <c r="I2176" s="76"/>
      <c r="J2176" s="84"/>
      <c r="K2176" s="78"/>
      <c r="L2176" s="88"/>
    </row>
    <row r="2177" ht="22.5" customHeight="1">
      <c r="A2177" s="80"/>
      <c r="B2177" s="81" t="s">
        <v>3283</v>
      </c>
      <c r="C2177" s="82"/>
      <c r="D2177" s="80"/>
      <c r="E2177" s="81"/>
      <c r="F2177" s="82"/>
      <c r="G2177" s="83"/>
      <c r="H2177" s="89"/>
      <c r="I2177" s="76"/>
      <c r="J2177" s="84"/>
      <c r="K2177" s="78"/>
      <c r="L2177" s="88"/>
    </row>
    <row r="2178" ht="22.5" customHeight="1">
      <c r="A2178" s="80"/>
      <c r="B2178" s="81" t="s">
        <v>3284</v>
      </c>
      <c r="C2178" s="82"/>
      <c r="D2178" s="80"/>
      <c r="E2178" s="81"/>
      <c r="F2178" s="82"/>
      <c r="G2178" s="83"/>
      <c r="H2178" s="89"/>
      <c r="I2178" s="76"/>
      <c r="J2178" s="84"/>
      <c r="K2178" s="78"/>
      <c r="L2178" s="88"/>
    </row>
    <row r="2179" ht="22.5" customHeight="1">
      <c r="A2179" s="80"/>
      <c r="B2179" s="81" t="s">
        <v>3285</v>
      </c>
      <c r="C2179" s="82"/>
      <c r="D2179" s="80"/>
      <c r="E2179" s="81"/>
      <c r="F2179" s="82"/>
      <c r="G2179" s="83"/>
      <c r="H2179" s="89"/>
      <c r="I2179" s="76"/>
      <c r="J2179" s="84"/>
      <c r="K2179" s="78"/>
      <c r="L2179" s="88"/>
    </row>
    <row r="2180" ht="22.5" customHeight="1">
      <c r="A2180" s="80"/>
      <c r="B2180" s="81" t="s">
        <v>3286</v>
      </c>
      <c r="C2180" s="82"/>
      <c r="D2180" s="80"/>
      <c r="E2180" s="81"/>
      <c r="F2180" s="82"/>
      <c r="G2180" s="83"/>
      <c r="H2180" s="89"/>
      <c r="I2180" s="76"/>
      <c r="J2180" s="84"/>
      <c r="K2180" s="78"/>
      <c r="L2180" s="88"/>
    </row>
    <row r="2181" ht="22.5" customHeight="1">
      <c r="A2181" s="80"/>
      <c r="B2181" s="81" t="s">
        <v>3287</v>
      </c>
      <c r="C2181" s="82"/>
      <c r="D2181" s="80"/>
      <c r="E2181" s="81"/>
      <c r="F2181" s="82"/>
      <c r="G2181" s="83"/>
      <c r="H2181" s="89"/>
      <c r="I2181" s="76"/>
      <c r="J2181" s="84"/>
      <c r="K2181" s="78"/>
      <c r="L2181" s="88"/>
    </row>
    <row r="2182" ht="22.5" customHeight="1">
      <c r="A2182" s="80"/>
      <c r="B2182" s="81" t="s">
        <v>3288</v>
      </c>
      <c r="C2182" s="82"/>
      <c r="D2182" s="80"/>
      <c r="E2182" s="81"/>
      <c r="F2182" s="82"/>
      <c r="G2182" s="83"/>
      <c r="H2182" s="89"/>
      <c r="I2182" s="76"/>
      <c r="J2182" s="84"/>
      <c r="K2182" s="78"/>
      <c r="L2182" s="88"/>
    </row>
    <row r="2183" ht="22.5" customHeight="1">
      <c r="A2183" s="80"/>
      <c r="B2183" s="81" t="s">
        <v>3289</v>
      </c>
      <c r="C2183" s="82"/>
      <c r="D2183" s="80"/>
      <c r="E2183" s="81"/>
      <c r="F2183" s="82"/>
      <c r="G2183" s="83"/>
      <c r="H2183" s="89"/>
      <c r="I2183" s="76"/>
      <c r="J2183" s="84"/>
      <c r="K2183" s="78"/>
      <c r="L2183" s="88"/>
    </row>
    <row r="2184" ht="22.5" customHeight="1">
      <c r="A2184" s="80"/>
      <c r="B2184" s="81"/>
      <c r="C2184" s="82"/>
      <c r="D2184" s="80"/>
      <c r="E2184" s="81"/>
      <c r="F2184" s="82"/>
      <c r="G2184" s="83"/>
      <c r="H2184" s="89"/>
      <c r="I2184" s="76"/>
      <c r="J2184" s="84"/>
      <c r="K2184" s="78"/>
      <c r="L2184" s="88"/>
    </row>
    <row r="2185" ht="22.5" customHeight="1">
      <c r="A2185" s="80"/>
      <c r="B2185" s="81"/>
      <c r="C2185" s="82"/>
      <c r="D2185" s="80"/>
      <c r="E2185" s="81"/>
      <c r="F2185" s="82"/>
      <c r="G2185" s="83"/>
      <c r="H2185" s="89"/>
      <c r="I2185" s="76"/>
      <c r="J2185" s="84"/>
      <c r="K2185" s="78"/>
      <c r="L2185" s="88"/>
    </row>
    <row r="2186" ht="22.5" customHeight="1">
      <c r="A2186" s="80"/>
      <c r="B2186" s="81"/>
      <c r="C2186" s="82"/>
      <c r="D2186" s="80"/>
      <c r="E2186" s="81"/>
      <c r="F2186" s="82"/>
      <c r="G2186" s="83"/>
      <c r="H2186" s="89"/>
      <c r="I2186" s="76"/>
      <c r="J2186" s="84"/>
      <c r="K2186" s="78"/>
      <c r="L2186" s="88"/>
    </row>
    <row r="2187" ht="22.5" customHeight="1">
      <c r="A2187" s="80"/>
      <c r="B2187" s="81"/>
      <c r="C2187" s="82"/>
      <c r="D2187" s="80"/>
      <c r="E2187" s="81"/>
      <c r="F2187" s="82"/>
      <c r="G2187" s="83"/>
      <c r="H2187" s="89"/>
      <c r="I2187" s="76"/>
      <c r="J2187" s="84"/>
      <c r="K2187" s="78"/>
      <c r="L2187" s="88"/>
    </row>
    <row r="2188" ht="22.5" customHeight="1">
      <c r="A2188" s="80"/>
      <c r="B2188" s="81"/>
      <c r="C2188" s="82"/>
      <c r="D2188" s="80"/>
      <c r="E2188" s="81"/>
      <c r="F2188" s="82"/>
      <c r="G2188" s="83"/>
      <c r="H2188" s="89"/>
      <c r="I2188" s="76"/>
      <c r="J2188" s="84"/>
      <c r="K2188" s="78"/>
      <c r="L2188" s="88"/>
    </row>
    <row r="2189" ht="22.5" customHeight="1">
      <c r="A2189" s="80"/>
      <c r="B2189" s="81"/>
      <c r="C2189" s="82"/>
      <c r="D2189" s="80"/>
      <c r="E2189" s="81"/>
      <c r="F2189" s="82"/>
      <c r="G2189" s="83"/>
      <c r="H2189" s="89"/>
      <c r="I2189" s="76"/>
      <c r="J2189" s="84"/>
      <c r="K2189" s="78"/>
      <c r="L2189" s="88"/>
    </row>
    <row r="2190" ht="22.5" customHeight="1">
      <c r="A2190" s="80"/>
      <c r="B2190" s="81"/>
      <c r="C2190" s="82"/>
      <c r="D2190" s="80"/>
      <c r="E2190" s="81"/>
      <c r="F2190" s="82"/>
      <c r="G2190" s="83"/>
      <c r="H2190" s="89"/>
      <c r="I2190" s="76"/>
      <c r="J2190" s="84"/>
      <c r="K2190" s="78"/>
      <c r="L2190" s="88"/>
    </row>
    <row r="2191" ht="22.5" customHeight="1">
      <c r="A2191" s="80"/>
      <c r="B2191" s="81"/>
      <c r="C2191" s="82"/>
      <c r="D2191" s="80"/>
      <c r="E2191" s="81"/>
      <c r="F2191" s="82"/>
      <c r="G2191" s="83"/>
      <c r="H2191" s="89"/>
      <c r="I2191" s="76"/>
      <c r="J2191" s="84"/>
      <c r="K2191" s="78"/>
      <c r="L2191" s="88"/>
    </row>
    <row r="2192" ht="22.5" customHeight="1">
      <c r="A2192" s="80"/>
      <c r="B2192" s="81"/>
      <c r="C2192" s="82"/>
      <c r="D2192" s="80"/>
      <c r="E2192" s="81"/>
      <c r="F2192" s="82"/>
      <c r="G2192" s="83"/>
      <c r="H2192" s="89"/>
      <c r="I2192" s="76"/>
      <c r="J2192" s="84"/>
      <c r="K2192" s="78"/>
      <c r="L2192" s="88"/>
    </row>
    <row r="2193" ht="22.5" customHeight="1">
      <c r="A2193" s="80"/>
      <c r="B2193" s="81"/>
      <c r="C2193" s="82"/>
      <c r="D2193" s="80"/>
      <c r="E2193" s="81"/>
      <c r="F2193" s="82"/>
      <c r="G2193" s="83"/>
      <c r="H2193" s="89"/>
      <c r="I2193" s="76"/>
      <c r="J2193" s="84"/>
      <c r="K2193" s="78"/>
      <c r="L2193" s="88"/>
    </row>
    <row r="2194" ht="22.5" customHeight="1">
      <c r="A2194" s="80"/>
      <c r="B2194" s="81"/>
      <c r="C2194" s="82"/>
      <c r="D2194" s="80"/>
      <c r="E2194" s="81"/>
      <c r="F2194" s="82"/>
      <c r="G2194" s="83"/>
      <c r="H2194" s="89"/>
      <c r="I2194" s="76"/>
      <c r="J2194" s="84"/>
      <c r="K2194" s="78"/>
      <c r="L2194" s="88"/>
    </row>
    <row r="2195" ht="22.5" customHeight="1">
      <c r="A2195" s="80"/>
      <c r="B2195" s="81"/>
      <c r="C2195" s="82"/>
      <c r="D2195" s="80"/>
      <c r="E2195" s="81"/>
      <c r="F2195" s="82"/>
      <c r="G2195" s="83"/>
      <c r="H2195" s="89"/>
      <c r="I2195" s="76"/>
      <c r="J2195" s="84"/>
      <c r="K2195" s="78"/>
      <c r="L2195" s="88"/>
    </row>
    <row r="2196" ht="22.5" customHeight="1">
      <c r="A2196" s="80"/>
      <c r="B2196" s="81"/>
      <c r="C2196" s="82"/>
      <c r="D2196" s="80"/>
      <c r="E2196" s="81"/>
      <c r="F2196" s="82"/>
      <c r="G2196" s="83"/>
      <c r="H2196" s="89"/>
      <c r="I2196" s="76"/>
      <c r="J2196" s="84"/>
      <c r="K2196" s="78"/>
      <c r="L2196" s="88"/>
    </row>
    <row r="2197" ht="22.5" customHeight="1">
      <c r="A2197" s="80"/>
      <c r="B2197" s="81"/>
      <c r="C2197" s="82"/>
      <c r="D2197" s="80"/>
      <c r="E2197" s="81"/>
      <c r="F2197" s="82"/>
      <c r="G2197" s="83"/>
      <c r="H2197" s="89"/>
      <c r="I2197" s="76"/>
      <c r="J2197" s="84"/>
      <c r="K2197" s="78"/>
      <c r="L2197" s="88"/>
    </row>
    <row r="2198" ht="22.5" customHeight="1">
      <c r="A2198" s="80"/>
      <c r="B2198" s="81"/>
      <c r="C2198" s="82"/>
      <c r="D2198" s="80"/>
      <c r="E2198" s="81"/>
      <c r="F2198" s="82"/>
      <c r="G2198" s="83"/>
      <c r="H2198" s="89"/>
      <c r="I2198" s="76"/>
      <c r="J2198" s="84"/>
      <c r="K2198" s="78"/>
      <c r="L2198" s="88"/>
    </row>
    <row r="2199" ht="22.5" customHeight="1">
      <c r="A2199" s="80"/>
      <c r="B2199" s="81"/>
      <c r="C2199" s="82"/>
      <c r="D2199" s="80"/>
      <c r="E2199" s="81"/>
      <c r="F2199" s="82"/>
      <c r="G2199" s="83"/>
      <c r="H2199" s="89"/>
      <c r="I2199" s="76"/>
      <c r="J2199" s="84"/>
      <c r="K2199" s="78"/>
      <c r="L2199" s="88"/>
    </row>
    <row r="2200" ht="22.5" customHeight="1">
      <c r="A2200" s="80"/>
      <c r="B2200" s="81"/>
      <c r="C2200" s="82"/>
      <c r="D2200" s="80"/>
      <c r="E2200" s="81"/>
      <c r="F2200" s="82"/>
      <c r="G2200" s="83"/>
      <c r="H2200" s="89"/>
      <c r="I2200" s="76"/>
      <c r="J2200" s="84"/>
      <c r="K2200" s="78"/>
      <c r="L2200" s="88"/>
    </row>
    <row r="2201" ht="22.5" customHeight="1">
      <c r="A2201" s="80"/>
      <c r="B2201" s="81"/>
      <c r="C2201" s="82"/>
      <c r="D2201" s="80"/>
      <c r="E2201" s="81"/>
      <c r="F2201" s="82"/>
      <c r="G2201" s="83"/>
      <c r="H2201" s="89"/>
      <c r="I2201" s="76"/>
      <c r="J2201" s="84"/>
      <c r="K2201" s="78"/>
      <c r="L2201" s="88"/>
    </row>
    <row r="2202" ht="22.5" customHeight="1">
      <c r="A2202" s="80"/>
      <c r="B2202" s="81"/>
      <c r="C2202" s="82"/>
      <c r="D2202" s="80"/>
      <c r="E2202" s="81"/>
      <c r="F2202" s="82"/>
      <c r="G2202" s="83"/>
      <c r="H2202" s="89"/>
      <c r="I2202" s="76"/>
      <c r="J2202" s="84"/>
      <c r="K2202" s="78"/>
      <c r="L2202" s="88"/>
    </row>
    <row r="2203" ht="22.5" customHeight="1">
      <c r="A2203" s="80"/>
      <c r="B2203" s="81"/>
      <c r="C2203" s="82"/>
      <c r="D2203" s="80"/>
      <c r="E2203" s="81"/>
      <c r="F2203" s="82"/>
      <c r="G2203" s="83"/>
      <c r="H2203" s="89"/>
      <c r="I2203" s="76"/>
      <c r="J2203" s="84"/>
      <c r="K2203" s="78"/>
      <c r="L2203" s="88"/>
    </row>
    <row r="2204" ht="22.5" customHeight="1">
      <c r="A2204" s="80"/>
      <c r="B2204" s="81"/>
      <c r="C2204" s="82"/>
      <c r="D2204" s="80"/>
      <c r="E2204" s="81"/>
      <c r="F2204" s="82"/>
      <c r="G2204" s="83"/>
      <c r="H2204" s="89"/>
      <c r="I2204" s="76"/>
      <c r="J2204" s="84"/>
      <c r="K2204" s="78"/>
      <c r="L2204" s="88"/>
    </row>
    <row r="2205" ht="22.5" customHeight="1">
      <c r="A2205" s="80"/>
      <c r="B2205" s="81"/>
      <c r="C2205" s="82"/>
      <c r="D2205" s="80"/>
      <c r="E2205" s="81"/>
      <c r="F2205" s="82"/>
      <c r="G2205" s="83"/>
      <c r="H2205" s="89"/>
      <c r="I2205" s="76"/>
      <c r="J2205" s="84"/>
      <c r="K2205" s="78"/>
      <c r="L2205" s="88"/>
    </row>
    <row r="2206" ht="22.5" customHeight="1">
      <c r="A2206" s="80"/>
      <c r="B2206" s="81"/>
      <c r="C2206" s="82"/>
      <c r="D2206" s="80"/>
      <c r="E2206" s="81"/>
      <c r="F2206" s="82"/>
      <c r="G2206" s="83"/>
      <c r="H2206" s="89"/>
      <c r="I2206" s="76"/>
      <c r="J2206" s="84"/>
      <c r="K2206" s="78"/>
      <c r="L2206" s="88"/>
    </row>
    <row r="2207" ht="22.5" customHeight="1">
      <c r="A2207" s="80"/>
      <c r="B2207" s="81"/>
      <c r="C2207" s="82"/>
      <c r="D2207" s="80"/>
      <c r="E2207" s="81"/>
      <c r="F2207" s="82"/>
      <c r="G2207" s="83"/>
      <c r="H2207" s="89"/>
      <c r="I2207" s="76"/>
      <c r="J2207" s="84"/>
      <c r="K2207" s="78"/>
      <c r="L2207" s="88"/>
    </row>
    <row r="2208" ht="22.5" customHeight="1">
      <c r="A2208" s="80"/>
      <c r="B2208" s="81"/>
      <c r="C2208" s="82"/>
      <c r="D2208" s="80"/>
      <c r="E2208" s="81"/>
      <c r="F2208" s="82"/>
      <c r="G2208" s="83"/>
      <c r="H2208" s="89"/>
      <c r="I2208" s="76"/>
      <c r="J2208" s="84"/>
      <c r="K2208" s="78"/>
      <c r="L2208" s="88"/>
    </row>
    <row r="2209" ht="22.5" customHeight="1">
      <c r="A2209" s="80"/>
      <c r="B2209" s="81"/>
      <c r="C2209" s="82"/>
      <c r="D2209" s="80"/>
      <c r="E2209" s="81"/>
      <c r="F2209" s="82"/>
      <c r="G2209" s="83"/>
      <c r="H2209" s="89"/>
      <c r="I2209" s="76"/>
      <c r="J2209" s="84"/>
      <c r="K2209" s="78"/>
      <c r="L2209" s="88"/>
    </row>
    <row r="2210" ht="22.5" customHeight="1">
      <c r="A2210" s="80"/>
      <c r="B2210" s="81"/>
      <c r="C2210" s="82"/>
      <c r="D2210" s="80"/>
      <c r="E2210" s="81"/>
      <c r="F2210" s="82"/>
      <c r="G2210" s="83"/>
      <c r="H2210" s="89"/>
      <c r="I2210" s="76"/>
      <c r="J2210" s="84"/>
      <c r="K2210" s="78"/>
      <c r="L2210" s="88"/>
    </row>
    <row r="2211" ht="22.5" customHeight="1">
      <c r="A2211" s="80"/>
      <c r="B2211" s="81"/>
      <c r="C2211" s="82"/>
      <c r="D2211" s="80"/>
      <c r="E2211" s="81"/>
      <c r="F2211" s="82"/>
      <c r="G2211" s="83"/>
      <c r="H2211" s="89"/>
      <c r="I2211" s="76"/>
      <c r="J2211" s="84"/>
      <c r="K2211" s="78"/>
      <c r="L2211" s="88"/>
    </row>
    <row r="2212" ht="22.5" customHeight="1">
      <c r="A2212" s="80"/>
      <c r="B2212" s="81"/>
      <c r="C2212" s="82"/>
      <c r="D2212" s="80"/>
      <c r="E2212" s="81"/>
      <c r="F2212" s="82"/>
      <c r="G2212" s="83"/>
      <c r="H2212" s="89"/>
      <c r="I2212" s="76"/>
      <c r="J2212" s="84"/>
      <c r="K2212" s="78"/>
      <c r="L2212" s="88"/>
    </row>
    <row r="2213" ht="22.5" customHeight="1">
      <c r="A2213" s="80"/>
      <c r="B2213" s="81"/>
      <c r="C2213" s="82"/>
      <c r="D2213" s="80"/>
      <c r="E2213" s="81"/>
      <c r="F2213" s="82"/>
      <c r="G2213" s="83"/>
      <c r="H2213" s="89"/>
      <c r="I2213" s="76"/>
      <c r="J2213" s="84"/>
      <c r="K2213" s="78"/>
      <c r="L2213" s="88"/>
    </row>
    <row r="2214" ht="22.5" customHeight="1">
      <c r="A2214" s="80"/>
      <c r="B2214" s="81"/>
      <c r="C2214" s="82"/>
      <c r="D2214" s="80"/>
      <c r="E2214" s="81"/>
      <c r="F2214" s="82"/>
      <c r="G2214" s="83"/>
      <c r="H2214" s="89"/>
      <c r="I2214" s="76"/>
      <c r="J2214" s="84"/>
      <c r="K2214" s="78"/>
      <c r="L2214" s="88"/>
    </row>
    <row r="2215" ht="22.5" customHeight="1">
      <c r="A2215" s="80"/>
      <c r="B2215" s="81"/>
      <c r="C2215" s="82"/>
      <c r="D2215" s="80"/>
      <c r="E2215" s="81"/>
      <c r="F2215" s="82"/>
      <c r="G2215" s="83"/>
      <c r="H2215" s="89"/>
      <c r="I2215" s="76"/>
      <c r="J2215" s="84"/>
      <c r="K2215" s="78"/>
      <c r="L2215" s="88"/>
    </row>
    <row r="2216" ht="22.5" customHeight="1">
      <c r="A2216" s="80"/>
      <c r="B2216" s="81"/>
      <c r="C2216" s="82"/>
      <c r="D2216" s="80"/>
      <c r="E2216" s="81"/>
      <c r="F2216" s="82"/>
      <c r="G2216" s="83"/>
      <c r="H2216" s="89"/>
      <c r="I2216" s="76"/>
      <c r="J2216" s="84"/>
      <c r="K2216" s="78"/>
      <c r="L2216" s="88"/>
    </row>
    <row r="2217" ht="22.5" customHeight="1">
      <c r="A2217" s="80"/>
      <c r="B2217" s="81"/>
      <c r="C2217" s="82"/>
      <c r="D2217" s="80"/>
      <c r="E2217" s="81"/>
      <c r="F2217" s="82"/>
      <c r="G2217" s="83"/>
      <c r="H2217" s="89"/>
      <c r="I2217" s="76"/>
      <c r="J2217" s="84"/>
      <c r="K2217" s="78"/>
      <c r="L2217" s="88"/>
    </row>
    <row r="2218" ht="22.5" customHeight="1">
      <c r="A2218" s="80"/>
      <c r="B2218" s="81"/>
      <c r="C2218" s="82"/>
      <c r="D2218" s="80"/>
      <c r="E2218" s="81"/>
      <c r="F2218" s="82"/>
      <c r="G2218" s="83"/>
      <c r="H2218" s="89"/>
      <c r="I2218" s="76"/>
      <c r="J2218" s="84"/>
      <c r="K2218" s="78"/>
      <c r="L2218" s="88"/>
    </row>
    <row r="2219" ht="22.5" customHeight="1">
      <c r="A2219" s="80"/>
      <c r="B2219" s="81"/>
      <c r="C2219" s="82"/>
      <c r="D2219" s="80"/>
      <c r="E2219" s="81"/>
      <c r="F2219" s="82"/>
      <c r="G2219" s="83"/>
      <c r="H2219" s="89"/>
      <c r="I2219" s="76"/>
      <c r="J2219" s="84"/>
      <c r="K2219" s="78"/>
      <c r="L2219" s="88"/>
    </row>
    <row r="2220" ht="22.5" customHeight="1">
      <c r="A2220" s="80"/>
      <c r="B2220" s="81"/>
      <c r="C2220" s="82"/>
      <c r="D2220" s="80"/>
      <c r="E2220" s="81"/>
      <c r="F2220" s="82"/>
      <c r="G2220" s="83"/>
      <c r="H2220" s="89"/>
      <c r="I2220" s="76"/>
      <c r="J2220" s="84"/>
      <c r="K2220" s="78"/>
      <c r="L2220" s="88"/>
    </row>
    <row r="2221" ht="22.5" customHeight="1">
      <c r="A2221" s="80"/>
      <c r="B2221" s="81"/>
      <c r="C2221" s="82"/>
      <c r="D2221" s="80"/>
      <c r="E2221" s="81"/>
      <c r="F2221" s="82"/>
      <c r="G2221" s="83"/>
      <c r="H2221" s="89"/>
      <c r="I2221" s="76"/>
      <c r="J2221" s="84"/>
      <c r="K2221" s="78"/>
      <c r="L2221" s="88"/>
    </row>
    <row r="2222" ht="22.5" customHeight="1">
      <c r="A2222" s="80"/>
      <c r="B2222" s="81"/>
      <c r="C2222" s="82"/>
      <c r="D2222" s="80"/>
      <c r="E2222" s="81"/>
      <c r="F2222" s="82"/>
      <c r="G2222" s="83"/>
      <c r="H2222" s="89"/>
      <c r="I2222" s="76"/>
      <c r="J2222" s="84"/>
      <c r="K2222" s="78"/>
      <c r="L2222" s="88"/>
    </row>
    <row r="2223" ht="22.5" customHeight="1">
      <c r="A2223" s="80"/>
      <c r="B2223" s="81"/>
      <c r="C2223" s="82"/>
      <c r="D2223" s="80"/>
      <c r="E2223" s="81"/>
      <c r="F2223" s="82"/>
      <c r="G2223" s="83"/>
      <c r="H2223" s="89"/>
      <c r="I2223" s="76"/>
      <c r="J2223" s="84"/>
      <c r="K2223" s="78"/>
      <c r="L2223" s="88"/>
    </row>
    <row r="2224" ht="22.5" customHeight="1">
      <c r="A2224" s="80"/>
      <c r="B2224" s="81"/>
      <c r="C2224" s="82"/>
      <c r="D2224" s="80"/>
      <c r="E2224" s="81"/>
      <c r="F2224" s="82"/>
      <c r="G2224" s="83"/>
      <c r="H2224" s="89"/>
      <c r="I2224" s="76"/>
      <c r="J2224" s="84"/>
      <c r="K2224" s="78"/>
      <c r="L2224" s="88"/>
    </row>
    <row r="2225" ht="22.5" customHeight="1">
      <c r="A2225" s="80"/>
      <c r="B2225" s="81"/>
      <c r="C2225" s="82"/>
      <c r="D2225" s="80"/>
      <c r="E2225" s="81"/>
      <c r="F2225" s="82"/>
      <c r="G2225" s="83"/>
      <c r="H2225" s="89"/>
      <c r="I2225" s="76"/>
      <c r="J2225" s="84"/>
      <c r="K2225" s="78"/>
      <c r="L2225" s="88"/>
    </row>
    <row r="2226" ht="22.5" customHeight="1">
      <c r="A2226" s="80"/>
      <c r="B2226" s="81"/>
      <c r="C2226" s="82"/>
      <c r="D2226" s="80"/>
      <c r="E2226" s="81"/>
      <c r="F2226" s="82"/>
      <c r="G2226" s="83"/>
      <c r="H2226" s="89"/>
      <c r="I2226" s="76"/>
      <c r="J2226" s="84"/>
      <c r="K2226" s="78"/>
      <c r="L2226" s="88"/>
    </row>
    <row r="2227" ht="22.5" customHeight="1">
      <c r="A2227" s="80"/>
      <c r="B2227" s="81"/>
      <c r="C2227" s="82"/>
      <c r="D2227" s="80"/>
      <c r="E2227" s="81"/>
      <c r="F2227" s="82"/>
      <c r="G2227" s="83"/>
      <c r="H2227" s="89"/>
      <c r="I2227" s="76"/>
      <c r="J2227" s="84"/>
      <c r="K2227" s="78"/>
      <c r="L2227" s="88"/>
    </row>
    <row r="2228" ht="22.5" customHeight="1">
      <c r="A2228" s="80"/>
      <c r="B2228" s="81"/>
      <c r="C2228" s="82"/>
      <c r="D2228" s="80"/>
      <c r="E2228" s="81"/>
      <c r="F2228" s="82"/>
      <c r="G2228" s="83"/>
      <c r="H2228" s="89"/>
      <c r="I2228" s="76"/>
      <c r="J2228" s="84"/>
      <c r="K2228" s="78"/>
      <c r="L2228" s="88"/>
    </row>
    <row r="2229" ht="22.5" customHeight="1">
      <c r="A2229" s="80"/>
      <c r="B2229" s="81"/>
      <c r="C2229" s="82"/>
      <c r="D2229" s="80"/>
      <c r="E2229" s="81"/>
      <c r="F2229" s="82"/>
      <c r="G2229" s="83"/>
      <c r="H2229" s="89"/>
      <c r="I2229" s="76"/>
      <c r="J2229" s="84"/>
      <c r="K2229" s="78"/>
      <c r="L2229" s="88"/>
    </row>
    <row r="2230" ht="22.5" customHeight="1">
      <c r="A2230" s="80"/>
      <c r="B2230" s="81"/>
      <c r="C2230" s="82"/>
      <c r="D2230" s="80"/>
      <c r="E2230" s="81"/>
      <c r="F2230" s="82"/>
      <c r="G2230" s="83"/>
      <c r="H2230" s="89"/>
      <c r="I2230" s="76"/>
      <c r="J2230" s="84"/>
      <c r="K2230" s="78"/>
      <c r="L2230" s="88"/>
    </row>
    <row r="2231" ht="22.5" customHeight="1">
      <c r="A2231" s="80"/>
      <c r="B2231" s="81"/>
      <c r="C2231" s="82"/>
      <c r="D2231" s="80"/>
      <c r="E2231" s="81"/>
      <c r="F2231" s="82"/>
      <c r="G2231" s="83"/>
      <c r="H2231" s="89"/>
      <c r="I2231" s="76"/>
      <c r="J2231" s="84"/>
      <c r="K2231" s="78"/>
      <c r="L2231" s="88"/>
    </row>
    <row r="2232" ht="22.5" customHeight="1">
      <c r="A2232" s="80"/>
      <c r="B2232" s="81"/>
      <c r="C2232" s="82"/>
      <c r="D2232" s="80"/>
      <c r="E2232" s="81"/>
      <c r="F2232" s="82"/>
      <c r="G2232" s="83"/>
      <c r="H2232" s="89"/>
      <c r="I2232" s="76"/>
      <c r="J2232" s="84"/>
      <c r="K2232" s="78"/>
      <c r="L2232" s="88"/>
    </row>
    <row r="2233" ht="22.5" customHeight="1">
      <c r="A2233" s="80"/>
      <c r="B2233" s="81"/>
      <c r="C2233" s="82"/>
      <c r="D2233" s="80"/>
      <c r="E2233" s="81"/>
      <c r="F2233" s="82"/>
      <c r="G2233" s="83"/>
      <c r="H2233" s="89"/>
      <c r="I2233" s="76"/>
      <c r="J2233" s="84"/>
      <c r="K2233" s="78"/>
      <c r="L2233" s="88"/>
    </row>
    <row r="2234" ht="22.5" customHeight="1">
      <c r="A2234" s="80"/>
      <c r="B2234" s="81"/>
      <c r="C2234" s="82"/>
      <c r="D2234" s="80"/>
      <c r="E2234" s="81"/>
      <c r="F2234" s="82"/>
      <c r="G2234" s="83"/>
      <c r="H2234" s="89"/>
      <c r="I2234" s="76"/>
      <c r="J2234" s="84"/>
      <c r="K2234" s="78"/>
      <c r="L2234" s="88"/>
    </row>
    <row r="2235" ht="22.5" customHeight="1">
      <c r="A2235" s="80"/>
      <c r="B2235" s="81"/>
      <c r="C2235" s="82"/>
      <c r="D2235" s="80"/>
      <c r="E2235" s="81"/>
      <c r="F2235" s="82"/>
      <c r="G2235" s="83"/>
      <c r="H2235" s="89"/>
      <c r="I2235" s="76"/>
      <c r="J2235" s="84"/>
      <c r="K2235" s="78"/>
      <c r="L2235" s="88"/>
    </row>
    <row r="2236" ht="22.5" customHeight="1">
      <c r="A2236" s="80"/>
      <c r="B2236" s="81"/>
      <c r="C2236" s="82"/>
      <c r="D2236" s="80"/>
      <c r="E2236" s="81"/>
      <c r="F2236" s="82"/>
      <c r="G2236" s="83"/>
      <c r="H2236" s="89"/>
      <c r="I2236" s="76"/>
      <c r="J2236" s="84"/>
      <c r="K2236" s="78"/>
      <c r="L2236" s="88"/>
    </row>
    <row r="2237" ht="22.5" customHeight="1">
      <c r="A2237" s="80"/>
      <c r="B2237" s="81"/>
      <c r="C2237" s="82"/>
      <c r="D2237" s="80"/>
      <c r="E2237" s="81"/>
      <c r="F2237" s="82"/>
      <c r="G2237" s="83"/>
      <c r="H2237" s="89"/>
      <c r="I2237" s="76"/>
      <c r="J2237" s="84"/>
      <c r="K2237" s="78"/>
      <c r="L2237" s="88"/>
    </row>
    <row r="2238" ht="22.5" customHeight="1">
      <c r="A2238" s="80"/>
      <c r="B2238" s="81"/>
      <c r="C2238" s="82"/>
      <c r="D2238" s="80"/>
      <c r="E2238" s="81"/>
      <c r="F2238" s="82"/>
      <c r="G2238" s="83"/>
      <c r="H2238" s="89"/>
      <c r="I2238" s="76"/>
      <c r="J2238" s="84"/>
      <c r="K2238" s="78"/>
      <c r="L2238" s="88"/>
    </row>
    <row r="2239" ht="22.5" customHeight="1">
      <c r="A2239" s="80"/>
      <c r="B2239" s="81"/>
      <c r="C2239" s="82"/>
      <c r="D2239" s="80"/>
      <c r="E2239" s="81"/>
      <c r="F2239" s="82"/>
      <c r="G2239" s="83"/>
      <c r="H2239" s="89"/>
      <c r="I2239" s="76"/>
      <c r="J2239" s="84"/>
      <c r="K2239" s="78"/>
      <c r="L2239" s="88"/>
    </row>
    <row r="2240" ht="22.5" customHeight="1">
      <c r="A2240" s="80"/>
      <c r="B2240" s="81"/>
      <c r="C2240" s="82"/>
      <c r="D2240" s="80"/>
      <c r="E2240" s="81"/>
      <c r="F2240" s="82"/>
      <c r="G2240" s="83"/>
      <c r="H2240" s="89"/>
      <c r="I2240" s="76"/>
      <c r="J2240" s="84"/>
      <c r="K2240" s="78"/>
      <c r="L2240" s="88"/>
    </row>
    <row r="2241" ht="22.5" customHeight="1">
      <c r="A2241" s="80"/>
      <c r="B2241" s="81"/>
      <c r="C2241" s="82"/>
      <c r="D2241" s="80"/>
      <c r="E2241" s="81"/>
      <c r="F2241" s="82"/>
      <c r="G2241" s="83"/>
      <c r="H2241" s="89"/>
      <c r="I2241" s="76"/>
      <c r="J2241" s="84"/>
      <c r="K2241" s="78"/>
      <c r="L2241" s="88"/>
    </row>
    <row r="2242" ht="22.5" customHeight="1">
      <c r="A2242" s="80"/>
      <c r="B2242" s="81"/>
      <c r="C2242" s="82"/>
      <c r="D2242" s="80"/>
      <c r="E2242" s="81"/>
      <c r="F2242" s="82"/>
      <c r="G2242" s="83"/>
      <c r="H2242" s="89"/>
      <c r="I2242" s="76"/>
      <c r="J2242" s="84"/>
      <c r="K2242" s="78"/>
      <c r="L2242" s="88"/>
    </row>
    <row r="2243" ht="22.5" customHeight="1">
      <c r="A2243" s="80"/>
      <c r="B2243" s="81"/>
      <c r="C2243" s="82"/>
      <c r="D2243" s="80"/>
      <c r="E2243" s="81"/>
      <c r="F2243" s="82"/>
      <c r="G2243" s="83"/>
      <c r="H2243" s="89"/>
      <c r="I2243" s="76"/>
      <c r="J2243" s="84"/>
      <c r="K2243" s="78"/>
      <c r="L2243" s="88"/>
    </row>
    <row r="2244" ht="22.5" customHeight="1">
      <c r="A2244" s="80"/>
      <c r="B2244" s="81"/>
      <c r="C2244" s="82"/>
      <c r="D2244" s="80"/>
      <c r="E2244" s="81"/>
      <c r="F2244" s="82"/>
      <c r="G2244" s="83"/>
      <c r="H2244" s="89"/>
      <c r="I2244" s="76"/>
      <c r="J2244" s="84"/>
      <c r="K2244" s="78"/>
      <c r="L2244" s="88"/>
    </row>
    <row r="2245" ht="22.5" customHeight="1">
      <c r="A2245" s="80"/>
      <c r="B2245" s="81"/>
      <c r="C2245" s="82"/>
      <c r="D2245" s="80"/>
      <c r="E2245" s="81"/>
      <c r="F2245" s="82"/>
      <c r="G2245" s="83"/>
      <c r="H2245" s="89"/>
      <c r="I2245" s="76"/>
      <c r="J2245" s="84"/>
      <c r="K2245" s="78"/>
      <c r="L2245" s="88"/>
    </row>
    <row r="2246" ht="22.5" customHeight="1">
      <c r="A2246" s="80"/>
      <c r="B2246" s="81"/>
      <c r="C2246" s="82"/>
      <c r="D2246" s="80"/>
      <c r="E2246" s="81"/>
      <c r="F2246" s="82"/>
      <c r="G2246" s="83"/>
      <c r="H2246" s="89"/>
      <c r="I2246" s="76"/>
      <c r="J2246" s="84"/>
      <c r="K2246" s="78"/>
      <c r="L2246" s="88"/>
    </row>
    <row r="2247" ht="22.5" customHeight="1">
      <c r="A2247" s="80"/>
      <c r="B2247" s="81"/>
      <c r="C2247" s="82"/>
      <c r="D2247" s="80"/>
      <c r="E2247" s="81"/>
      <c r="F2247" s="82"/>
      <c r="G2247" s="83"/>
      <c r="H2247" s="89"/>
      <c r="I2247" s="76"/>
      <c r="J2247" s="84"/>
      <c r="K2247" s="78"/>
      <c r="L2247" s="88"/>
    </row>
    <row r="2248" ht="22.5" customHeight="1">
      <c r="A2248" s="80"/>
      <c r="B2248" s="81"/>
      <c r="C2248" s="82"/>
      <c r="D2248" s="80"/>
      <c r="E2248" s="81"/>
      <c r="F2248" s="82"/>
      <c r="G2248" s="83"/>
      <c r="H2248" s="89"/>
      <c r="I2248" s="76"/>
      <c r="J2248" s="84"/>
      <c r="K2248" s="78"/>
      <c r="L2248" s="88"/>
    </row>
    <row r="2249" ht="22.5" customHeight="1">
      <c r="A2249" s="80"/>
      <c r="B2249" s="81"/>
      <c r="C2249" s="82"/>
      <c r="D2249" s="80"/>
      <c r="E2249" s="81"/>
      <c r="F2249" s="82"/>
      <c r="G2249" s="83"/>
      <c r="H2249" s="89"/>
      <c r="I2249" s="76"/>
      <c r="J2249" s="84"/>
      <c r="K2249" s="78"/>
      <c r="L2249" s="88"/>
    </row>
    <row r="2250" ht="22.5" customHeight="1">
      <c r="A2250" s="80"/>
      <c r="B2250" s="81"/>
      <c r="C2250" s="82"/>
      <c r="D2250" s="80"/>
      <c r="E2250" s="81"/>
      <c r="F2250" s="82"/>
      <c r="G2250" s="83"/>
      <c r="H2250" s="89"/>
      <c r="I2250" s="76"/>
      <c r="J2250" s="84"/>
      <c r="K2250" s="78"/>
      <c r="L2250" s="88"/>
    </row>
    <row r="2251" ht="22.5" customHeight="1">
      <c r="A2251" s="80"/>
      <c r="B2251" s="81"/>
      <c r="C2251" s="82"/>
      <c r="D2251" s="80"/>
      <c r="E2251" s="81"/>
      <c r="F2251" s="82"/>
      <c r="G2251" s="83"/>
      <c r="H2251" s="89"/>
      <c r="I2251" s="76"/>
      <c r="J2251" s="84"/>
      <c r="K2251" s="78"/>
      <c r="L2251" s="88"/>
    </row>
    <row r="2252" ht="22.5" customHeight="1">
      <c r="A2252" s="80"/>
      <c r="B2252" s="81"/>
      <c r="C2252" s="82"/>
      <c r="D2252" s="80"/>
      <c r="E2252" s="81"/>
      <c r="F2252" s="82"/>
      <c r="G2252" s="83"/>
      <c r="H2252" s="89"/>
      <c r="I2252" s="76"/>
      <c r="J2252" s="84"/>
      <c r="K2252" s="78"/>
      <c r="L2252" s="88"/>
    </row>
    <row r="2253" ht="22.5" customHeight="1">
      <c r="A2253" s="80"/>
      <c r="B2253" s="81"/>
      <c r="C2253" s="82"/>
      <c r="D2253" s="80"/>
      <c r="E2253" s="81"/>
      <c r="F2253" s="82"/>
      <c r="G2253" s="83"/>
      <c r="H2253" s="89"/>
      <c r="I2253" s="76"/>
      <c r="J2253" s="84"/>
      <c r="K2253" s="78"/>
      <c r="L2253" s="88"/>
    </row>
    <row r="2254" ht="22.5" customHeight="1">
      <c r="A2254" s="80"/>
      <c r="B2254" s="81"/>
      <c r="C2254" s="82"/>
      <c r="D2254" s="80"/>
      <c r="E2254" s="81"/>
      <c r="F2254" s="82"/>
      <c r="G2254" s="83"/>
      <c r="H2254" s="89"/>
      <c r="I2254" s="76"/>
      <c r="J2254" s="84"/>
      <c r="K2254" s="78"/>
      <c r="L2254" s="88"/>
    </row>
    <row r="2255" ht="22.5" customHeight="1">
      <c r="A2255" s="80"/>
      <c r="B2255" s="81"/>
      <c r="C2255" s="82"/>
      <c r="D2255" s="80"/>
      <c r="E2255" s="81"/>
      <c r="F2255" s="82"/>
      <c r="G2255" s="83"/>
      <c r="H2255" s="89"/>
      <c r="I2255" s="76"/>
      <c r="J2255" s="84"/>
      <c r="K2255" s="78"/>
      <c r="L2255" s="88"/>
    </row>
    <row r="2256" ht="22.5" customHeight="1">
      <c r="A2256" s="80"/>
      <c r="B2256" s="81"/>
      <c r="C2256" s="82"/>
      <c r="D2256" s="80"/>
      <c r="E2256" s="81"/>
      <c r="F2256" s="82"/>
      <c r="G2256" s="83"/>
      <c r="H2256" s="89"/>
      <c r="I2256" s="76"/>
      <c r="J2256" s="84"/>
      <c r="K2256" s="78"/>
      <c r="L2256" s="88"/>
    </row>
    <row r="2257" ht="22.5" customHeight="1">
      <c r="A2257" s="80"/>
      <c r="B2257" s="81"/>
      <c r="C2257" s="82"/>
      <c r="D2257" s="80"/>
      <c r="E2257" s="81"/>
      <c r="F2257" s="82"/>
      <c r="G2257" s="83"/>
      <c r="H2257" s="89"/>
      <c r="I2257" s="76"/>
      <c r="J2257" s="84"/>
      <c r="K2257" s="78"/>
      <c r="L2257" s="88"/>
    </row>
    <row r="2258" ht="22.5" customHeight="1">
      <c r="A2258" s="80"/>
      <c r="B2258" s="81"/>
      <c r="C2258" s="82"/>
      <c r="D2258" s="80"/>
      <c r="E2258" s="81"/>
      <c r="F2258" s="82"/>
      <c r="G2258" s="83"/>
      <c r="H2258" s="89"/>
      <c r="I2258" s="76"/>
      <c r="J2258" s="84"/>
      <c r="K2258" s="78"/>
      <c r="L2258" s="88"/>
    </row>
    <row r="2259" ht="22.5" customHeight="1">
      <c r="A2259" s="80"/>
      <c r="B2259" s="81"/>
      <c r="C2259" s="82"/>
      <c r="D2259" s="80"/>
      <c r="E2259" s="81"/>
      <c r="F2259" s="82"/>
      <c r="G2259" s="83"/>
      <c r="H2259" s="89"/>
      <c r="I2259" s="76"/>
      <c r="J2259" s="84"/>
      <c r="K2259" s="78"/>
      <c r="L2259" s="88"/>
    </row>
    <row r="2260" ht="22.5" customHeight="1">
      <c r="A2260" s="80"/>
      <c r="B2260" s="81"/>
      <c r="C2260" s="82"/>
      <c r="D2260" s="80"/>
      <c r="E2260" s="81"/>
      <c r="F2260" s="82"/>
      <c r="G2260" s="83"/>
      <c r="H2260" s="89"/>
      <c r="I2260" s="76"/>
      <c r="J2260" s="84"/>
      <c r="K2260" s="78"/>
      <c r="L2260" s="88"/>
    </row>
    <row r="2261" ht="22.5" customHeight="1">
      <c r="A2261" s="80"/>
      <c r="B2261" s="81"/>
      <c r="C2261" s="82"/>
      <c r="D2261" s="80"/>
      <c r="E2261" s="81"/>
      <c r="F2261" s="82"/>
      <c r="G2261" s="83"/>
      <c r="H2261" s="89"/>
      <c r="I2261" s="76"/>
      <c r="J2261" s="84"/>
      <c r="K2261" s="78"/>
      <c r="L2261" s="88"/>
    </row>
    <row r="2262" ht="22.5" customHeight="1">
      <c r="A2262" s="80"/>
      <c r="B2262" s="81"/>
      <c r="C2262" s="82"/>
      <c r="D2262" s="80"/>
      <c r="E2262" s="81"/>
      <c r="F2262" s="82"/>
      <c r="G2262" s="83"/>
      <c r="H2262" s="89"/>
      <c r="I2262" s="76"/>
      <c r="J2262" s="84"/>
      <c r="K2262" s="78"/>
      <c r="L2262" s="88"/>
    </row>
    <row r="2263" ht="22.5" customHeight="1">
      <c r="A2263" s="80"/>
      <c r="B2263" s="81"/>
      <c r="C2263" s="82"/>
      <c r="D2263" s="80"/>
      <c r="E2263" s="81"/>
      <c r="F2263" s="82"/>
      <c r="G2263" s="83"/>
      <c r="H2263" s="89"/>
      <c r="I2263" s="76"/>
      <c r="J2263" s="84"/>
      <c r="K2263" s="78"/>
      <c r="L2263" s="88"/>
    </row>
    <row r="2264" ht="22.5" customHeight="1">
      <c r="A2264" s="80"/>
      <c r="B2264" s="81"/>
      <c r="C2264" s="82"/>
      <c r="D2264" s="80"/>
      <c r="E2264" s="81"/>
      <c r="F2264" s="82"/>
      <c r="G2264" s="83"/>
      <c r="H2264" s="89"/>
      <c r="I2264" s="76"/>
      <c r="J2264" s="84"/>
      <c r="K2264" s="78"/>
      <c r="L2264" s="88"/>
    </row>
    <row r="2265" ht="22.5" customHeight="1">
      <c r="A2265" s="80"/>
      <c r="B2265" s="81"/>
      <c r="C2265" s="82"/>
      <c r="D2265" s="80"/>
      <c r="E2265" s="81"/>
      <c r="F2265" s="82"/>
      <c r="G2265" s="83"/>
      <c r="H2265" s="89"/>
      <c r="I2265" s="76"/>
      <c r="J2265" s="84"/>
      <c r="K2265" s="78"/>
      <c r="L2265" s="88"/>
    </row>
    <row r="2266" ht="22.5" customHeight="1">
      <c r="A2266" s="80"/>
      <c r="B2266" s="81"/>
      <c r="C2266" s="82"/>
      <c r="D2266" s="80"/>
      <c r="E2266" s="81"/>
      <c r="F2266" s="82"/>
      <c r="G2266" s="83"/>
      <c r="H2266" s="89"/>
      <c r="I2266" s="76"/>
      <c r="J2266" s="84"/>
      <c r="K2266" s="78"/>
      <c r="L2266" s="88"/>
    </row>
    <row r="2267" ht="22.5" customHeight="1">
      <c r="A2267" s="80"/>
      <c r="B2267" s="81"/>
      <c r="C2267" s="82"/>
      <c r="D2267" s="80"/>
      <c r="E2267" s="81"/>
      <c r="F2267" s="82"/>
      <c r="G2267" s="83"/>
      <c r="H2267" s="89"/>
      <c r="I2267" s="76"/>
      <c r="J2267" s="84"/>
      <c r="K2267" s="78"/>
      <c r="L2267" s="88"/>
    </row>
    <row r="2268" ht="22.5" customHeight="1">
      <c r="A2268" s="80"/>
      <c r="B2268" s="81"/>
      <c r="C2268" s="82"/>
      <c r="D2268" s="80"/>
      <c r="E2268" s="81"/>
      <c r="F2268" s="82"/>
      <c r="G2268" s="83"/>
      <c r="H2268" s="89"/>
      <c r="I2268" s="76"/>
      <c r="J2268" s="84"/>
      <c r="K2268" s="78"/>
      <c r="L2268" s="88"/>
    </row>
    <row r="2269" ht="22.5" customHeight="1">
      <c r="A2269" s="80"/>
      <c r="B2269" s="81"/>
      <c r="C2269" s="82"/>
      <c r="D2269" s="80"/>
      <c r="E2269" s="81"/>
      <c r="F2269" s="82"/>
      <c r="G2269" s="83"/>
      <c r="H2269" s="89"/>
      <c r="I2269" s="76"/>
      <c r="J2269" s="84"/>
      <c r="K2269" s="78"/>
      <c r="L2269" s="88"/>
    </row>
    <row r="2270" ht="22.5" customHeight="1">
      <c r="A2270" s="80"/>
      <c r="B2270" s="81"/>
      <c r="C2270" s="82"/>
      <c r="D2270" s="80"/>
      <c r="E2270" s="81"/>
      <c r="F2270" s="82"/>
      <c r="G2270" s="83"/>
      <c r="H2270" s="89"/>
      <c r="I2270" s="76"/>
      <c r="J2270" s="84"/>
      <c r="K2270" s="78"/>
      <c r="L2270" s="88"/>
    </row>
    <row r="2271" ht="22.5" customHeight="1">
      <c r="A2271" s="80"/>
      <c r="B2271" s="81"/>
      <c r="C2271" s="82"/>
      <c r="D2271" s="80"/>
      <c r="E2271" s="81"/>
      <c r="F2271" s="82"/>
      <c r="G2271" s="83"/>
      <c r="H2271" s="89"/>
      <c r="I2271" s="76"/>
      <c r="J2271" s="84"/>
      <c r="K2271" s="78"/>
      <c r="L2271" s="88"/>
    </row>
    <row r="2272" ht="22.5" customHeight="1">
      <c r="A2272" s="80"/>
      <c r="B2272" s="81"/>
      <c r="C2272" s="82"/>
      <c r="D2272" s="80"/>
      <c r="E2272" s="81"/>
      <c r="F2272" s="82"/>
      <c r="G2272" s="83"/>
      <c r="H2272" s="89"/>
      <c r="I2272" s="76"/>
      <c r="J2272" s="84"/>
      <c r="K2272" s="78"/>
      <c r="L2272" s="88"/>
    </row>
    <row r="2273" ht="22.5" customHeight="1">
      <c r="A2273" s="80"/>
      <c r="B2273" s="81"/>
      <c r="C2273" s="82"/>
      <c r="D2273" s="80"/>
      <c r="E2273" s="81"/>
      <c r="F2273" s="82"/>
      <c r="G2273" s="83"/>
      <c r="H2273" s="89"/>
      <c r="I2273" s="76"/>
      <c r="J2273" s="84"/>
      <c r="K2273" s="78"/>
      <c r="L2273" s="88"/>
    </row>
    <row r="2274" ht="22.5" customHeight="1">
      <c r="A2274" s="80"/>
      <c r="B2274" s="81"/>
      <c r="C2274" s="82"/>
      <c r="D2274" s="80"/>
      <c r="E2274" s="81"/>
      <c r="F2274" s="82"/>
      <c r="G2274" s="83"/>
      <c r="H2274" s="89"/>
      <c r="I2274" s="76"/>
      <c r="J2274" s="84"/>
      <c r="K2274" s="78"/>
      <c r="L2274" s="88"/>
    </row>
    <row r="2275" ht="22.5" customHeight="1">
      <c r="A2275" s="80"/>
      <c r="B2275" s="81"/>
      <c r="C2275" s="82"/>
      <c r="D2275" s="80"/>
      <c r="E2275" s="81"/>
      <c r="F2275" s="82"/>
      <c r="G2275" s="83"/>
      <c r="H2275" s="89"/>
      <c r="I2275" s="76"/>
      <c r="J2275" s="84"/>
      <c r="K2275" s="78"/>
      <c r="L2275" s="88"/>
    </row>
    <row r="2276" ht="22.5" customHeight="1">
      <c r="A2276" s="80"/>
      <c r="B2276" s="81"/>
      <c r="C2276" s="82"/>
      <c r="D2276" s="80"/>
      <c r="E2276" s="81"/>
      <c r="F2276" s="82"/>
      <c r="G2276" s="83"/>
      <c r="H2276" s="89"/>
      <c r="I2276" s="76"/>
      <c r="J2276" s="84"/>
      <c r="K2276" s="78"/>
      <c r="L2276" s="88"/>
    </row>
    <row r="2277" ht="22.5" customHeight="1">
      <c r="A2277" s="80"/>
      <c r="B2277" s="81"/>
      <c r="C2277" s="82"/>
      <c r="D2277" s="80"/>
      <c r="E2277" s="81"/>
      <c r="F2277" s="82"/>
      <c r="G2277" s="83"/>
      <c r="H2277" s="89"/>
      <c r="I2277" s="76"/>
      <c r="J2277" s="84"/>
      <c r="K2277" s="78"/>
      <c r="L2277" s="88"/>
    </row>
    <row r="2278" ht="22.5" customHeight="1">
      <c r="A2278" s="80"/>
      <c r="B2278" s="81"/>
      <c r="C2278" s="82"/>
      <c r="D2278" s="80"/>
      <c r="E2278" s="81"/>
      <c r="F2278" s="82"/>
      <c r="G2278" s="83"/>
      <c r="H2278" s="89"/>
      <c r="I2278" s="76"/>
      <c r="J2278" s="84"/>
      <c r="K2278" s="78"/>
      <c r="L2278" s="88"/>
    </row>
    <row r="2279" ht="22.5" customHeight="1">
      <c r="A2279" s="80"/>
      <c r="B2279" s="81"/>
      <c r="C2279" s="82"/>
      <c r="D2279" s="80"/>
      <c r="E2279" s="81"/>
      <c r="F2279" s="82"/>
      <c r="G2279" s="83"/>
      <c r="H2279" s="89"/>
      <c r="I2279" s="76"/>
      <c r="J2279" s="84"/>
      <c r="K2279" s="78"/>
      <c r="L2279" s="88"/>
    </row>
    <row r="2280" ht="22.5" customHeight="1">
      <c r="A2280" s="80"/>
      <c r="B2280" s="81"/>
      <c r="C2280" s="82"/>
      <c r="D2280" s="80"/>
      <c r="E2280" s="81"/>
      <c r="F2280" s="82"/>
      <c r="G2280" s="83"/>
      <c r="H2280" s="89"/>
      <c r="I2280" s="76"/>
      <c r="J2280" s="84"/>
      <c r="K2280" s="78"/>
      <c r="L2280" s="88"/>
    </row>
    <row r="2281" ht="22.5" customHeight="1">
      <c r="A2281" s="80"/>
      <c r="B2281" s="81"/>
      <c r="C2281" s="82"/>
      <c r="D2281" s="80"/>
      <c r="E2281" s="81"/>
      <c r="F2281" s="82"/>
      <c r="G2281" s="83"/>
      <c r="H2281" s="89"/>
      <c r="I2281" s="76"/>
      <c r="J2281" s="84"/>
      <c r="K2281" s="78"/>
      <c r="L2281" s="88"/>
    </row>
    <row r="2282" ht="22.5" customHeight="1">
      <c r="A2282" s="80"/>
      <c r="B2282" s="81"/>
      <c r="C2282" s="82"/>
      <c r="D2282" s="80"/>
      <c r="E2282" s="81"/>
      <c r="F2282" s="82"/>
      <c r="G2282" s="83"/>
      <c r="H2282" s="89"/>
      <c r="I2282" s="76"/>
      <c r="J2282" s="84"/>
      <c r="K2282" s="78"/>
      <c r="L2282" s="88"/>
    </row>
    <row r="2283" ht="22.5" customHeight="1">
      <c r="A2283" s="80"/>
      <c r="B2283" s="81"/>
      <c r="C2283" s="82"/>
      <c r="D2283" s="80"/>
      <c r="E2283" s="81"/>
      <c r="F2283" s="82"/>
      <c r="G2283" s="83"/>
      <c r="H2283" s="89"/>
      <c r="I2283" s="76"/>
      <c r="J2283" s="84"/>
      <c r="K2283" s="78"/>
      <c r="L2283" s="88"/>
    </row>
    <row r="2284" ht="22.5" customHeight="1">
      <c r="A2284" s="80"/>
      <c r="B2284" s="81"/>
      <c r="C2284" s="82"/>
      <c r="D2284" s="80"/>
      <c r="E2284" s="81"/>
      <c r="F2284" s="82"/>
      <c r="G2284" s="83"/>
      <c r="H2284" s="89"/>
      <c r="I2284" s="76"/>
      <c r="J2284" s="84"/>
      <c r="K2284" s="78"/>
      <c r="L2284" s="88"/>
    </row>
    <row r="2285" ht="22.5" customHeight="1">
      <c r="A2285" s="80"/>
      <c r="B2285" s="81"/>
      <c r="C2285" s="82"/>
      <c r="D2285" s="80"/>
      <c r="E2285" s="81"/>
      <c r="F2285" s="82"/>
      <c r="G2285" s="83"/>
      <c r="H2285" s="89"/>
      <c r="I2285" s="76"/>
      <c r="J2285" s="84"/>
      <c r="K2285" s="78"/>
      <c r="L2285" s="88"/>
    </row>
    <row r="2286" ht="22.5" customHeight="1">
      <c r="A2286" s="80"/>
      <c r="B2286" s="81"/>
      <c r="C2286" s="82"/>
      <c r="D2286" s="80"/>
      <c r="E2286" s="81"/>
      <c r="F2286" s="82"/>
      <c r="G2286" s="83"/>
      <c r="H2286" s="89"/>
      <c r="I2286" s="76"/>
      <c r="J2286" s="84"/>
      <c r="K2286" s="78"/>
      <c r="L2286" s="88"/>
    </row>
    <row r="2287" ht="22.5" customHeight="1">
      <c r="A2287" s="80"/>
      <c r="B2287" s="81"/>
      <c r="C2287" s="82"/>
      <c r="D2287" s="80"/>
      <c r="E2287" s="81"/>
      <c r="F2287" s="82"/>
      <c r="G2287" s="83"/>
      <c r="H2287" s="89"/>
      <c r="I2287" s="76"/>
      <c r="J2287" s="84"/>
      <c r="K2287" s="78"/>
      <c r="L2287" s="88"/>
    </row>
    <row r="2288" ht="22.5" customHeight="1">
      <c r="A2288" s="80"/>
      <c r="B2288" s="81"/>
      <c r="C2288" s="82"/>
      <c r="D2288" s="80"/>
      <c r="E2288" s="81"/>
      <c r="F2288" s="82"/>
      <c r="G2288" s="83"/>
      <c r="H2288" s="89"/>
      <c r="I2288" s="76"/>
      <c r="J2288" s="84"/>
      <c r="K2288" s="78"/>
      <c r="L2288" s="88"/>
    </row>
    <row r="2289" ht="22.5" customHeight="1">
      <c r="A2289" s="80"/>
      <c r="B2289" s="81"/>
      <c r="C2289" s="82"/>
      <c r="D2289" s="80"/>
      <c r="E2289" s="81"/>
      <c r="F2289" s="82"/>
      <c r="G2289" s="83"/>
      <c r="H2289" s="89"/>
      <c r="I2289" s="76"/>
      <c r="J2289" s="84"/>
      <c r="K2289" s="78"/>
      <c r="L2289" s="88"/>
    </row>
    <row r="2290" ht="22.5" customHeight="1">
      <c r="A2290" s="80"/>
      <c r="B2290" s="81"/>
      <c r="C2290" s="82"/>
      <c r="D2290" s="80"/>
      <c r="E2290" s="81"/>
      <c r="F2290" s="82"/>
      <c r="G2290" s="83"/>
      <c r="H2290" s="89"/>
      <c r="I2290" s="76"/>
      <c r="J2290" s="84"/>
      <c r="K2290" s="78"/>
      <c r="L2290" s="88"/>
    </row>
    <row r="2291" ht="22.5" customHeight="1">
      <c r="A2291" s="80"/>
      <c r="B2291" s="81"/>
      <c r="C2291" s="82"/>
      <c r="D2291" s="80"/>
      <c r="E2291" s="81"/>
      <c r="F2291" s="82"/>
      <c r="G2291" s="83"/>
      <c r="H2291" s="89"/>
      <c r="I2291" s="76"/>
      <c r="J2291" s="84"/>
      <c r="K2291" s="78"/>
      <c r="L2291" s="88"/>
    </row>
    <row r="2292" ht="22.5" customHeight="1">
      <c r="A2292" s="80"/>
      <c r="B2292" s="81"/>
      <c r="C2292" s="82"/>
      <c r="D2292" s="80"/>
      <c r="E2292" s="81"/>
      <c r="F2292" s="82"/>
      <c r="G2292" s="83"/>
      <c r="H2292" s="89"/>
      <c r="I2292" s="76"/>
      <c r="J2292" s="84"/>
      <c r="K2292" s="78"/>
      <c r="L2292" s="88"/>
    </row>
    <row r="2293" ht="22.5" customHeight="1">
      <c r="A2293" s="80"/>
      <c r="B2293" s="81"/>
      <c r="C2293" s="82"/>
      <c r="D2293" s="80"/>
      <c r="E2293" s="81"/>
      <c r="F2293" s="82"/>
      <c r="G2293" s="83"/>
      <c r="H2293" s="89"/>
      <c r="I2293" s="76"/>
      <c r="J2293" s="84"/>
      <c r="K2293" s="78"/>
      <c r="L2293" s="88"/>
    </row>
    <row r="2294" ht="22.5" customHeight="1">
      <c r="A2294" s="80"/>
      <c r="B2294" s="81"/>
      <c r="C2294" s="82"/>
      <c r="D2294" s="80"/>
      <c r="E2294" s="81"/>
      <c r="F2294" s="82"/>
      <c r="G2294" s="83"/>
      <c r="H2294" s="89"/>
      <c r="I2294" s="76"/>
      <c r="J2294" s="84"/>
      <c r="K2294" s="78"/>
      <c r="L2294" s="88"/>
    </row>
    <row r="2295" ht="22.5" customHeight="1">
      <c r="A2295" s="80"/>
      <c r="B2295" s="81"/>
      <c r="C2295" s="82"/>
      <c r="D2295" s="80"/>
      <c r="E2295" s="81"/>
      <c r="F2295" s="82"/>
      <c r="G2295" s="83"/>
      <c r="H2295" s="89"/>
      <c r="I2295" s="76"/>
      <c r="J2295" s="84"/>
      <c r="K2295" s="78"/>
      <c r="L2295" s="88"/>
    </row>
    <row r="2296" ht="22.5" customHeight="1">
      <c r="A2296" s="80"/>
      <c r="B2296" s="81"/>
      <c r="C2296" s="82"/>
      <c r="D2296" s="80"/>
      <c r="E2296" s="81"/>
      <c r="F2296" s="82"/>
      <c r="G2296" s="83"/>
      <c r="H2296" s="89"/>
      <c r="I2296" s="76"/>
      <c r="J2296" s="84"/>
      <c r="K2296" s="78"/>
      <c r="L2296" s="88"/>
    </row>
    <row r="2297" ht="22.5" customHeight="1">
      <c r="A2297" s="80"/>
      <c r="B2297" s="81"/>
      <c r="C2297" s="82"/>
      <c r="D2297" s="80"/>
      <c r="E2297" s="81"/>
      <c r="F2297" s="82"/>
      <c r="G2297" s="83"/>
      <c r="H2297" s="89"/>
      <c r="I2297" s="76"/>
      <c r="J2297" s="84"/>
      <c r="K2297" s="78"/>
      <c r="L2297" s="88"/>
    </row>
    <row r="2298" ht="22.5" customHeight="1">
      <c r="A2298" s="80"/>
      <c r="B2298" s="81"/>
      <c r="C2298" s="82"/>
      <c r="D2298" s="80"/>
      <c r="E2298" s="81"/>
      <c r="F2298" s="82"/>
      <c r="G2298" s="83"/>
      <c r="H2298" s="89"/>
      <c r="I2298" s="76"/>
      <c r="J2298" s="84"/>
      <c r="K2298" s="78"/>
      <c r="L2298" s="88"/>
    </row>
    <row r="2299" ht="22.5" customHeight="1">
      <c r="A2299" s="80"/>
      <c r="B2299" s="81"/>
      <c r="C2299" s="82"/>
      <c r="D2299" s="80"/>
      <c r="E2299" s="81"/>
      <c r="F2299" s="82"/>
      <c r="G2299" s="83"/>
      <c r="H2299" s="89"/>
      <c r="I2299" s="76"/>
      <c r="J2299" s="84"/>
      <c r="K2299" s="78"/>
      <c r="L2299" s="88"/>
    </row>
    <row r="2300" ht="22.5" customHeight="1">
      <c r="A2300" s="80"/>
      <c r="B2300" s="81"/>
      <c r="C2300" s="82"/>
      <c r="D2300" s="80"/>
      <c r="E2300" s="81"/>
      <c r="F2300" s="82"/>
      <c r="G2300" s="83"/>
      <c r="H2300" s="89"/>
      <c r="I2300" s="76"/>
      <c r="J2300" s="84"/>
      <c r="K2300" s="78"/>
      <c r="L2300" s="88"/>
    </row>
    <row r="2301" ht="22.5" customHeight="1">
      <c r="A2301" s="80"/>
      <c r="B2301" s="81"/>
      <c r="C2301" s="82"/>
      <c r="D2301" s="80"/>
      <c r="E2301" s="81"/>
      <c r="F2301" s="82"/>
      <c r="G2301" s="83"/>
      <c r="H2301" s="89"/>
      <c r="I2301" s="76"/>
      <c r="J2301" s="84"/>
      <c r="K2301" s="78"/>
      <c r="L2301" s="88"/>
    </row>
    <row r="2302" ht="22.5" customHeight="1">
      <c r="A2302" s="80"/>
      <c r="B2302" s="81"/>
      <c r="C2302" s="82"/>
      <c r="D2302" s="80"/>
      <c r="E2302" s="81"/>
      <c r="F2302" s="82"/>
      <c r="G2302" s="83"/>
      <c r="H2302" s="89"/>
      <c r="I2302" s="76"/>
      <c r="J2302" s="84"/>
      <c r="K2302" s="78"/>
      <c r="L2302" s="88"/>
    </row>
    <row r="2303" ht="22.5" customHeight="1">
      <c r="A2303" s="80"/>
      <c r="B2303" s="81"/>
      <c r="C2303" s="82"/>
      <c r="D2303" s="80"/>
      <c r="E2303" s="81"/>
      <c r="F2303" s="82"/>
      <c r="G2303" s="83"/>
      <c r="H2303" s="89"/>
      <c r="I2303" s="76"/>
      <c r="J2303" s="84"/>
      <c r="K2303" s="78"/>
      <c r="L2303" s="88"/>
    </row>
    <row r="2304" ht="22.5" customHeight="1">
      <c r="A2304" s="80"/>
      <c r="B2304" s="81"/>
      <c r="C2304" s="82"/>
      <c r="D2304" s="80"/>
      <c r="E2304" s="81"/>
      <c r="F2304" s="82"/>
      <c r="G2304" s="83"/>
      <c r="H2304" s="89"/>
      <c r="I2304" s="76"/>
      <c r="J2304" s="84"/>
      <c r="K2304" s="78"/>
      <c r="L2304" s="88"/>
    </row>
    <row r="2305" ht="22.5" customHeight="1">
      <c r="A2305" s="80"/>
      <c r="B2305" s="81"/>
      <c r="C2305" s="82"/>
      <c r="D2305" s="80"/>
      <c r="E2305" s="81"/>
      <c r="F2305" s="82"/>
      <c r="G2305" s="83"/>
      <c r="H2305" s="89"/>
      <c r="I2305" s="76"/>
      <c r="J2305" s="84"/>
      <c r="K2305" s="78"/>
      <c r="L2305" s="88"/>
    </row>
    <row r="2306" ht="22.5" customHeight="1">
      <c r="A2306" s="80"/>
      <c r="B2306" s="81"/>
      <c r="C2306" s="82"/>
      <c r="D2306" s="80"/>
      <c r="E2306" s="81"/>
      <c r="F2306" s="82"/>
      <c r="G2306" s="83"/>
      <c r="H2306" s="89"/>
      <c r="I2306" s="76"/>
      <c r="J2306" s="84"/>
      <c r="K2306" s="78"/>
      <c r="L2306" s="88"/>
    </row>
    <row r="2307" ht="22.5" customHeight="1">
      <c r="A2307" s="80"/>
      <c r="B2307" s="81"/>
      <c r="C2307" s="82"/>
      <c r="D2307" s="80"/>
      <c r="E2307" s="81"/>
      <c r="F2307" s="82"/>
      <c r="G2307" s="83"/>
      <c r="H2307" s="89"/>
      <c r="I2307" s="76"/>
      <c r="J2307" s="84"/>
      <c r="K2307" s="78"/>
      <c r="L2307" s="88"/>
    </row>
    <row r="2308" ht="22.5" customHeight="1">
      <c r="A2308" s="80"/>
      <c r="B2308" s="81"/>
      <c r="C2308" s="82"/>
      <c r="D2308" s="80"/>
      <c r="E2308" s="81"/>
      <c r="F2308" s="82"/>
      <c r="G2308" s="83"/>
      <c r="H2308" s="89"/>
      <c r="I2308" s="76"/>
      <c r="J2308" s="84"/>
      <c r="K2308" s="78"/>
      <c r="L2308" s="88"/>
    </row>
    <row r="2309" ht="22.5" customHeight="1">
      <c r="A2309" s="80"/>
      <c r="B2309" s="81"/>
      <c r="C2309" s="82"/>
      <c r="D2309" s="80"/>
      <c r="E2309" s="81"/>
      <c r="F2309" s="82"/>
      <c r="G2309" s="83"/>
      <c r="H2309" s="89"/>
      <c r="I2309" s="76"/>
      <c r="J2309" s="84"/>
      <c r="K2309" s="78"/>
      <c r="L2309" s="88"/>
    </row>
    <row r="2310" ht="22.5" customHeight="1">
      <c r="A2310" s="80"/>
      <c r="B2310" s="81"/>
      <c r="C2310" s="82"/>
      <c r="D2310" s="80"/>
      <c r="E2310" s="81"/>
      <c r="F2310" s="82"/>
      <c r="G2310" s="83"/>
      <c r="H2310" s="89"/>
      <c r="I2310" s="76"/>
      <c r="J2310" s="84"/>
      <c r="K2310" s="78"/>
      <c r="L2310" s="88"/>
    </row>
    <row r="2311" ht="22.5" customHeight="1">
      <c r="A2311" s="80"/>
      <c r="B2311" s="81"/>
      <c r="C2311" s="82"/>
      <c r="D2311" s="80"/>
      <c r="E2311" s="81"/>
      <c r="F2311" s="82"/>
      <c r="G2311" s="83"/>
      <c r="H2311" s="89"/>
      <c r="I2311" s="76"/>
      <c r="J2311" s="84"/>
      <c r="K2311" s="78"/>
      <c r="L2311" s="88"/>
    </row>
    <row r="2312" ht="22.5" customHeight="1">
      <c r="A2312" s="80"/>
      <c r="B2312" s="81"/>
      <c r="C2312" s="82"/>
      <c r="D2312" s="80"/>
      <c r="E2312" s="81"/>
      <c r="F2312" s="82"/>
      <c r="G2312" s="83"/>
      <c r="H2312" s="89"/>
      <c r="I2312" s="76"/>
      <c r="J2312" s="84"/>
      <c r="K2312" s="78"/>
      <c r="L2312" s="88"/>
    </row>
    <row r="2313" ht="22.5" customHeight="1">
      <c r="A2313" s="80"/>
      <c r="B2313" s="81"/>
      <c r="C2313" s="82"/>
      <c r="D2313" s="80"/>
      <c r="E2313" s="81"/>
      <c r="F2313" s="82"/>
      <c r="G2313" s="83"/>
      <c r="H2313" s="89"/>
      <c r="I2313" s="76"/>
      <c r="J2313" s="84"/>
      <c r="K2313" s="78"/>
      <c r="L2313" s="88"/>
    </row>
    <row r="2314" ht="22.5" customHeight="1">
      <c r="A2314" s="80"/>
      <c r="B2314" s="81"/>
      <c r="C2314" s="82"/>
      <c r="D2314" s="80"/>
      <c r="E2314" s="81"/>
      <c r="F2314" s="82"/>
      <c r="G2314" s="83"/>
      <c r="H2314" s="89"/>
      <c r="I2314" s="76"/>
      <c r="J2314" s="84"/>
      <c r="K2314" s="78"/>
      <c r="L2314" s="88"/>
    </row>
    <row r="2315" ht="22.5" customHeight="1">
      <c r="A2315" s="80"/>
      <c r="B2315" s="81"/>
      <c r="C2315" s="82"/>
      <c r="D2315" s="80"/>
      <c r="E2315" s="81"/>
      <c r="F2315" s="82"/>
      <c r="G2315" s="83"/>
      <c r="H2315" s="89"/>
      <c r="I2315" s="76"/>
      <c r="J2315" s="84"/>
      <c r="K2315" s="78"/>
      <c r="L2315" s="88"/>
    </row>
    <row r="2316" ht="22.5" customHeight="1">
      <c r="A2316" s="80"/>
      <c r="B2316" s="81"/>
      <c r="C2316" s="82"/>
      <c r="D2316" s="80"/>
      <c r="E2316" s="81"/>
      <c r="F2316" s="82"/>
      <c r="G2316" s="83"/>
      <c r="H2316" s="89"/>
      <c r="I2316" s="76"/>
      <c r="J2316" s="84"/>
      <c r="K2316" s="78"/>
      <c r="L2316" s="88"/>
    </row>
    <row r="2317" ht="22.5" customHeight="1">
      <c r="A2317" s="80"/>
      <c r="B2317" s="81"/>
      <c r="C2317" s="82"/>
      <c r="D2317" s="80"/>
      <c r="E2317" s="81"/>
      <c r="F2317" s="82"/>
      <c r="G2317" s="83"/>
      <c r="H2317" s="89"/>
      <c r="I2317" s="76"/>
      <c r="J2317" s="84"/>
      <c r="K2317" s="78"/>
      <c r="L2317" s="88"/>
    </row>
    <row r="2318" ht="22.5" customHeight="1">
      <c r="A2318" s="80"/>
      <c r="B2318" s="81"/>
      <c r="C2318" s="82"/>
      <c r="D2318" s="80"/>
      <c r="E2318" s="81"/>
      <c r="F2318" s="82"/>
      <c r="G2318" s="83"/>
      <c r="H2318" s="89"/>
      <c r="I2318" s="76"/>
      <c r="J2318" s="84"/>
      <c r="K2318" s="78"/>
      <c r="L2318" s="88"/>
    </row>
    <row r="2319" ht="22.5" customHeight="1">
      <c r="A2319" s="80"/>
      <c r="B2319" s="81"/>
      <c r="C2319" s="82"/>
      <c r="D2319" s="80"/>
      <c r="E2319" s="81"/>
      <c r="F2319" s="82"/>
      <c r="G2319" s="83"/>
      <c r="H2319" s="89"/>
      <c r="I2319" s="76"/>
      <c r="J2319" s="84"/>
      <c r="K2319" s="78"/>
      <c r="L2319" s="88"/>
    </row>
    <row r="2320" ht="22.5" customHeight="1">
      <c r="A2320" s="80"/>
      <c r="B2320" s="81"/>
      <c r="C2320" s="82"/>
      <c r="D2320" s="80"/>
      <c r="E2320" s="81"/>
      <c r="F2320" s="82"/>
      <c r="G2320" s="83"/>
      <c r="H2320" s="89"/>
      <c r="I2320" s="76"/>
      <c r="J2320" s="84"/>
      <c r="K2320" s="78"/>
      <c r="L2320" s="88"/>
    </row>
    <row r="2321" ht="22.5" customHeight="1">
      <c r="A2321" s="80"/>
      <c r="B2321" s="81"/>
      <c r="C2321" s="82"/>
      <c r="D2321" s="80"/>
      <c r="E2321" s="81"/>
      <c r="F2321" s="82"/>
      <c r="G2321" s="83"/>
      <c r="H2321" s="89"/>
      <c r="I2321" s="76"/>
      <c r="J2321" s="84"/>
      <c r="K2321" s="78"/>
      <c r="L2321" s="88"/>
    </row>
    <row r="2322" ht="22.5" customHeight="1">
      <c r="A2322" s="80"/>
      <c r="B2322" s="81"/>
      <c r="C2322" s="82"/>
      <c r="D2322" s="80"/>
      <c r="E2322" s="81"/>
      <c r="F2322" s="82"/>
      <c r="G2322" s="83"/>
      <c r="H2322" s="89"/>
      <c r="I2322" s="76"/>
      <c r="J2322" s="84"/>
      <c r="K2322" s="78"/>
      <c r="L2322" s="88"/>
    </row>
    <row r="2323" ht="22.5" customHeight="1">
      <c r="A2323" s="80"/>
      <c r="B2323" s="81"/>
      <c r="C2323" s="82"/>
      <c r="D2323" s="80"/>
      <c r="E2323" s="81"/>
      <c r="F2323" s="82"/>
      <c r="G2323" s="83"/>
      <c r="H2323" s="89"/>
      <c r="I2323" s="76"/>
      <c r="J2323" s="84"/>
      <c r="K2323" s="78"/>
      <c r="L2323" s="88"/>
    </row>
    <row r="2324" ht="22.5" customHeight="1">
      <c r="A2324" s="80"/>
      <c r="B2324" s="81"/>
      <c r="C2324" s="82"/>
      <c r="D2324" s="80"/>
      <c r="E2324" s="81"/>
      <c r="F2324" s="82"/>
      <c r="G2324" s="83"/>
      <c r="H2324" s="89"/>
      <c r="I2324" s="76"/>
      <c r="J2324" s="84"/>
      <c r="K2324" s="78"/>
      <c r="L2324" s="88"/>
    </row>
    <row r="2325" ht="22.5" customHeight="1">
      <c r="A2325" s="80"/>
      <c r="B2325" s="81"/>
      <c r="C2325" s="82"/>
      <c r="D2325" s="80"/>
      <c r="E2325" s="81"/>
      <c r="F2325" s="82"/>
      <c r="G2325" s="83"/>
      <c r="H2325" s="89"/>
      <c r="I2325" s="76"/>
      <c r="J2325" s="84"/>
      <c r="K2325" s="78"/>
      <c r="L2325" s="88"/>
    </row>
    <row r="2326" ht="22.5" customHeight="1">
      <c r="A2326" s="80"/>
      <c r="B2326" s="81"/>
      <c r="C2326" s="82"/>
      <c r="D2326" s="80"/>
      <c r="E2326" s="81"/>
      <c r="F2326" s="82"/>
      <c r="G2326" s="83"/>
      <c r="H2326" s="89"/>
      <c r="I2326" s="76"/>
      <c r="J2326" s="84"/>
      <c r="K2326" s="78"/>
      <c r="L2326" s="88"/>
    </row>
    <row r="2327" ht="22.5" customHeight="1">
      <c r="A2327" s="80"/>
      <c r="B2327" s="81"/>
      <c r="C2327" s="82"/>
      <c r="D2327" s="80"/>
      <c r="E2327" s="81"/>
      <c r="F2327" s="82"/>
      <c r="G2327" s="83"/>
      <c r="H2327" s="89"/>
      <c r="I2327" s="76"/>
      <c r="J2327" s="84"/>
      <c r="K2327" s="78"/>
      <c r="L2327" s="88"/>
    </row>
    <row r="2328" ht="22.5" customHeight="1">
      <c r="A2328" s="80"/>
      <c r="B2328" s="81"/>
      <c r="C2328" s="82"/>
      <c r="D2328" s="80"/>
      <c r="E2328" s="81"/>
      <c r="F2328" s="82"/>
      <c r="G2328" s="83"/>
      <c r="H2328" s="89"/>
      <c r="I2328" s="76"/>
      <c r="J2328" s="84"/>
      <c r="K2328" s="78"/>
      <c r="L2328" s="88"/>
    </row>
    <row r="2329" ht="22.5" customHeight="1">
      <c r="A2329" s="80"/>
      <c r="B2329" s="81"/>
      <c r="C2329" s="82"/>
      <c r="D2329" s="80"/>
      <c r="E2329" s="81"/>
      <c r="F2329" s="82"/>
      <c r="G2329" s="83"/>
      <c r="H2329" s="89"/>
      <c r="I2329" s="76"/>
      <c r="J2329" s="84"/>
      <c r="K2329" s="78"/>
      <c r="L2329" s="88"/>
    </row>
    <row r="2330" ht="22.5" customHeight="1">
      <c r="A2330" s="80"/>
      <c r="B2330" s="81"/>
      <c r="C2330" s="82"/>
      <c r="D2330" s="80"/>
      <c r="E2330" s="81"/>
      <c r="F2330" s="82"/>
      <c r="G2330" s="83"/>
      <c r="H2330" s="89"/>
      <c r="I2330" s="76"/>
      <c r="J2330" s="84"/>
      <c r="K2330" s="78"/>
      <c r="L2330" s="88"/>
    </row>
    <row r="2331" ht="22.5" customHeight="1">
      <c r="A2331" s="80"/>
      <c r="B2331" s="81"/>
      <c r="C2331" s="82"/>
      <c r="D2331" s="80"/>
      <c r="E2331" s="81"/>
      <c r="F2331" s="82"/>
      <c r="G2331" s="83"/>
      <c r="H2331" s="89"/>
      <c r="I2331" s="76"/>
      <c r="J2331" s="84"/>
      <c r="K2331" s="78"/>
      <c r="L2331" s="88"/>
    </row>
    <row r="2332" ht="22.5" customHeight="1">
      <c r="A2332" s="80"/>
      <c r="B2332" s="81"/>
      <c r="C2332" s="82"/>
      <c r="D2332" s="80"/>
      <c r="E2332" s="81"/>
      <c r="F2332" s="82"/>
      <c r="G2332" s="83"/>
      <c r="H2332" s="89"/>
      <c r="I2332" s="76"/>
      <c r="J2332" s="84"/>
      <c r="K2332" s="78"/>
      <c r="L2332" s="88"/>
    </row>
    <row r="2333" ht="22.5" customHeight="1">
      <c r="A2333" s="80"/>
      <c r="B2333" s="81"/>
      <c r="C2333" s="82"/>
      <c r="D2333" s="80"/>
      <c r="E2333" s="81"/>
      <c r="F2333" s="82"/>
      <c r="G2333" s="83"/>
      <c r="H2333" s="89"/>
      <c r="I2333" s="76"/>
      <c r="J2333" s="84"/>
      <c r="K2333" s="78"/>
      <c r="L2333" s="88"/>
    </row>
    <row r="2334" ht="22.5" customHeight="1">
      <c r="A2334" s="80"/>
      <c r="B2334" s="81"/>
      <c r="C2334" s="82"/>
      <c r="D2334" s="80"/>
      <c r="E2334" s="81"/>
      <c r="F2334" s="82"/>
      <c r="G2334" s="83"/>
      <c r="H2334" s="89"/>
      <c r="I2334" s="76"/>
      <c r="J2334" s="84"/>
      <c r="K2334" s="78"/>
      <c r="L2334" s="88"/>
    </row>
    <row r="2335" ht="22.5" customHeight="1">
      <c r="A2335" s="80"/>
      <c r="B2335" s="81"/>
      <c r="C2335" s="82"/>
      <c r="D2335" s="80"/>
      <c r="E2335" s="81"/>
      <c r="F2335" s="82"/>
      <c r="G2335" s="83"/>
      <c r="H2335" s="89"/>
      <c r="I2335" s="76"/>
      <c r="J2335" s="84"/>
      <c r="K2335" s="78"/>
      <c r="L2335" s="88"/>
    </row>
    <row r="2336" ht="22.5" customHeight="1">
      <c r="A2336" s="80"/>
      <c r="B2336" s="81"/>
      <c r="C2336" s="82"/>
      <c r="D2336" s="80"/>
      <c r="E2336" s="81"/>
      <c r="F2336" s="82"/>
      <c r="G2336" s="83"/>
      <c r="H2336" s="89"/>
      <c r="I2336" s="76"/>
      <c r="J2336" s="84"/>
      <c r="K2336" s="78"/>
      <c r="L2336" s="88"/>
    </row>
    <row r="2337" ht="22.5" customHeight="1">
      <c r="A2337" s="80"/>
      <c r="B2337" s="81"/>
      <c r="C2337" s="82"/>
      <c r="D2337" s="80"/>
      <c r="E2337" s="81"/>
      <c r="F2337" s="82"/>
      <c r="G2337" s="83"/>
      <c r="H2337" s="89"/>
      <c r="I2337" s="76"/>
      <c r="J2337" s="84"/>
      <c r="K2337" s="78"/>
      <c r="L2337" s="88"/>
    </row>
    <row r="2338" ht="22.5" customHeight="1">
      <c r="A2338" s="80"/>
      <c r="B2338" s="81"/>
      <c r="C2338" s="82"/>
      <c r="D2338" s="80"/>
      <c r="E2338" s="81"/>
      <c r="F2338" s="82"/>
      <c r="G2338" s="83"/>
      <c r="H2338" s="89"/>
      <c r="I2338" s="76"/>
      <c r="J2338" s="84"/>
      <c r="K2338" s="78"/>
      <c r="L2338" s="88"/>
    </row>
    <row r="2339" ht="22.5" customHeight="1">
      <c r="A2339" s="80"/>
      <c r="B2339" s="81"/>
      <c r="C2339" s="82"/>
      <c r="D2339" s="80"/>
      <c r="E2339" s="81"/>
      <c r="F2339" s="82"/>
      <c r="G2339" s="83"/>
      <c r="H2339" s="89"/>
      <c r="I2339" s="76"/>
      <c r="J2339" s="84"/>
      <c r="K2339" s="78"/>
      <c r="L2339" s="88"/>
    </row>
    <row r="2340" ht="22.5" customHeight="1">
      <c r="A2340" s="80"/>
      <c r="B2340" s="81"/>
      <c r="C2340" s="82"/>
      <c r="D2340" s="80"/>
      <c r="E2340" s="81"/>
      <c r="F2340" s="82"/>
      <c r="G2340" s="83"/>
      <c r="H2340" s="89"/>
      <c r="I2340" s="76"/>
      <c r="J2340" s="84"/>
      <c r="K2340" s="78"/>
      <c r="L2340" s="88"/>
    </row>
    <row r="2341" ht="22.5" customHeight="1">
      <c r="A2341" s="80"/>
      <c r="B2341" s="81"/>
      <c r="C2341" s="82"/>
      <c r="D2341" s="80"/>
      <c r="E2341" s="81"/>
      <c r="F2341" s="82"/>
      <c r="G2341" s="83"/>
      <c r="H2341" s="89"/>
      <c r="I2341" s="76"/>
      <c r="J2341" s="84"/>
      <c r="K2341" s="78"/>
      <c r="L2341" s="88"/>
    </row>
    <row r="2342" ht="22.5" customHeight="1">
      <c r="A2342" s="80"/>
      <c r="B2342" s="81"/>
      <c r="C2342" s="82"/>
      <c r="D2342" s="80"/>
      <c r="E2342" s="81"/>
      <c r="F2342" s="82"/>
      <c r="G2342" s="83"/>
      <c r="H2342" s="89"/>
      <c r="I2342" s="76"/>
      <c r="J2342" s="84"/>
      <c r="K2342" s="78"/>
      <c r="L2342" s="88"/>
    </row>
    <row r="2343" ht="22.5" customHeight="1">
      <c r="A2343" s="80"/>
      <c r="B2343" s="81"/>
      <c r="C2343" s="82"/>
      <c r="D2343" s="80"/>
      <c r="E2343" s="81"/>
      <c r="F2343" s="82"/>
      <c r="G2343" s="83"/>
      <c r="H2343" s="89"/>
      <c r="I2343" s="76"/>
      <c r="J2343" s="84"/>
      <c r="K2343" s="78"/>
      <c r="L2343" s="88"/>
    </row>
    <row r="2344" ht="22.5" customHeight="1">
      <c r="A2344" s="80"/>
      <c r="B2344" s="81"/>
      <c r="C2344" s="82"/>
      <c r="D2344" s="80"/>
      <c r="E2344" s="81"/>
      <c r="F2344" s="82"/>
      <c r="G2344" s="83"/>
      <c r="H2344" s="89"/>
      <c r="I2344" s="76"/>
      <c r="J2344" s="84"/>
      <c r="K2344" s="78"/>
      <c r="L2344" s="88"/>
    </row>
    <row r="2345" ht="22.5" customHeight="1">
      <c r="A2345" s="80"/>
      <c r="B2345" s="81"/>
      <c r="C2345" s="82"/>
      <c r="D2345" s="80"/>
      <c r="E2345" s="81"/>
      <c r="F2345" s="82"/>
      <c r="G2345" s="83"/>
      <c r="H2345" s="89"/>
      <c r="I2345" s="76"/>
      <c r="J2345" s="84"/>
      <c r="K2345" s="78"/>
      <c r="L2345" s="88"/>
    </row>
    <row r="2346" ht="22.5" customHeight="1">
      <c r="A2346" s="80"/>
      <c r="B2346" s="81"/>
      <c r="C2346" s="82"/>
      <c r="D2346" s="80"/>
      <c r="E2346" s="81"/>
      <c r="F2346" s="82"/>
      <c r="G2346" s="83"/>
      <c r="H2346" s="89"/>
      <c r="I2346" s="76"/>
      <c r="J2346" s="84"/>
      <c r="K2346" s="78"/>
      <c r="L2346" s="88"/>
    </row>
    <row r="2347" ht="22.5" customHeight="1">
      <c r="A2347" s="80"/>
      <c r="B2347" s="81"/>
      <c r="C2347" s="82"/>
      <c r="D2347" s="80"/>
      <c r="E2347" s="81"/>
      <c r="F2347" s="82"/>
      <c r="G2347" s="83"/>
      <c r="H2347" s="89"/>
      <c r="I2347" s="76"/>
      <c r="J2347" s="84"/>
      <c r="K2347" s="78"/>
      <c r="L2347" s="88"/>
    </row>
    <row r="2348" ht="22.5" customHeight="1">
      <c r="A2348" s="80"/>
      <c r="B2348" s="81"/>
      <c r="C2348" s="82"/>
      <c r="D2348" s="80"/>
      <c r="E2348" s="81"/>
      <c r="F2348" s="82"/>
      <c r="G2348" s="83"/>
      <c r="H2348" s="89"/>
      <c r="I2348" s="76"/>
      <c r="J2348" s="84"/>
      <c r="K2348" s="78"/>
      <c r="L2348" s="88"/>
    </row>
    <row r="2349" ht="22.5" customHeight="1">
      <c r="A2349" s="80"/>
      <c r="B2349" s="81"/>
      <c r="C2349" s="82"/>
      <c r="D2349" s="80"/>
      <c r="E2349" s="81"/>
      <c r="F2349" s="82"/>
      <c r="G2349" s="83"/>
      <c r="H2349" s="89"/>
      <c r="I2349" s="76"/>
      <c r="J2349" s="84"/>
      <c r="K2349" s="78"/>
      <c r="L2349" s="88"/>
    </row>
    <row r="2350" ht="22.5" customHeight="1">
      <c r="A2350" s="80"/>
      <c r="B2350" s="81"/>
      <c r="C2350" s="82"/>
      <c r="D2350" s="80"/>
      <c r="E2350" s="81"/>
      <c r="F2350" s="82"/>
      <c r="G2350" s="83"/>
      <c r="H2350" s="89"/>
      <c r="I2350" s="76"/>
      <c r="J2350" s="84"/>
      <c r="K2350" s="78"/>
      <c r="L2350" s="88"/>
    </row>
    <row r="2351" ht="22.5" customHeight="1">
      <c r="A2351" s="80"/>
      <c r="B2351" s="81"/>
      <c r="C2351" s="82"/>
      <c r="D2351" s="80"/>
      <c r="E2351" s="81"/>
      <c r="F2351" s="82"/>
      <c r="G2351" s="83"/>
      <c r="H2351" s="89"/>
      <c r="I2351" s="76"/>
      <c r="J2351" s="84"/>
      <c r="K2351" s="78"/>
      <c r="L2351" s="88"/>
    </row>
    <row r="2352" ht="22.5" customHeight="1">
      <c r="A2352" s="80"/>
      <c r="B2352" s="81"/>
      <c r="C2352" s="82"/>
      <c r="D2352" s="80"/>
      <c r="E2352" s="81"/>
      <c r="F2352" s="82"/>
      <c r="G2352" s="83"/>
      <c r="H2352" s="89"/>
      <c r="I2352" s="76"/>
      <c r="J2352" s="84"/>
      <c r="K2352" s="78"/>
      <c r="L2352" s="88"/>
    </row>
    <row r="2353" ht="22.5" customHeight="1">
      <c r="A2353" s="80"/>
      <c r="B2353" s="81"/>
      <c r="C2353" s="82"/>
      <c r="D2353" s="80"/>
      <c r="E2353" s="81"/>
      <c r="F2353" s="82"/>
      <c r="G2353" s="83"/>
      <c r="H2353" s="89"/>
      <c r="I2353" s="76"/>
      <c r="J2353" s="84"/>
      <c r="K2353" s="78"/>
      <c r="L2353" s="88"/>
    </row>
    <row r="2354" ht="22.5" customHeight="1">
      <c r="A2354" s="80"/>
      <c r="B2354" s="81"/>
      <c r="C2354" s="82"/>
      <c r="D2354" s="80"/>
      <c r="E2354" s="81"/>
      <c r="F2354" s="82"/>
      <c r="G2354" s="83"/>
      <c r="H2354" s="89"/>
      <c r="I2354" s="76"/>
      <c r="J2354" s="84"/>
      <c r="K2354" s="78"/>
      <c r="L2354" s="88"/>
    </row>
    <row r="2355" ht="22.5" customHeight="1">
      <c r="A2355" s="80"/>
      <c r="B2355" s="81"/>
      <c r="C2355" s="82"/>
      <c r="D2355" s="80"/>
      <c r="E2355" s="81"/>
      <c r="F2355" s="82"/>
      <c r="G2355" s="83"/>
      <c r="H2355" s="89"/>
      <c r="I2355" s="76"/>
      <c r="J2355" s="84"/>
      <c r="K2355" s="78"/>
      <c r="L2355" s="88"/>
    </row>
    <row r="2356" ht="22.5" customHeight="1">
      <c r="A2356" s="80"/>
      <c r="B2356" s="81"/>
      <c r="C2356" s="82"/>
      <c r="D2356" s="80"/>
      <c r="E2356" s="81"/>
      <c r="F2356" s="82"/>
      <c r="G2356" s="83"/>
      <c r="H2356" s="89"/>
      <c r="I2356" s="76"/>
      <c r="J2356" s="84"/>
      <c r="K2356" s="78"/>
      <c r="L2356" s="88"/>
    </row>
    <row r="2357" ht="22.5" customHeight="1">
      <c r="A2357" s="80"/>
      <c r="B2357" s="81"/>
      <c r="C2357" s="82"/>
      <c r="D2357" s="80"/>
      <c r="E2357" s="81"/>
      <c r="F2357" s="82"/>
      <c r="G2357" s="83"/>
      <c r="H2357" s="89"/>
      <c r="I2357" s="76"/>
      <c r="J2357" s="84"/>
      <c r="K2357" s="78"/>
      <c r="L2357" s="88"/>
    </row>
    <row r="2358" ht="22.5" customHeight="1">
      <c r="A2358" s="80"/>
      <c r="B2358" s="81"/>
      <c r="C2358" s="82"/>
      <c r="D2358" s="80"/>
      <c r="E2358" s="81"/>
      <c r="F2358" s="82"/>
      <c r="G2358" s="83"/>
      <c r="H2358" s="89"/>
      <c r="I2358" s="76"/>
      <c r="J2358" s="84"/>
      <c r="K2358" s="78"/>
      <c r="L2358" s="88"/>
    </row>
    <row r="2359" ht="22.5" customHeight="1">
      <c r="A2359" s="80"/>
      <c r="B2359" s="81"/>
      <c r="C2359" s="82"/>
      <c r="D2359" s="80"/>
      <c r="E2359" s="81"/>
      <c r="F2359" s="82"/>
      <c r="G2359" s="83"/>
      <c r="H2359" s="89"/>
      <c r="I2359" s="76"/>
      <c r="J2359" s="84"/>
      <c r="K2359" s="78"/>
      <c r="L2359" s="88"/>
    </row>
    <row r="2360" ht="22.5" customHeight="1">
      <c r="A2360" s="80"/>
      <c r="B2360" s="81"/>
      <c r="C2360" s="82"/>
      <c r="D2360" s="80"/>
      <c r="E2360" s="81"/>
      <c r="F2360" s="82"/>
      <c r="G2360" s="83"/>
      <c r="H2360" s="89"/>
      <c r="I2360" s="76"/>
      <c r="J2360" s="84"/>
      <c r="K2360" s="78"/>
      <c r="L2360" s="88"/>
    </row>
    <row r="2361" ht="22.5" customHeight="1">
      <c r="A2361" s="80"/>
      <c r="B2361" s="81"/>
      <c r="C2361" s="82"/>
      <c r="D2361" s="80"/>
      <c r="E2361" s="81"/>
      <c r="F2361" s="82"/>
      <c r="G2361" s="83"/>
      <c r="H2361" s="89"/>
      <c r="I2361" s="76"/>
      <c r="J2361" s="84"/>
      <c r="K2361" s="78"/>
      <c r="L2361" s="88"/>
    </row>
    <row r="2362" ht="22.5" customHeight="1">
      <c r="A2362" s="80"/>
      <c r="B2362" s="81"/>
      <c r="C2362" s="82"/>
      <c r="D2362" s="80"/>
      <c r="E2362" s="81"/>
      <c r="F2362" s="82"/>
      <c r="G2362" s="83"/>
      <c r="H2362" s="89"/>
      <c r="I2362" s="76"/>
      <c r="J2362" s="84"/>
      <c r="K2362" s="78"/>
      <c r="L2362" s="88"/>
    </row>
    <row r="2363" ht="22.5" customHeight="1">
      <c r="A2363" s="80"/>
      <c r="B2363" s="81"/>
      <c r="C2363" s="82"/>
      <c r="D2363" s="80"/>
      <c r="E2363" s="81"/>
      <c r="F2363" s="82"/>
      <c r="G2363" s="83"/>
      <c r="H2363" s="89"/>
      <c r="I2363" s="76"/>
      <c r="J2363" s="84"/>
      <c r="K2363" s="78"/>
      <c r="L2363" s="88"/>
    </row>
    <row r="2364" ht="22.5" customHeight="1">
      <c r="A2364" s="80"/>
      <c r="B2364" s="81"/>
      <c r="C2364" s="82"/>
      <c r="D2364" s="80"/>
      <c r="E2364" s="81"/>
      <c r="F2364" s="82"/>
      <c r="G2364" s="83"/>
      <c r="H2364" s="89"/>
      <c r="I2364" s="76"/>
      <c r="J2364" s="84"/>
      <c r="K2364" s="78"/>
      <c r="L2364" s="88"/>
    </row>
    <row r="2365" ht="22.5" customHeight="1">
      <c r="A2365" s="80"/>
      <c r="B2365" s="81"/>
      <c r="C2365" s="82"/>
      <c r="D2365" s="80"/>
      <c r="E2365" s="81"/>
      <c r="F2365" s="82"/>
      <c r="G2365" s="83"/>
      <c r="H2365" s="89"/>
      <c r="I2365" s="76"/>
      <c r="J2365" s="84"/>
      <c r="K2365" s="78"/>
      <c r="L2365" s="88"/>
    </row>
    <row r="2366" ht="22.5" customHeight="1">
      <c r="A2366" s="80"/>
      <c r="B2366" s="81"/>
      <c r="C2366" s="82"/>
      <c r="D2366" s="80"/>
      <c r="E2366" s="81"/>
      <c r="F2366" s="82"/>
      <c r="G2366" s="83"/>
      <c r="H2366" s="89"/>
      <c r="I2366" s="76"/>
      <c r="J2366" s="84"/>
      <c r="K2366" s="78"/>
      <c r="L2366" s="88"/>
    </row>
    <row r="2367" ht="22.5" customHeight="1">
      <c r="A2367" s="80"/>
      <c r="B2367" s="81"/>
      <c r="C2367" s="82"/>
      <c r="D2367" s="80"/>
      <c r="E2367" s="81"/>
      <c r="F2367" s="82"/>
      <c r="G2367" s="83"/>
      <c r="H2367" s="89"/>
      <c r="I2367" s="76"/>
      <c r="J2367" s="84"/>
      <c r="K2367" s="78"/>
      <c r="L2367" s="88"/>
    </row>
    <row r="2368" ht="22.5" customHeight="1">
      <c r="A2368" s="80"/>
      <c r="B2368" s="81"/>
      <c r="C2368" s="82"/>
      <c r="D2368" s="80"/>
      <c r="E2368" s="81"/>
      <c r="F2368" s="82"/>
      <c r="G2368" s="83"/>
      <c r="H2368" s="89"/>
      <c r="I2368" s="76"/>
      <c r="J2368" s="84"/>
      <c r="K2368" s="78"/>
      <c r="L2368" s="88"/>
    </row>
    <row r="2369" ht="22.5" customHeight="1">
      <c r="A2369" s="80"/>
      <c r="B2369" s="81"/>
      <c r="C2369" s="82"/>
      <c r="D2369" s="80"/>
      <c r="E2369" s="81"/>
      <c r="F2369" s="82"/>
      <c r="G2369" s="83"/>
      <c r="H2369" s="89"/>
      <c r="I2369" s="76"/>
      <c r="J2369" s="84"/>
      <c r="K2369" s="78"/>
      <c r="L2369" s="88"/>
    </row>
    <row r="2370" ht="22.5" customHeight="1">
      <c r="A2370" s="80"/>
      <c r="B2370" s="81"/>
      <c r="C2370" s="82"/>
      <c r="D2370" s="80"/>
      <c r="E2370" s="81"/>
      <c r="F2370" s="82"/>
      <c r="G2370" s="83"/>
      <c r="H2370" s="89"/>
      <c r="I2370" s="76"/>
      <c r="J2370" s="84"/>
      <c r="K2370" s="78"/>
      <c r="L2370" s="88"/>
    </row>
    <row r="2371" ht="22.5" customHeight="1">
      <c r="A2371" s="80"/>
      <c r="B2371" s="81"/>
      <c r="C2371" s="82"/>
      <c r="D2371" s="80"/>
      <c r="E2371" s="81"/>
      <c r="F2371" s="82"/>
      <c r="G2371" s="83"/>
      <c r="H2371" s="89"/>
      <c r="I2371" s="76"/>
      <c r="J2371" s="84"/>
      <c r="K2371" s="78"/>
      <c r="L2371" s="88"/>
    </row>
    <row r="2372" ht="22.5" customHeight="1">
      <c r="A2372" s="80"/>
      <c r="B2372" s="81"/>
      <c r="C2372" s="82"/>
      <c r="D2372" s="80"/>
      <c r="E2372" s="81"/>
      <c r="F2372" s="82"/>
      <c r="G2372" s="83"/>
      <c r="H2372" s="89"/>
      <c r="I2372" s="76"/>
      <c r="J2372" s="84"/>
      <c r="K2372" s="78"/>
      <c r="L2372" s="88"/>
    </row>
    <row r="2373" ht="22.5" customHeight="1">
      <c r="A2373" s="80"/>
      <c r="B2373" s="81"/>
      <c r="C2373" s="82"/>
      <c r="D2373" s="80"/>
      <c r="E2373" s="81"/>
      <c r="F2373" s="82"/>
      <c r="G2373" s="83"/>
      <c r="H2373" s="89"/>
      <c r="I2373" s="76"/>
      <c r="J2373" s="84"/>
      <c r="K2373" s="78"/>
      <c r="L2373" s="88"/>
    </row>
    <row r="2374" ht="22.5" customHeight="1">
      <c r="A2374" s="80"/>
      <c r="B2374" s="81"/>
      <c r="C2374" s="82"/>
      <c r="D2374" s="80"/>
      <c r="E2374" s="81"/>
      <c r="F2374" s="82"/>
      <c r="G2374" s="83"/>
      <c r="H2374" s="89"/>
      <c r="I2374" s="76"/>
      <c r="J2374" s="84"/>
      <c r="K2374" s="78"/>
      <c r="L2374" s="88"/>
    </row>
    <row r="2375" ht="22.5" customHeight="1">
      <c r="A2375" s="80"/>
      <c r="B2375" s="81"/>
      <c r="C2375" s="82"/>
      <c r="D2375" s="80"/>
      <c r="E2375" s="81"/>
      <c r="F2375" s="82"/>
      <c r="G2375" s="83"/>
      <c r="H2375" s="89"/>
      <c r="I2375" s="76"/>
      <c r="J2375" s="84"/>
      <c r="K2375" s="78"/>
      <c r="L2375" s="88"/>
    </row>
    <row r="2376" ht="22.5" customHeight="1">
      <c r="A2376" s="80"/>
      <c r="B2376" s="81"/>
      <c r="C2376" s="82"/>
      <c r="D2376" s="80"/>
      <c r="E2376" s="81"/>
      <c r="F2376" s="82"/>
      <c r="G2376" s="83"/>
      <c r="H2376" s="89"/>
      <c r="I2376" s="76"/>
      <c r="J2376" s="84"/>
      <c r="K2376" s="78"/>
      <c r="L2376" s="88"/>
    </row>
    <row r="2377" ht="22.5" customHeight="1">
      <c r="A2377" s="80"/>
      <c r="B2377" s="81"/>
      <c r="C2377" s="82"/>
      <c r="D2377" s="80"/>
      <c r="E2377" s="81"/>
      <c r="F2377" s="82"/>
      <c r="G2377" s="83"/>
      <c r="H2377" s="89"/>
      <c r="I2377" s="76"/>
      <c r="J2377" s="84"/>
      <c r="K2377" s="78"/>
      <c r="L2377" s="88"/>
    </row>
    <row r="2378" ht="22.5" customHeight="1">
      <c r="A2378" s="80"/>
      <c r="B2378" s="81"/>
      <c r="C2378" s="82"/>
      <c r="D2378" s="80"/>
      <c r="E2378" s="81"/>
      <c r="F2378" s="82"/>
      <c r="G2378" s="83"/>
      <c r="H2378" s="89"/>
      <c r="I2378" s="76"/>
      <c r="J2378" s="84"/>
      <c r="K2378" s="78"/>
      <c r="L2378" s="88"/>
    </row>
    <row r="2379" ht="22.5" customHeight="1">
      <c r="A2379" s="80"/>
      <c r="B2379" s="81"/>
      <c r="C2379" s="82"/>
      <c r="D2379" s="80"/>
      <c r="E2379" s="81"/>
      <c r="F2379" s="82"/>
      <c r="G2379" s="83"/>
      <c r="H2379" s="89"/>
      <c r="I2379" s="76"/>
      <c r="J2379" s="84"/>
      <c r="K2379" s="78"/>
      <c r="L2379" s="88"/>
    </row>
    <row r="2380" ht="22.5" customHeight="1">
      <c r="A2380" s="80"/>
      <c r="B2380" s="81"/>
      <c r="C2380" s="82"/>
      <c r="D2380" s="80"/>
      <c r="E2380" s="81"/>
      <c r="F2380" s="82"/>
      <c r="G2380" s="83"/>
      <c r="H2380" s="89"/>
      <c r="I2380" s="76"/>
      <c r="J2380" s="84"/>
      <c r="K2380" s="78"/>
      <c r="L2380" s="88"/>
    </row>
    <row r="2381" ht="22.5" customHeight="1">
      <c r="A2381" s="80"/>
      <c r="B2381" s="81"/>
      <c r="C2381" s="82"/>
      <c r="D2381" s="80"/>
      <c r="E2381" s="81"/>
      <c r="F2381" s="82"/>
      <c r="G2381" s="83"/>
      <c r="H2381" s="89"/>
      <c r="I2381" s="76"/>
      <c r="J2381" s="84"/>
      <c r="K2381" s="78"/>
      <c r="L2381" s="88"/>
    </row>
    <row r="2382" ht="22.5" customHeight="1">
      <c r="A2382" s="80"/>
      <c r="B2382" s="81"/>
      <c r="C2382" s="82"/>
      <c r="D2382" s="80"/>
      <c r="E2382" s="81"/>
      <c r="F2382" s="82"/>
      <c r="G2382" s="83"/>
      <c r="H2382" s="89"/>
      <c r="I2382" s="76"/>
      <c r="J2382" s="84"/>
      <c r="K2382" s="78"/>
      <c r="L2382" s="88"/>
    </row>
    <row r="2383" ht="22.5" customHeight="1">
      <c r="A2383" s="80"/>
      <c r="B2383" s="81"/>
      <c r="C2383" s="82"/>
      <c r="D2383" s="80"/>
      <c r="E2383" s="81"/>
      <c r="F2383" s="82"/>
      <c r="G2383" s="83"/>
      <c r="H2383" s="89"/>
      <c r="I2383" s="76"/>
      <c r="J2383" s="84"/>
      <c r="K2383" s="78"/>
      <c r="L2383" s="88"/>
    </row>
    <row r="2384" ht="22.5" customHeight="1">
      <c r="A2384" s="80"/>
      <c r="B2384" s="81"/>
      <c r="C2384" s="82"/>
      <c r="D2384" s="80"/>
      <c r="E2384" s="81"/>
      <c r="F2384" s="82"/>
      <c r="G2384" s="83"/>
      <c r="H2384" s="89"/>
      <c r="I2384" s="76"/>
      <c r="J2384" s="84"/>
      <c r="K2384" s="78"/>
      <c r="L2384" s="88"/>
    </row>
    <row r="2385" ht="22.5" customHeight="1">
      <c r="A2385" s="80"/>
      <c r="B2385" s="81"/>
      <c r="C2385" s="82"/>
      <c r="D2385" s="80"/>
      <c r="E2385" s="81"/>
      <c r="F2385" s="82"/>
      <c r="G2385" s="83"/>
      <c r="H2385" s="89"/>
      <c r="I2385" s="76"/>
      <c r="J2385" s="84"/>
      <c r="K2385" s="78"/>
      <c r="L2385" s="88"/>
    </row>
    <row r="2386" ht="22.5" customHeight="1">
      <c r="A2386" s="80"/>
      <c r="B2386" s="81"/>
      <c r="C2386" s="82"/>
      <c r="D2386" s="80"/>
      <c r="E2386" s="81"/>
      <c r="F2386" s="82"/>
      <c r="G2386" s="83"/>
      <c r="H2386" s="89"/>
      <c r="I2386" s="76"/>
      <c r="J2386" s="84"/>
      <c r="K2386" s="78"/>
      <c r="L2386" s="88"/>
    </row>
    <row r="2387" ht="22.5" customHeight="1">
      <c r="A2387" s="80"/>
      <c r="B2387" s="81"/>
      <c r="C2387" s="82"/>
      <c r="D2387" s="80"/>
      <c r="E2387" s="81"/>
      <c r="F2387" s="82"/>
      <c r="G2387" s="83"/>
      <c r="H2387" s="89"/>
      <c r="I2387" s="76"/>
      <c r="J2387" s="84"/>
      <c r="K2387" s="78"/>
      <c r="L2387" s="88"/>
    </row>
    <row r="2388" ht="22.5" customHeight="1">
      <c r="A2388" s="80"/>
      <c r="B2388" s="81"/>
      <c r="C2388" s="82"/>
      <c r="D2388" s="80"/>
      <c r="E2388" s="81"/>
      <c r="F2388" s="82"/>
      <c r="G2388" s="83"/>
      <c r="H2388" s="89"/>
      <c r="I2388" s="76"/>
      <c r="J2388" s="84"/>
      <c r="K2388" s="78"/>
      <c r="L2388" s="88"/>
    </row>
    <row r="2389" ht="22.5" customHeight="1">
      <c r="A2389" s="80"/>
      <c r="B2389" s="81"/>
      <c r="C2389" s="82"/>
      <c r="D2389" s="80"/>
      <c r="E2389" s="81"/>
      <c r="F2389" s="82"/>
      <c r="G2389" s="83"/>
      <c r="H2389" s="89"/>
      <c r="I2389" s="76"/>
      <c r="J2389" s="84"/>
      <c r="K2389" s="78"/>
      <c r="L2389" s="88"/>
    </row>
    <row r="2390" ht="22.5" customHeight="1">
      <c r="A2390" s="80"/>
      <c r="B2390" s="81"/>
      <c r="C2390" s="82"/>
      <c r="D2390" s="80"/>
      <c r="E2390" s="81"/>
      <c r="F2390" s="82"/>
      <c r="G2390" s="83"/>
      <c r="H2390" s="89"/>
      <c r="I2390" s="76"/>
      <c r="J2390" s="84"/>
      <c r="K2390" s="78"/>
      <c r="L2390" s="88"/>
    </row>
    <row r="2391" ht="22.5" customHeight="1">
      <c r="A2391" s="80"/>
      <c r="B2391" s="81"/>
      <c r="C2391" s="82"/>
      <c r="D2391" s="80"/>
      <c r="E2391" s="81"/>
      <c r="F2391" s="82"/>
      <c r="G2391" s="83"/>
      <c r="H2391" s="89"/>
      <c r="I2391" s="76"/>
      <c r="J2391" s="84"/>
      <c r="K2391" s="78"/>
      <c r="L2391" s="88"/>
    </row>
    <row r="2392" ht="22.5" customHeight="1">
      <c r="A2392" s="80"/>
      <c r="B2392" s="81"/>
      <c r="C2392" s="82"/>
      <c r="D2392" s="80"/>
      <c r="E2392" s="81"/>
      <c r="F2392" s="82"/>
      <c r="G2392" s="83"/>
      <c r="H2392" s="89"/>
      <c r="I2392" s="76"/>
      <c r="J2392" s="84"/>
      <c r="K2392" s="78"/>
      <c r="L2392" s="88"/>
    </row>
    <row r="2393" ht="22.5" customHeight="1">
      <c r="A2393" s="80"/>
      <c r="B2393" s="81"/>
      <c r="C2393" s="82"/>
      <c r="D2393" s="80"/>
      <c r="E2393" s="81"/>
      <c r="F2393" s="82"/>
      <c r="G2393" s="83"/>
      <c r="H2393" s="89"/>
      <c r="I2393" s="76"/>
      <c r="J2393" s="84"/>
      <c r="K2393" s="78"/>
      <c r="L2393" s="88"/>
    </row>
    <row r="2394" ht="22.5" customHeight="1">
      <c r="A2394" s="80"/>
      <c r="B2394" s="81"/>
      <c r="C2394" s="82"/>
      <c r="D2394" s="80"/>
      <c r="E2394" s="81"/>
      <c r="F2394" s="82"/>
      <c r="G2394" s="83"/>
      <c r="H2394" s="89"/>
      <c r="I2394" s="76"/>
      <c r="J2394" s="84"/>
      <c r="K2394" s="78"/>
      <c r="L2394" s="88"/>
    </row>
    <row r="2395" ht="22.5" customHeight="1">
      <c r="A2395" s="80"/>
      <c r="B2395" s="81"/>
      <c r="C2395" s="82"/>
      <c r="D2395" s="80"/>
      <c r="E2395" s="81"/>
      <c r="F2395" s="82"/>
      <c r="G2395" s="83"/>
      <c r="H2395" s="89"/>
      <c r="I2395" s="76"/>
      <c r="J2395" s="84"/>
      <c r="K2395" s="78"/>
      <c r="L2395" s="88"/>
    </row>
    <row r="2396" ht="22.5" customHeight="1">
      <c r="A2396" s="80"/>
      <c r="B2396" s="81"/>
      <c r="C2396" s="82"/>
      <c r="D2396" s="80"/>
      <c r="E2396" s="81"/>
      <c r="F2396" s="82"/>
      <c r="G2396" s="83"/>
      <c r="H2396" s="89"/>
      <c r="I2396" s="76"/>
      <c r="J2396" s="84"/>
      <c r="K2396" s="78"/>
      <c r="L2396" s="88"/>
    </row>
    <row r="2397" ht="22.5" customHeight="1">
      <c r="A2397" s="80"/>
      <c r="B2397" s="81"/>
      <c r="C2397" s="82"/>
      <c r="D2397" s="80"/>
      <c r="E2397" s="81"/>
      <c r="F2397" s="82"/>
      <c r="G2397" s="83"/>
      <c r="H2397" s="89"/>
      <c r="I2397" s="76"/>
      <c r="J2397" s="84"/>
      <c r="K2397" s="78"/>
      <c r="L2397" s="88"/>
    </row>
    <row r="2398" ht="22.5" customHeight="1">
      <c r="A2398" s="80"/>
      <c r="B2398" s="81"/>
      <c r="C2398" s="82"/>
      <c r="D2398" s="80"/>
      <c r="E2398" s="81"/>
      <c r="F2398" s="82"/>
      <c r="G2398" s="83"/>
      <c r="H2398" s="89"/>
      <c r="I2398" s="76"/>
      <c r="J2398" s="84"/>
      <c r="K2398" s="78"/>
      <c r="L2398" s="88"/>
    </row>
    <row r="2399" ht="22.5" customHeight="1">
      <c r="A2399" s="80"/>
      <c r="B2399" s="81"/>
      <c r="C2399" s="82"/>
      <c r="D2399" s="80"/>
      <c r="E2399" s="81"/>
      <c r="F2399" s="82"/>
      <c r="G2399" s="83"/>
      <c r="H2399" s="89"/>
      <c r="I2399" s="76"/>
      <c r="J2399" s="84"/>
      <c r="K2399" s="78"/>
      <c r="L2399" s="88"/>
    </row>
    <row r="2400" ht="22.5" customHeight="1">
      <c r="A2400" s="80"/>
      <c r="B2400" s="81"/>
      <c r="C2400" s="82"/>
      <c r="D2400" s="80"/>
      <c r="E2400" s="81"/>
      <c r="F2400" s="82"/>
      <c r="G2400" s="83"/>
      <c r="H2400" s="89"/>
      <c r="I2400" s="76"/>
      <c r="J2400" s="84"/>
      <c r="K2400" s="78"/>
      <c r="L2400" s="88"/>
    </row>
    <row r="2401" ht="22.5" customHeight="1">
      <c r="A2401" s="80"/>
      <c r="B2401" s="81"/>
      <c r="C2401" s="82"/>
      <c r="D2401" s="80"/>
      <c r="E2401" s="81"/>
      <c r="F2401" s="82"/>
      <c r="G2401" s="83"/>
      <c r="H2401" s="89"/>
      <c r="I2401" s="76"/>
      <c r="J2401" s="84"/>
      <c r="K2401" s="78"/>
      <c r="L2401" s="88"/>
    </row>
    <row r="2402" ht="22.5" customHeight="1">
      <c r="A2402" s="80"/>
      <c r="B2402" s="81"/>
      <c r="C2402" s="82"/>
      <c r="D2402" s="80"/>
      <c r="E2402" s="81"/>
      <c r="F2402" s="82"/>
      <c r="G2402" s="83"/>
      <c r="H2402" s="89"/>
      <c r="I2402" s="76"/>
      <c r="J2402" s="84"/>
      <c r="K2402" s="78"/>
      <c r="L2402" s="88"/>
    </row>
    <row r="2403" ht="22.5" customHeight="1">
      <c r="A2403" s="80"/>
      <c r="B2403" s="81"/>
      <c r="C2403" s="82"/>
      <c r="D2403" s="80"/>
      <c r="E2403" s="81"/>
      <c r="F2403" s="82"/>
      <c r="G2403" s="83"/>
      <c r="H2403" s="89"/>
      <c r="I2403" s="76"/>
      <c r="J2403" s="84"/>
      <c r="K2403" s="78"/>
      <c r="L2403" s="88"/>
    </row>
    <row r="2404" ht="22.5" customHeight="1">
      <c r="A2404" s="80"/>
      <c r="B2404" s="81"/>
      <c r="C2404" s="82"/>
      <c r="D2404" s="80"/>
      <c r="E2404" s="81"/>
      <c r="F2404" s="82"/>
      <c r="G2404" s="83"/>
      <c r="H2404" s="89"/>
      <c r="I2404" s="76"/>
      <c r="J2404" s="84"/>
      <c r="K2404" s="78"/>
      <c r="L2404" s="88"/>
    </row>
    <row r="2405" ht="22.5" customHeight="1">
      <c r="A2405" s="80"/>
      <c r="B2405" s="81"/>
      <c r="C2405" s="82"/>
      <c r="D2405" s="80"/>
      <c r="E2405" s="81"/>
      <c r="F2405" s="82"/>
      <c r="G2405" s="83"/>
      <c r="H2405" s="89"/>
      <c r="I2405" s="76"/>
      <c r="J2405" s="84"/>
      <c r="K2405" s="78"/>
      <c r="L2405" s="88"/>
    </row>
    <row r="2406" ht="22.5" customHeight="1">
      <c r="A2406" s="80"/>
      <c r="B2406" s="81"/>
      <c r="C2406" s="82"/>
      <c r="D2406" s="80"/>
      <c r="E2406" s="81"/>
      <c r="F2406" s="82"/>
      <c r="G2406" s="83"/>
      <c r="H2406" s="89"/>
      <c r="I2406" s="76"/>
      <c r="J2406" s="84"/>
      <c r="K2406" s="78"/>
      <c r="L2406" s="88"/>
    </row>
    <row r="2407" ht="22.5" customHeight="1">
      <c r="A2407" s="80"/>
      <c r="B2407" s="81"/>
      <c r="C2407" s="82"/>
      <c r="D2407" s="80"/>
      <c r="E2407" s="81"/>
      <c r="F2407" s="82"/>
      <c r="G2407" s="83"/>
      <c r="H2407" s="89"/>
      <c r="I2407" s="76"/>
      <c r="J2407" s="84"/>
      <c r="K2407" s="78"/>
      <c r="L2407" s="88"/>
    </row>
    <row r="2408" ht="22.5" customHeight="1">
      <c r="A2408" s="80"/>
      <c r="B2408" s="81"/>
      <c r="C2408" s="82"/>
      <c r="D2408" s="80"/>
      <c r="E2408" s="81"/>
      <c r="F2408" s="82"/>
      <c r="G2408" s="83"/>
      <c r="H2408" s="89"/>
      <c r="I2408" s="76"/>
      <c r="J2408" s="84"/>
      <c r="K2408" s="78"/>
      <c r="L2408" s="88"/>
    </row>
    <row r="2409" ht="22.5" customHeight="1">
      <c r="A2409" s="80"/>
      <c r="B2409" s="81"/>
      <c r="C2409" s="82"/>
      <c r="D2409" s="80"/>
      <c r="E2409" s="81"/>
      <c r="F2409" s="82"/>
      <c r="G2409" s="83"/>
      <c r="H2409" s="89"/>
      <c r="I2409" s="76"/>
      <c r="J2409" s="84"/>
      <c r="K2409" s="78"/>
      <c r="L2409" s="88"/>
    </row>
    <row r="2410" ht="22.5" customHeight="1">
      <c r="A2410" s="80"/>
      <c r="B2410" s="81"/>
      <c r="C2410" s="82"/>
      <c r="D2410" s="80"/>
      <c r="E2410" s="81"/>
      <c r="F2410" s="82"/>
      <c r="G2410" s="83"/>
      <c r="H2410" s="89"/>
      <c r="I2410" s="76"/>
      <c r="J2410" s="84"/>
      <c r="K2410" s="78"/>
      <c r="L2410" s="88"/>
    </row>
    <row r="2411" ht="22.5" customHeight="1">
      <c r="A2411" s="80"/>
      <c r="B2411" s="81"/>
      <c r="C2411" s="82"/>
      <c r="D2411" s="80"/>
      <c r="E2411" s="81"/>
      <c r="F2411" s="82"/>
      <c r="G2411" s="83"/>
      <c r="H2411" s="89"/>
      <c r="I2411" s="76"/>
      <c r="J2411" s="84"/>
      <c r="K2411" s="78"/>
      <c r="L2411" s="88"/>
    </row>
    <row r="2412" ht="22.5" customHeight="1">
      <c r="A2412" s="80"/>
      <c r="B2412" s="81"/>
      <c r="C2412" s="82"/>
      <c r="D2412" s="80"/>
      <c r="E2412" s="81"/>
      <c r="F2412" s="82"/>
      <c r="G2412" s="83"/>
      <c r="H2412" s="89"/>
      <c r="I2412" s="76"/>
      <c r="J2412" s="84"/>
      <c r="K2412" s="78"/>
      <c r="L2412" s="88"/>
    </row>
    <row r="2413" ht="22.5" customHeight="1">
      <c r="A2413" s="80"/>
      <c r="B2413" s="81"/>
      <c r="C2413" s="82"/>
      <c r="D2413" s="80"/>
      <c r="E2413" s="81"/>
      <c r="F2413" s="82"/>
      <c r="G2413" s="83"/>
      <c r="H2413" s="89"/>
      <c r="I2413" s="76"/>
      <c r="J2413" s="84"/>
      <c r="K2413" s="78"/>
      <c r="L2413" s="88"/>
    </row>
    <row r="2414" ht="22.5" customHeight="1">
      <c r="A2414" s="80"/>
      <c r="B2414" s="81"/>
      <c r="C2414" s="82"/>
      <c r="D2414" s="80"/>
      <c r="E2414" s="81"/>
      <c r="F2414" s="82"/>
      <c r="G2414" s="83"/>
      <c r="H2414" s="89"/>
      <c r="I2414" s="76"/>
      <c r="J2414" s="84"/>
      <c r="K2414" s="78"/>
      <c r="L2414" s="88"/>
    </row>
    <row r="2415" ht="22.5" customHeight="1">
      <c r="A2415" s="80"/>
      <c r="B2415" s="81"/>
      <c r="C2415" s="82"/>
      <c r="D2415" s="80"/>
      <c r="E2415" s="81"/>
      <c r="F2415" s="82"/>
      <c r="G2415" s="83"/>
      <c r="H2415" s="89"/>
      <c r="I2415" s="76"/>
      <c r="J2415" s="84"/>
      <c r="K2415" s="78"/>
      <c r="L2415" s="88"/>
    </row>
    <row r="2416" ht="22.5" customHeight="1">
      <c r="A2416" s="80"/>
      <c r="B2416" s="81"/>
      <c r="C2416" s="82"/>
      <c r="D2416" s="80"/>
      <c r="E2416" s="81"/>
      <c r="F2416" s="82"/>
      <c r="G2416" s="83"/>
      <c r="H2416" s="89"/>
      <c r="I2416" s="76"/>
      <c r="J2416" s="84"/>
      <c r="K2416" s="78"/>
      <c r="L2416" s="88"/>
    </row>
    <row r="2417" ht="22.5" customHeight="1">
      <c r="A2417" s="80"/>
      <c r="B2417" s="81"/>
      <c r="C2417" s="82"/>
      <c r="D2417" s="80"/>
      <c r="E2417" s="81"/>
      <c r="F2417" s="82"/>
      <c r="G2417" s="83"/>
      <c r="H2417" s="89"/>
      <c r="I2417" s="76"/>
      <c r="J2417" s="84"/>
      <c r="K2417" s="78"/>
      <c r="L2417" s="88"/>
    </row>
    <row r="2418" ht="22.5" customHeight="1">
      <c r="A2418" s="80"/>
      <c r="B2418" s="81"/>
      <c r="C2418" s="82"/>
      <c r="D2418" s="80"/>
      <c r="E2418" s="81"/>
      <c r="F2418" s="82"/>
      <c r="G2418" s="83"/>
      <c r="H2418" s="89"/>
      <c r="I2418" s="76"/>
      <c r="J2418" s="84"/>
      <c r="K2418" s="78"/>
      <c r="L2418" s="88"/>
    </row>
    <row r="2419" ht="22.5" customHeight="1">
      <c r="A2419" s="80"/>
      <c r="B2419" s="81"/>
      <c r="C2419" s="82"/>
      <c r="D2419" s="80"/>
      <c r="E2419" s="81"/>
      <c r="F2419" s="82"/>
      <c r="G2419" s="83"/>
      <c r="H2419" s="89"/>
      <c r="I2419" s="76"/>
      <c r="J2419" s="84"/>
      <c r="K2419" s="78"/>
      <c r="L2419" s="88"/>
    </row>
    <row r="2420" ht="22.5" customHeight="1">
      <c r="A2420" s="80"/>
      <c r="B2420" s="81"/>
      <c r="C2420" s="82"/>
      <c r="D2420" s="80"/>
      <c r="E2420" s="81"/>
      <c r="F2420" s="82"/>
      <c r="G2420" s="83"/>
      <c r="H2420" s="89"/>
      <c r="I2420" s="76"/>
      <c r="J2420" s="84"/>
      <c r="K2420" s="78"/>
      <c r="L2420" s="88"/>
    </row>
    <row r="2421" ht="22.5" customHeight="1">
      <c r="A2421" s="80"/>
      <c r="B2421" s="81"/>
      <c r="C2421" s="82"/>
      <c r="D2421" s="80"/>
      <c r="E2421" s="81"/>
      <c r="F2421" s="82"/>
      <c r="G2421" s="83"/>
      <c r="H2421" s="89"/>
      <c r="I2421" s="76"/>
      <c r="J2421" s="84"/>
      <c r="K2421" s="78"/>
      <c r="L2421" s="88"/>
    </row>
    <row r="2422" ht="22.5" customHeight="1">
      <c r="A2422" s="80"/>
      <c r="B2422" s="81"/>
      <c r="C2422" s="82"/>
      <c r="D2422" s="80"/>
      <c r="E2422" s="81"/>
      <c r="F2422" s="82"/>
      <c r="G2422" s="83"/>
      <c r="H2422" s="89"/>
      <c r="I2422" s="76"/>
      <c r="J2422" s="84"/>
      <c r="K2422" s="78"/>
      <c r="L2422" s="88"/>
    </row>
    <row r="2423" ht="22.5" customHeight="1">
      <c r="A2423" s="80"/>
      <c r="B2423" s="81"/>
      <c r="C2423" s="82"/>
      <c r="D2423" s="80"/>
      <c r="E2423" s="81"/>
      <c r="F2423" s="82"/>
      <c r="G2423" s="83"/>
      <c r="H2423" s="89"/>
      <c r="I2423" s="76"/>
      <c r="J2423" s="84"/>
      <c r="K2423" s="78"/>
      <c r="L2423" s="88"/>
    </row>
    <row r="2424" ht="22.5" customHeight="1">
      <c r="A2424" s="80"/>
      <c r="B2424" s="81"/>
      <c r="C2424" s="82"/>
      <c r="D2424" s="80"/>
      <c r="E2424" s="81"/>
      <c r="F2424" s="82"/>
      <c r="G2424" s="83"/>
      <c r="H2424" s="89"/>
      <c r="I2424" s="76"/>
      <c r="J2424" s="84"/>
      <c r="K2424" s="78"/>
      <c r="L2424" s="88"/>
    </row>
    <row r="2425" ht="22.5" customHeight="1">
      <c r="A2425" s="80"/>
      <c r="B2425" s="81"/>
      <c r="C2425" s="82"/>
      <c r="D2425" s="80"/>
      <c r="E2425" s="81"/>
      <c r="F2425" s="82"/>
      <c r="G2425" s="83"/>
      <c r="H2425" s="89"/>
      <c r="I2425" s="76"/>
      <c r="J2425" s="84"/>
      <c r="K2425" s="78"/>
      <c r="L2425" s="88"/>
    </row>
    <row r="2426" ht="22.5" customHeight="1">
      <c r="A2426" s="80"/>
      <c r="B2426" s="81"/>
      <c r="C2426" s="82"/>
      <c r="D2426" s="80"/>
      <c r="E2426" s="81"/>
      <c r="F2426" s="82"/>
      <c r="G2426" s="83"/>
      <c r="H2426" s="89"/>
      <c r="I2426" s="76"/>
      <c r="J2426" s="84"/>
      <c r="K2426" s="78"/>
      <c r="L2426" s="88"/>
    </row>
    <row r="2427" ht="22.5" customHeight="1">
      <c r="A2427" s="80"/>
      <c r="B2427" s="81"/>
      <c r="C2427" s="82"/>
      <c r="D2427" s="80"/>
      <c r="E2427" s="81"/>
      <c r="F2427" s="82"/>
      <c r="G2427" s="83"/>
      <c r="H2427" s="89"/>
      <c r="I2427" s="76"/>
      <c r="J2427" s="84"/>
      <c r="K2427" s="78"/>
      <c r="L2427" s="88"/>
    </row>
    <row r="2428" ht="22.5" customHeight="1">
      <c r="A2428" s="80"/>
      <c r="B2428" s="81"/>
      <c r="C2428" s="82"/>
      <c r="D2428" s="80"/>
      <c r="E2428" s="81"/>
      <c r="F2428" s="82"/>
      <c r="G2428" s="83"/>
      <c r="H2428" s="89"/>
      <c r="I2428" s="76"/>
      <c r="J2428" s="84"/>
      <c r="K2428" s="78"/>
      <c r="L2428" s="88"/>
    </row>
    <row r="2429" ht="22.5" customHeight="1">
      <c r="A2429" s="80"/>
      <c r="B2429" s="81"/>
      <c r="C2429" s="82"/>
      <c r="D2429" s="80"/>
      <c r="E2429" s="81"/>
      <c r="F2429" s="82"/>
      <c r="G2429" s="83"/>
      <c r="H2429" s="89"/>
      <c r="I2429" s="76"/>
      <c r="J2429" s="84"/>
      <c r="K2429" s="78"/>
      <c r="L2429" s="88"/>
    </row>
    <row r="2430" ht="22.5" customHeight="1">
      <c r="A2430" s="80"/>
      <c r="B2430" s="81"/>
      <c r="C2430" s="82"/>
      <c r="D2430" s="80"/>
      <c r="E2430" s="81"/>
      <c r="F2430" s="82"/>
      <c r="G2430" s="83"/>
      <c r="H2430" s="89"/>
      <c r="I2430" s="76"/>
      <c r="J2430" s="84"/>
      <c r="K2430" s="78"/>
      <c r="L2430" s="88"/>
    </row>
    <row r="2431" ht="22.5" customHeight="1">
      <c r="A2431" s="80"/>
      <c r="B2431" s="81"/>
      <c r="C2431" s="82"/>
      <c r="D2431" s="80"/>
      <c r="E2431" s="81"/>
      <c r="F2431" s="82"/>
      <c r="G2431" s="83"/>
      <c r="H2431" s="89"/>
      <c r="I2431" s="76"/>
      <c r="J2431" s="84"/>
      <c r="K2431" s="78"/>
      <c r="L2431" s="88"/>
    </row>
    <row r="2432" ht="22.5" customHeight="1">
      <c r="A2432" s="80"/>
      <c r="B2432" s="81"/>
      <c r="C2432" s="82"/>
      <c r="D2432" s="80"/>
      <c r="E2432" s="81"/>
      <c r="F2432" s="82"/>
      <c r="G2432" s="83"/>
      <c r="H2432" s="89"/>
      <c r="I2432" s="76"/>
      <c r="J2432" s="84"/>
      <c r="K2432" s="78"/>
      <c r="L2432" s="88"/>
    </row>
    <row r="2433" ht="22.5" customHeight="1">
      <c r="A2433" s="80"/>
      <c r="B2433" s="81"/>
      <c r="C2433" s="82"/>
      <c r="D2433" s="80"/>
      <c r="E2433" s="81"/>
      <c r="F2433" s="82"/>
      <c r="G2433" s="83"/>
      <c r="H2433" s="89"/>
      <c r="I2433" s="76"/>
      <c r="J2433" s="84"/>
      <c r="K2433" s="78"/>
      <c r="L2433" s="88"/>
    </row>
    <row r="2434" ht="22.5" customHeight="1">
      <c r="A2434" s="80"/>
      <c r="B2434" s="81"/>
      <c r="C2434" s="82"/>
      <c r="D2434" s="80"/>
      <c r="E2434" s="81"/>
      <c r="F2434" s="82"/>
      <c r="G2434" s="83"/>
      <c r="H2434" s="89"/>
      <c r="I2434" s="76"/>
      <c r="J2434" s="84"/>
      <c r="K2434" s="78"/>
      <c r="L2434" s="88"/>
    </row>
    <row r="2435" ht="22.5" customHeight="1">
      <c r="A2435" s="80"/>
      <c r="B2435" s="81"/>
      <c r="C2435" s="82"/>
      <c r="D2435" s="80"/>
      <c r="E2435" s="81"/>
      <c r="F2435" s="82"/>
      <c r="G2435" s="83"/>
      <c r="H2435" s="89"/>
      <c r="I2435" s="76"/>
      <c r="J2435" s="84"/>
      <c r="K2435" s="78"/>
      <c r="L2435" s="88"/>
    </row>
    <row r="2436" ht="22.5" customHeight="1">
      <c r="A2436" s="80"/>
      <c r="B2436" s="81"/>
      <c r="C2436" s="82"/>
      <c r="D2436" s="80"/>
      <c r="E2436" s="81"/>
      <c r="F2436" s="82"/>
      <c r="G2436" s="83"/>
      <c r="H2436" s="89"/>
      <c r="I2436" s="76"/>
      <c r="J2436" s="84"/>
      <c r="K2436" s="78"/>
      <c r="L2436" s="88"/>
    </row>
    <row r="2437" ht="22.5" customHeight="1">
      <c r="A2437" s="80"/>
      <c r="B2437" s="81"/>
      <c r="C2437" s="82"/>
      <c r="D2437" s="80"/>
      <c r="E2437" s="81"/>
      <c r="F2437" s="82"/>
      <c r="G2437" s="83"/>
      <c r="H2437" s="89"/>
      <c r="I2437" s="76"/>
      <c r="J2437" s="84"/>
      <c r="K2437" s="78"/>
      <c r="L2437" s="88"/>
    </row>
    <row r="2438" ht="22.5" customHeight="1">
      <c r="A2438" s="80"/>
      <c r="B2438" s="81"/>
      <c r="C2438" s="82"/>
      <c r="D2438" s="80"/>
      <c r="E2438" s="81"/>
      <c r="F2438" s="82"/>
      <c r="G2438" s="83"/>
      <c r="H2438" s="89"/>
      <c r="I2438" s="76"/>
      <c r="J2438" s="84"/>
      <c r="K2438" s="78"/>
      <c r="L2438" s="88"/>
    </row>
    <row r="2439" ht="22.5" customHeight="1">
      <c r="A2439" s="80"/>
      <c r="B2439" s="81"/>
      <c r="C2439" s="82"/>
      <c r="D2439" s="80"/>
      <c r="E2439" s="81"/>
      <c r="F2439" s="82"/>
      <c r="G2439" s="83"/>
      <c r="H2439" s="89"/>
      <c r="I2439" s="76"/>
      <c r="J2439" s="84"/>
      <c r="K2439" s="78"/>
      <c r="L2439" s="88"/>
    </row>
    <row r="2440" ht="22.5" customHeight="1">
      <c r="A2440" s="80"/>
      <c r="B2440" s="81"/>
      <c r="C2440" s="82"/>
      <c r="D2440" s="80"/>
      <c r="E2440" s="81"/>
      <c r="F2440" s="82"/>
      <c r="G2440" s="83"/>
      <c r="H2440" s="89"/>
      <c r="I2440" s="76"/>
      <c r="J2440" s="84"/>
      <c r="K2440" s="78"/>
      <c r="L2440" s="88"/>
    </row>
    <row r="2441" ht="22.5" customHeight="1">
      <c r="A2441" s="80"/>
      <c r="B2441" s="81"/>
      <c r="C2441" s="82"/>
      <c r="D2441" s="80"/>
      <c r="E2441" s="81"/>
      <c r="F2441" s="82"/>
      <c r="G2441" s="83"/>
      <c r="H2441" s="89"/>
      <c r="I2441" s="76"/>
      <c r="J2441" s="84"/>
      <c r="K2441" s="78"/>
      <c r="L2441" s="88"/>
    </row>
    <row r="2442" ht="22.5" customHeight="1">
      <c r="A2442" s="80"/>
      <c r="B2442" s="81"/>
      <c r="C2442" s="82"/>
      <c r="D2442" s="80"/>
      <c r="E2442" s="81"/>
      <c r="F2442" s="82"/>
      <c r="G2442" s="83"/>
      <c r="H2442" s="89"/>
      <c r="I2442" s="76"/>
      <c r="J2442" s="84"/>
      <c r="K2442" s="78"/>
      <c r="L2442" s="88"/>
    </row>
    <row r="2443" ht="22.5" customHeight="1">
      <c r="A2443" s="80"/>
      <c r="B2443" s="81"/>
      <c r="C2443" s="82"/>
      <c r="D2443" s="80"/>
      <c r="E2443" s="81"/>
      <c r="F2443" s="82"/>
      <c r="G2443" s="83"/>
      <c r="H2443" s="89"/>
      <c r="I2443" s="76"/>
      <c r="J2443" s="84"/>
      <c r="K2443" s="78"/>
      <c r="L2443" s="88"/>
    </row>
    <row r="2444" ht="22.5" customHeight="1">
      <c r="A2444" s="80"/>
      <c r="B2444" s="81"/>
      <c r="C2444" s="82"/>
      <c r="D2444" s="80"/>
      <c r="E2444" s="81"/>
      <c r="F2444" s="82"/>
      <c r="G2444" s="83"/>
      <c r="H2444" s="89"/>
      <c r="I2444" s="76"/>
      <c r="J2444" s="84"/>
      <c r="K2444" s="78"/>
      <c r="L2444" s="88"/>
    </row>
    <row r="2445" ht="22.5" customHeight="1">
      <c r="A2445" s="80"/>
      <c r="B2445" s="81"/>
      <c r="C2445" s="82"/>
      <c r="D2445" s="80"/>
      <c r="E2445" s="81"/>
      <c r="F2445" s="82"/>
      <c r="G2445" s="83"/>
      <c r="H2445" s="89"/>
      <c r="I2445" s="76"/>
      <c r="J2445" s="84"/>
      <c r="K2445" s="78"/>
      <c r="L2445" s="88"/>
    </row>
    <row r="2446" ht="22.5" customHeight="1">
      <c r="A2446" s="80"/>
      <c r="B2446" s="81"/>
      <c r="C2446" s="82"/>
      <c r="D2446" s="80"/>
      <c r="E2446" s="81"/>
      <c r="F2446" s="82"/>
      <c r="G2446" s="83"/>
      <c r="H2446" s="89"/>
      <c r="I2446" s="76"/>
      <c r="J2446" s="84"/>
      <c r="K2446" s="78"/>
      <c r="L2446" s="88"/>
    </row>
    <row r="2447" ht="22.5" customHeight="1">
      <c r="A2447" s="80"/>
      <c r="B2447" s="81"/>
      <c r="C2447" s="82"/>
      <c r="D2447" s="80"/>
      <c r="E2447" s="81"/>
      <c r="F2447" s="82"/>
      <c r="G2447" s="83"/>
      <c r="H2447" s="89"/>
      <c r="I2447" s="76"/>
      <c r="J2447" s="84"/>
      <c r="K2447" s="78"/>
      <c r="L2447" s="88"/>
    </row>
    <row r="2448" ht="22.5" customHeight="1">
      <c r="A2448" s="80"/>
      <c r="B2448" s="81"/>
      <c r="C2448" s="82"/>
      <c r="D2448" s="80"/>
      <c r="E2448" s="81"/>
      <c r="F2448" s="82"/>
      <c r="G2448" s="83"/>
      <c r="H2448" s="89"/>
      <c r="I2448" s="76"/>
      <c r="J2448" s="84"/>
      <c r="K2448" s="78"/>
      <c r="L2448" s="88"/>
    </row>
    <row r="2449" ht="22.5" customHeight="1">
      <c r="A2449" s="80"/>
      <c r="B2449" s="81"/>
      <c r="C2449" s="82"/>
      <c r="D2449" s="80"/>
      <c r="E2449" s="81"/>
      <c r="F2449" s="82"/>
      <c r="G2449" s="83"/>
      <c r="H2449" s="89"/>
      <c r="I2449" s="76"/>
      <c r="J2449" s="84"/>
      <c r="K2449" s="78"/>
      <c r="L2449" s="88"/>
    </row>
    <row r="2450" ht="22.5" customHeight="1">
      <c r="A2450" s="80"/>
      <c r="B2450" s="81"/>
      <c r="C2450" s="82"/>
      <c r="D2450" s="80"/>
      <c r="E2450" s="81"/>
      <c r="F2450" s="82"/>
      <c r="G2450" s="83"/>
      <c r="H2450" s="89"/>
      <c r="I2450" s="76"/>
      <c r="J2450" s="84"/>
      <c r="K2450" s="78"/>
      <c r="L2450" s="88"/>
    </row>
    <row r="2451" ht="22.5" customHeight="1">
      <c r="A2451" s="80"/>
      <c r="B2451" s="81"/>
      <c r="C2451" s="82"/>
      <c r="D2451" s="80"/>
      <c r="E2451" s="81"/>
      <c r="F2451" s="82"/>
      <c r="G2451" s="83"/>
      <c r="H2451" s="89"/>
      <c r="I2451" s="76"/>
      <c r="J2451" s="84"/>
      <c r="K2451" s="78"/>
      <c r="L2451" s="88"/>
    </row>
    <row r="2452" ht="22.5" customHeight="1">
      <c r="A2452" s="80"/>
      <c r="B2452" s="81"/>
      <c r="C2452" s="82"/>
      <c r="D2452" s="80"/>
      <c r="E2452" s="81"/>
      <c r="F2452" s="82"/>
      <c r="G2452" s="83"/>
      <c r="H2452" s="89"/>
      <c r="I2452" s="76"/>
      <c r="J2452" s="84"/>
      <c r="K2452" s="78"/>
      <c r="L2452" s="88"/>
    </row>
    <row r="2453" ht="22.5" customHeight="1">
      <c r="A2453" s="80"/>
      <c r="B2453" s="81"/>
      <c r="C2453" s="82"/>
      <c r="D2453" s="80"/>
      <c r="E2453" s="81"/>
      <c r="F2453" s="82"/>
      <c r="G2453" s="83"/>
      <c r="H2453" s="89"/>
      <c r="I2453" s="76"/>
      <c r="J2453" s="84"/>
      <c r="K2453" s="78"/>
      <c r="L2453" s="88"/>
    </row>
    <row r="2454" ht="22.5" customHeight="1">
      <c r="A2454" s="80"/>
      <c r="B2454" s="81"/>
      <c r="C2454" s="82"/>
      <c r="D2454" s="80"/>
      <c r="E2454" s="81"/>
      <c r="F2454" s="82"/>
      <c r="G2454" s="83"/>
      <c r="H2454" s="89"/>
      <c r="I2454" s="76"/>
      <c r="J2454" s="84"/>
      <c r="K2454" s="78"/>
      <c r="L2454" s="88"/>
    </row>
    <row r="2455" ht="22.5" customHeight="1">
      <c r="A2455" s="80"/>
      <c r="B2455" s="81"/>
      <c r="C2455" s="82"/>
      <c r="D2455" s="80"/>
      <c r="E2455" s="81"/>
      <c r="F2455" s="82"/>
      <c r="G2455" s="83"/>
      <c r="H2455" s="89"/>
      <c r="I2455" s="76"/>
      <c r="J2455" s="84"/>
      <c r="K2455" s="78"/>
      <c r="L2455" s="88"/>
    </row>
    <row r="2456" ht="22.5" customHeight="1">
      <c r="A2456" s="80"/>
      <c r="B2456" s="81"/>
      <c r="C2456" s="82"/>
      <c r="D2456" s="80"/>
      <c r="E2456" s="81"/>
      <c r="F2456" s="82"/>
      <c r="G2456" s="83"/>
      <c r="H2456" s="89"/>
      <c r="I2456" s="76"/>
      <c r="J2456" s="84"/>
      <c r="K2456" s="78"/>
      <c r="L2456" s="88"/>
    </row>
    <row r="2457" ht="22.5" customHeight="1">
      <c r="A2457" s="80"/>
      <c r="B2457" s="81"/>
      <c r="C2457" s="82"/>
      <c r="D2457" s="80"/>
      <c r="E2457" s="81"/>
      <c r="F2457" s="82"/>
      <c r="G2457" s="83"/>
      <c r="H2457" s="89"/>
      <c r="I2457" s="76"/>
      <c r="J2457" s="84"/>
      <c r="K2457" s="78"/>
      <c r="L2457" s="88"/>
    </row>
    <row r="2458" ht="22.5" customHeight="1">
      <c r="A2458" s="80"/>
      <c r="B2458" s="81"/>
      <c r="C2458" s="82"/>
      <c r="D2458" s="80"/>
      <c r="E2458" s="81"/>
      <c r="F2458" s="82"/>
      <c r="G2458" s="83"/>
      <c r="H2458" s="89"/>
      <c r="I2458" s="76"/>
      <c r="J2458" s="84"/>
      <c r="K2458" s="78"/>
      <c r="L2458" s="88"/>
    </row>
    <row r="2459" ht="22.5" customHeight="1">
      <c r="A2459" s="80"/>
      <c r="B2459" s="81"/>
      <c r="C2459" s="82"/>
      <c r="D2459" s="80"/>
      <c r="E2459" s="81"/>
      <c r="F2459" s="82"/>
      <c r="G2459" s="83"/>
      <c r="H2459" s="89"/>
      <c r="I2459" s="76"/>
      <c r="J2459" s="84"/>
      <c r="K2459" s="78"/>
      <c r="L2459" s="88"/>
    </row>
    <row r="2460" ht="22.5" customHeight="1">
      <c r="A2460" s="80"/>
      <c r="B2460" s="81"/>
      <c r="C2460" s="82"/>
      <c r="D2460" s="80"/>
      <c r="E2460" s="81"/>
      <c r="F2460" s="82"/>
      <c r="G2460" s="83"/>
      <c r="H2460" s="89"/>
      <c r="I2460" s="76"/>
      <c r="J2460" s="84"/>
      <c r="K2460" s="78"/>
      <c r="L2460" s="88"/>
    </row>
    <row r="2461" ht="22.5" customHeight="1">
      <c r="A2461" s="80"/>
      <c r="B2461" s="81"/>
      <c r="C2461" s="82"/>
      <c r="D2461" s="80"/>
      <c r="E2461" s="81"/>
      <c r="F2461" s="82"/>
      <c r="G2461" s="83"/>
      <c r="H2461" s="89"/>
      <c r="I2461" s="76"/>
      <c r="J2461" s="84"/>
      <c r="K2461" s="78"/>
      <c r="L2461" s="88"/>
    </row>
    <row r="2462" ht="22.5" customHeight="1">
      <c r="A2462" s="80"/>
      <c r="B2462" s="81"/>
      <c r="C2462" s="82"/>
      <c r="D2462" s="80"/>
      <c r="E2462" s="81"/>
      <c r="F2462" s="82"/>
      <c r="G2462" s="83"/>
      <c r="H2462" s="89"/>
      <c r="I2462" s="76"/>
      <c r="J2462" s="84"/>
      <c r="K2462" s="78"/>
      <c r="L2462" s="88"/>
    </row>
    <row r="2463" ht="22.5" customHeight="1">
      <c r="A2463" s="80"/>
      <c r="B2463" s="81"/>
      <c r="C2463" s="82"/>
      <c r="D2463" s="80"/>
      <c r="E2463" s="81"/>
      <c r="F2463" s="82"/>
      <c r="G2463" s="83"/>
      <c r="H2463" s="89"/>
      <c r="I2463" s="76"/>
      <c r="J2463" s="84"/>
      <c r="K2463" s="78"/>
      <c r="L2463" s="88"/>
    </row>
    <row r="2464" ht="22.5" customHeight="1">
      <c r="A2464" s="80"/>
      <c r="B2464" s="81"/>
      <c r="C2464" s="82"/>
      <c r="D2464" s="80"/>
      <c r="E2464" s="81"/>
      <c r="F2464" s="82"/>
      <c r="G2464" s="83"/>
      <c r="H2464" s="89"/>
      <c r="I2464" s="76"/>
      <c r="J2464" s="84"/>
      <c r="K2464" s="78"/>
      <c r="L2464" s="88"/>
    </row>
    <row r="2465" ht="22.5" customHeight="1">
      <c r="A2465" s="80"/>
      <c r="B2465" s="81"/>
      <c r="C2465" s="82"/>
      <c r="D2465" s="80"/>
      <c r="E2465" s="81"/>
      <c r="F2465" s="82"/>
      <c r="G2465" s="83"/>
      <c r="H2465" s="89"/>
      <c r="I2465" s="76"/>
      <c r="J2465" s="84"/>
      <c r="K2465" s="78"/>
      <c r="L2465" s="88"/>
    </row>
    <row r="2466" ht="22.5" customHeight="1">
      <c r="A2466" s="80"/>
      <c r="B2466" s="81"/>
      <c r="C2466" s="82"/>
      <c r="D2466" s="80"/>
      <c r="E2466" s="81"/>
      <c r="F2466" s="82"/>
      <c r="G2466" s="83"/>
      <c r="H2466" s="89"/>
      <c r="I2466" s="76"/>
      <c r="J2466" s="84"/>
      <c r="K2466" s="78"/>
      <c r="L2466" s="88"/>
    </row>
    <row r="2467" ht="22.5" customHeight="1">
      <c r="A2467" s="80"/>
      <c r="B2467" s="81"/>
      <c r="C2467" s="82"/>
      <c r="D2467" s="80"/>
      <c r="E2467" s="81"/>
      <c r="F2467" s="82"/>
      <c r="G2467" s="83"/>
      <c r="H2467" s="89"/>
      <c r="I2467" s="76"/>
      <c r="J2467" s="84"/>
      <c r="K2467" s="78"/>
      <c r="L2467" s="88"/>
    </row>
    <row r="2468" ht="22.5" customHeight="1">
      <c r="A2468" s="80"/>
      <c r="B2468" s="81"/>
      <c r="C2468" s="82"/>
      <c r="D2468" s="80"/>
      <c r="E2468" s="81"/>
      <c r="F2468" s="82"/>
      <c r="G2468" s="83"/>
      <c r="H2468" s="89"/>
      <c r="I2468" s="76"/>
      <c r="J2468" s="84"/>
      <c r="K2468" s="78"/>
      <c r="L2468" s="88"/>
    </row>
    <row r="2469" ht="22.5" customHeight="1">
      <c r="A2469" s="80"/>
      <c r="B2469" s="81"/>
      <c r="C2469" s="82"/>
      <c r="D2469" s="80"/>
      <c r="E2469" s="81"/>
      <c r="F2469" s="82"/>
      <c r="G2469" s="83"/>
      <c r="H2469" s="89"/>
      <c r="I2469" s="76"/>
      <c r="J2469" s="84"/>
      <c r="K2469" s="78"/>
      <c r="L2469" s="88"/>
    </row>
    <row r="2470" ht="22.5" customHeight="1">
      <c r="A2470" s="80"/>
      <c r="B2470" s="81"/>
      <c r="C2470" s="82"/>
      <c r="D2470" s="80"/>
      <c r="E2470" s="81"/>
      <c r="F2470" s="82"/>
      <c r="G2470" s="83"/>
      <c r="H2470" s="89"/>
      <c r="I2470" s="76"/>
      <c r="J2470" s="84"/>
      <c r="K2470" s="78"/>
      <c r="L2470" s="88"/>
    </row>
    <row r="2471" ht="22.5" customHeight="1">
      <c r="A2471" s="80"/>
      <c r="B2471" s="81"/>
      <c r="C2471" s="82"/>
      <c r="D2471" s="80"/>
      <c r="E2471" s="81"/>
      <c r="F2471" s="82"/>
      <c r="G2471" s="83"/>
      <c r="H2471" s="89"/>
      <c r="I2471" s="76"/>
      <c r="J2471" s="84"/>
      <c r="K2471" s="78"/>
      <c r="L2471" s="88"/>
    </row>
    <row r="2472" ht="22.5" customHeight="1">
      <c r="A2472" s="80"/>
      <c r="B2472" s="81"/>
      <c r="C2472" s="82"/>
      <c r="D2472" s="80"/>
      <c r="E2472" s="81"/>
      <c r="F2472" s="82"/>
      <c r="G2472" s="83"/>
      <c r="H2472" s="89"/>
      <c r="I2472" s="76"/>
      <c r="J2472" s="84"/>
      <c r="K2472" s="78"/>
      <c r="L2472" s="88"/>
    </row>
    <row r="2473" ht="22.5" customHeight="1">
      <c r="A2473" s="80"/>
      <c r="B2473" s="81"/>
      <c r="C2473" s="82"/>
      <c r="D2473" s="80"/>
      <c r="E2473" s="81"/>
      <c r="F2473" s="82"/>
      <c r="G2473" s="83"/>
      <c r="H2473" s="89"/>
      <c r="I2473" s="76"/>
      <c r="J2473" s="84"/>
      <c r="K2473" s="78"/>
      <c r="L2473" s="88"/>
    </row>
    <row r="2474" ht="22.5" customHeight="1">
      <c r="A2474" s="80"/>
      <c r="B2474" s="81"/>
      <c r="C2474" s="82"/>
      <c r="D2474" s="80"/>
      <c r="E2474" s="81"/>
      <c r="F2474" s="82"/>
      <c r="G2474" s="83"/>
      <c r="H2474" s="89"/>
      <c r="I2474" s="76"/>
      <c r="J2474" s="84"/>
      <c r="K2474" s="78"/>
      <c r="L2474" s="88"/>
    </row>
    <row r="2475" ht="22.5" customHeight="1">
      <c r="A2475" s="80"/>
      <c r="B2475" s="81"/>
      <c r="C2475" s="82"/>
      <c r="D2475" s="80"/>
      <c r="E2475" s="81"/>
      <c r="F2475" s="82"/>
      <c r="G2475" s="83"/>
      <c r="H2475" s="89"/>
      <c r="I2475" s="76"/>
      <c r="J2475" s="84"/>
      <c r="K2475" s="78"/>
      <c r="L2475" s="88"/>
    </row>
    <row r="2476" ht="22.5" customHeight="1">
      <c r="A2476" s="80"/>
      <c r="B2476" s="81"/>
      <c r="C2476" s="82"/>
      <c r="D2476" s="80"/>
      <c r="E2476" s="81"/>
      <c r="F2476" s="82"/>
      <c r="G2476" s="83"/>
      <c r="H2476" s="89"/>
      <c r="I2476" s="76"/>
      <c r="J2476" s="84"/>
      <c r="K2476" s="78"/>
      <c r="L2476" s="88"/>
    </row>
    <row r="2477" ht="22.5" customHeight="1">
      <c r="A2477" s="80"/>
      <c r="B2477" s="81"/>
      <c r="C2477" s="82"/>
      <c r="D2477" s="80"/>
      <c r="E2477" s="81"/>
      <c r="F2477" s="82"/>
      <c r="G2477" s="83"/>
      <c r="H2477" s="89"/>
      <c r="I2477" s="76"/>
      <c r="J2477" s="84"/>
      <c r="K2477" s="78"/>
      <c r="L2477" s="88"/>
    </row>
    <row r="2478" ht="22.5" customHeight="1">
      <c r="A2478" s="80"/>
      <c r="B2478" s="81"/>
      <c r="C2478" s="82"/>
      <c r="D2478" s="80"/>
      <c r="E2478" s="81"/>
      <c r="F2478" s="82"/>
      <c r="G2478" s="83"/>
      <c r="H2478" s="89"/>
      <c r="I2478" s="76"/>
      <c r="J2478" s="84"/>
      <c r="K2478" s="78"/>
      <c r="L2478" s="88"/>
    </row>
    <row r="2479" ht="22.5" customHeight="1">
      <c r="A2479" s="80"/>
      <c r="B2479" s="81"/>
      <c r="C2479" s="82"/>
      <c r="D2479" s="80"/>
      <c r="E2479" s="81"/>
      <c r="F2479" s="82"/>
      <c r="G2479" s="83"/>
      <c r="H2479" s="89"/>
      <c r="I2479" s="76"/>
      <c r="J2479" s="84"/>
      <c r="K2479" s="78"/>
      <c r="L2479" s="88"/>
    </row>
    <row r="2480" ht="22.5" customHeight="1">
      <c r="A2480" s="80"/>
      <c r="B2480" s="81"/>
      <c r="C2480" s="82"/>
      <c r="D2480" s="80"/>
      <c r="E2480" s="81"/>
      <c r="F2480" s="82"/>
      <c r="G2480" s="83"/>
      <c r="H2480" s="89"/>
      <c r="I2480" s="76"/>
      <c r="J2480" s="84"/>
      <c r="K2480" s="78"/>
      <c r="L2480" s="88"/>
    </row>
    <row r="2481" ht="22.5" customHeight="1">
      <c r="A2481" s="80"/>
      <c r="B2481" s="81"/>
      <c r="C2481" s="82"/>
      <c r="D2481" s="80"/>
      <c r="E2481" s="81"/>
      <c r="F2481" s="82"/>
      <c r="G2481" s="83"/>
      <c r="H2481" s="89"/>
      <c r="I2481" s="76"/>
      <c r="J2481" s="84"/>
      <c r="K2481" s="78"/>
      <c r="L2481" s="88"/>
    </row>
    <row r="2482" ht="22.5" customHeight="1">
      <c r="A2482" s="80"/>
      <c r="B2482" s="81"/>
      <c r="C2482" s="82"/>
      <c r="D2482" s="80"/>
      <c r="E2482" s="81"/>
      <c r="F2482" s="82"/>
      <c r="G2482" s="83"/>
      <c r="H2482" s="89"/>
      <c r="I2482" s="76"/>
      <c r="J2482" s="84"/>
      <c r="K2482" s="78"/>
      <c r="L2482" s="88"/>
    </row>
    <row r="2483" ht="22.5" customHeight="1">
      <c r="A2483" s="80"/>
      <c r="B2483" s="81"/>
      <c r="C2483" s="82"/>
      <c r="D2483" s="80"/>
      <c r="E2483" s="81"/>
      <c r="F2483" s="82"/>
      <c r="G2483" s="83"/>
      <c r="H2483" s="89"/>
      <c r="I2483" s="76"/>
      <c r="J2483" s="84"/>
      <c r="K2483" s="78"/>
      <c r="L2483" s="88"/>
    </row>
    <row r="2484" ht="22.5" customHeight="1">
      <c r="A2484" s="80"/>
      <c r="B2484" s="81"/>
      <c r="C2484" s="82"/>
      <c r="D2484" s="80"/>
      <c r="E2484" s="81"/>
      <c r="F2484" s="82"/>
      <c r="G2484" s="83"/>
      <c r="H2484" s="89"/>
      <c r="I2484" s="76"/>
      <c r="J2484" s="84"/>
      <c r="K2484" s="78"/>
      <c r="L2484" s="88"/>
    </row>
    <row r="2485" ht="22.5" customHeight="1">
      <c r="A2485" s="80"/>
      <c r="B2485" s="81"/>
      <c r="C2485" s="82"/>
      <c r="D2485" s="80"/>
      <c r="E2485" s="81"/>
      <c r="F2485" s="82"/>
      <c r="G2485" s="83"/>
      <c r="H2485" s="89"/>
      <c r="I2485" s="76"/>
      <c r="J2485" s="84"/>
      <c r="K2485" s="78"/>
      <c r="L2485" s="88"/>
    </row>
    <row r="2486" ht="22.5" customHeight="1">
      <c r="A2486" s="80"/>
      <c r="B2486" s="81"/>
      <c r="C2486" s="82"/>
      <c r="D2486" s="80"/>
      <c r="E2486" s="81"/>
      <c r="F2486" s="82"/>
      <c r="G2486" s="83"/>
      <c r="H2486" s="89"/>
      <c r="I2486" s="76"/>
      <c r="J2486" s="84"/>
      <c r="K2486" s="78"/>
      <c r="L2486" s="88"/>
    </row>
    <row r="2487" ht="22.5" customHeight="1">
      <c r="A2487" s="80"/>
      <c r="B2487" s="81"/>
      <c r="C2487" s="82"/>
      <c r="D2487" s="80"/>
      <c r="E2487" s="81"/>
      <c r="F2487" s="82"/>
      <c r="G2487" s="83"/>
      <c r="H2487" s="89"/>
      <c r="I2487" s="76"/>
      <c r="J2487" s="84"/>
      <c r="K2487" s="78"/>
      <c r="L2487" s="88"/>
    </row>
    <row r="2488" ht="22.5" customHeight="1">
      <c r="A2488" s="80"/>
      <c r="B2488" s="81"/>
      <c r="C2488" s="82"/>
      <c r="D2488" s="80"/>
      <c r="E2488" s="81"/>
      <c r="F2488" s="82"/>
      <c r="G2488" s="83"/>
      <c r="H2488" s="89"/>
      <c r="I2488" s="76"/>
      <c r="J2488" s="84"/>
      <c r="K2488" s="78"/>
      <c r="L2488" s="88"/>
    </row>
    <row r="2489" ht="22.5" customHeight="1">
      <c r="A2489" s="80"/>
      <c r="B2489" s="81"/>
      <c r="C2489" s="82"/>
      <c r="D2489" s="80"/>
      <c r="E2489" s="81"/>
      <c r="F2489" s="82"/>
      <c r="G2489" s="83"/>
      <c r="H2489" s="89"/>
      <c r="I2489" s="76"/>
      <c r="J2489" s="84"/>
      <c r="K2489" s="78"/>
      <c r="L2489" s="88"/>
    </row>
    <row r="2490" ht="22.5" customHeight="1">
      <c r="A2490" s="80"/>
      <c r="B2490" s="81"/>
      <c r="C2490" s="82"/>
      <c r="D2490" s="80"/>
      <c r="E2490" s="81"/>
      <c r="F2490" s="82"/>
      <c r="G2490" s="83"/>
      <c r="H2490" s="89"/>
      <c r="I2490" s="76"/>
      <c r="J2490" s="84"/>
      <c r="K2490" s="78"/>
      <c r="L2490" s="88"/>
    </row>
    <row r="2491" ht="22.5" customHeight="1">
      <c r="A2491" s="80"/>
      <c r="B2491" s="81"/>
      <c r="C2491" s="82"/>
      <c r="D2491" s="80"/>
      <c r="E2491" s="81"/>
      <c r="F2491" s="82"/>
      <c r="G2491" s="83"/>
      <c r="H2491" s="89"/>
      <c r="I2491" s="76"/>
      <c r="J2491" s="84"/>
      <c r="K2491" s="78"/>
      <c r="L2491" s="88"/>
    </row>
    <row r="2492" ht="22.5" customHeight="1">
      <c r="A2492" s="80"/>
      <c r="B2492" s="81"/>
      <c r="C2492" s="82"/>
      <c r="D2492" s="80"/>
      <c r="E2492" s="81"/>
      <c r="F2492" s="82"/>
      <c r="G2492" s="83"/>
      <c r="H2492" s="89"/>
      <c r="I2492" s="76"/>
      <c r="J2492" s="84"/>
      <c r="K2492" s="78"/>
      <c r="L2492" s="88"/>
    </row>
    <row r="2493" ht="22.5" customHeight="1">
      <c r="A2493" s="80"/>
      <c r="B2493" s="81"/>
      <c r="C2493" s="82"/>
      <c r="D2493" s="80"/>
      <c r="E2493" s="81"/>
      <c r="F2493" s="82"/>
      <c r="G2493" s="83"/>
      <c r="H2493" s="89"/>
      <c r="I2493" s="76"/>
      <c r="J2493" s="84"/>
      <c r="K2493" s="78"/>
      <c r="L2493" s="88"/>
    </row>
    <row r="2494" ht="22.5" customHeight="1">
      <c r="A2494" s="80"/>
      <c r="B2494" s="81"/>
      <c r="C2494" s="82"/>
      <c r="D2494" s="80"/>
      <c r="E2494" s="81"/>
      <c r="F2494" s="82"/>
      <c r="G2494" s="83"/>
      <c r="H2494" s="89"/>
      <c r="I2494" s="76"/>
      <c r="J2494" s="84"/>
      <c r="K2494" s="78"/>
      <c r="L2494" s="88"/>
    </row>
    <row r="2495" ht="22.5" customHeight="1">
      <c r="A2495" s="80"/>
      <c r="B2495" s="81"/>
      <c r="C2495" s="82"/>
      <c r="D2495" s="80"/>
      <c r="E2495" s="81"/>
      <c r="F2495" s="82"/>
      <c r="G2495" s="83"/>
      <c r="H2495" s="89"/>
      <c r="I2495" s="76"/>
      <c r="J2495" s="84"/>
      <c r="K2495" s="78"/>
      <c r="L2495" s="88"/>
    </row>
    <row r="2496" ht="22.5" customHeight="1">
      <c r="A2496" s="80"/>
      <c r="B2496" s="81"/>
      <c r="C2496" s="82"/>
      <c r="D2496" s="80"/>
      <c r="E2496" s="81"/>
      <c r="F2496" s="82"/>
      <c r="G2496" s="83"/>
      <c r="H2496" s="89"/>
      <c r="I2496" s="76"/>
      <c r="J2496" s="84"/>
      <c r="K2496" s="78"/>
      <c r="L2496" s="88"/>
    </row>
    <row r="2497" ht="22.5" customHeight="1">
      <c r="A2497" s="80"/>
      <c r="B2497" s="81"/>
      <c r="C2497" s="82"/>
      <c r="D2497" s="80"/>
      <c r="E2497" s="81"/>
      <c r="F2497" s="82"/>
      <c r="G2497" s="83"/>
      <c r="H2497" s="89"/>
      <c r="I2497" s="76"/>
      <c r="J2497" s="84"/>
      <c r="K2497" s="78"/>
      <c r="L2497" s="88"/>
    </row>
    <row r="2498" ht="22.5" customHeight="1">
      <c r="A2498" s="80"/>
      <c r="B2498" s="81"/>
      <c r="C2498" s="82"/>
      <c r="D2498" s="80"/>
      <c r="E2498" s="81"/>
      <c r="F2498" s="82"/>
      <c r="G2498" s="83"/>
      <c r="H2498" s="89"/>
      <c r="I2498" s="76"/>
      <c r="J2498" s="84"/>
      <c r="K2498" s="78"/>
      <c r="L2498" s="88"/>
    </row>
    <row r="2499" ht="22.5" customHeight="1">
      <c r="A2499" s="80"/>
      <c r="B2499" s="81"/>
      <c r="C2499" s="82"/>
      <c r="D2499" s="80"/>
      <c r="E2499" s="81"/>
      <c r="F2499" s="82"/>
      <c r="G2499" s="83"/>
      <c r="H2499" s="89"/>
      <c r="I2499" s="76"/>
      <c r="J2499" s="84"/>
      <c r="K2499" s="78"/>
      <c r="L2499" s="88"/>
    </row>
    <row r="2500" ht="22.5" customHeight="1">
      <c r="A2500" s="80"/>
      <c r="B2500" s="81"/>
      <c r="C2500" s="82"/>
      <c r="D2500" s="80"/>
      <c r="E2500" s="81"/>
      <c r="F2500" s="82"/>
      <c r="G2500" s="83"/>
      <c r="H2500" s="89"/>
      <c r="I2500" s="76"/>
      <c r="J2500" s="84"/>
      <c r="K2500" s="78"/>
      <c r="L2500" s="88"/>
    </row>
    <row r="2501" ht="22.5" customHeight="1">
      <c r="A2501" s="80"/>
      <c r="B2501" s="81"/>
      <c r="C2501" s="82"/>
      <c r="D2501" s="80"/>
      <c r="E2501" s="81"/>
      <c r="F2501" s="82"/>
      <c r="G2501" s="83"/>
      <c r="H2501" s="89"/>
      <c r="I2501" s="76"/>
      <c r="J2501" s="84"/>
      <c r="K2501" s="78"/>
      <c r="L2501" s="88"/>
    </row>
    <row r="2502" ht="22.5" customHeight="1">
      <c r="A2502" s="80"/>
      <c r="B2502" s="81"/>
      <c r="C2502" s="82"/>
      <c r="D2502" s="80"/>
      <c r="E2502" s="81"/>
      <c r="F2502" s="82"/>
      <c r="G2502" s="83"/>
      <c r="H2502" s="89"/>
      <c r="I2502" s="76"/>
      <c r="J2502" s="84"/>
      <c r="K2502" s="78"/>
      <c r="L2502" s="88"/>
    </row>
    <row r="2503" ht="22.5" customHeight="1">
      <c r="A2503" s="80"/>
      <c r="B2503" s="81"/>
      <c r="C2503" s="82"/>
      <c r="D2503" s="80"/>
      <c r="E2503" s="81"/>
      <c r="F2503" s="82"/>
      <c r="G2503" s="83"/>
      <c r="H2503" s="89"/>
      <c r="I2503" s="76"/>
      <c r="J2503" s="84"/>
      <c r="K2503" s="78"/>
      <c r="L2503" s="88"/>
    </row>
    <row r="2504" ht="22.5" customHeight="1">
      <c r="A2504" s="80"/>
      <c r="B2504" s="81"/>
      <c r="C2504" s="82"/>
      <c r="D2504" s="80"/>
      <c r="E2504" s="81"/>
      <c r="F2504" s="82"/>
      <c r="G2504" s="83"/>
      <c r="H2504" s="89"/>
      <c r="I2504" s="76"/>
      <c r="J2504" s="84"/>
      <c r="K2504" s="78"/>
      <c r="L2504" s="88"/>
    </row>
    <row r="2505" ht="22.5" customHeight="1">
      <c r="A2505" s="80"/>
      <c r="B2505" s="81"/>
      <c r="C2505" s="82"/>
      <c r="D2505" s="80"/>
      <c r="E2505" s="81"/>
      <c r="F2505" s="82"/>
      <c r="G2505" s="83"/>
      <c r="H2505" s="89"/>
      <c r="I2505" s="76"/>
      <c r="J2505" s="84"/>
      <c r="K2505" s="78"/>
      <c r="L2505" s="88"/>
    </row>
    <row r="2506" ht="22.5" customHeight="1">
      <c r="A2506" s="80"/>
      <c r="B2506" s="81"/>
      <c r="C2506" s="82"/>
      <c r="D2506" s="80"/>
      <c r="E2506" s="81"/>
      <c r="F2506" s="82"/>
      <c r="G2506" s="83"/>
      <c r="H2506" s="89"/>
      <c r="I2506" s="76"/>
      <c r="J2506" s="84"/>
      <c r="K2506" s="78"/>
      <c r="L2506" s="88"/>
    </row>
    <row r="2507" ht="22.5" customHeight="1">
      <c r="A2507" s="80"/>
      <c r="B2507" s="81"/>
      <c r="C2507" s="82"/>
      <c r="D2507" s="80"/>
      <c r="E2507" s="81"/>
      <c r="F2507" s="82"/>
      <c r="G2507" s="83"/>
      <c r="H2507" s="89"/>
      <c r="I2507" s="76"/>
      <c r="J2507" s="84"/>
      <c r="K2507" s="78"/>
      <c r="L2507" s="88"/>
    </row>
    <row r="2508" ht="22.5" customHeight="1">
      <c r="A2508" s="80"/>
      <c r="B2508" s="81"/>
      <c r="C2508" s="82"/>
      <c r="D2508" s="80"/>
      <c r="E2508" s="81"/>
      <c r="F2508" s="82"/>
      <c r="G2508" s="83"/>
      <c r="H2508" s="89"/>
      <c r="I2508" s="76"/>
      <c r="J2508" s="84"/>
      <c r="K2508" s="78"/>
      <c r="L2508" s="88"/>
    </row>
    <row r="2509" ht="22.5" customHeight="1">
      <c r="A2509" s="80"/>
      <c r="B2509" s="81"/>
      <c r="C2509" s="82"/>
      <c r="D2509" s="80"/>
      <c r="E2509" s="81"/>
      <c r="F2509" s="82"/>
      <c r="G2509" s="83"/>
      <c r="H2509" s="89"/>
      <c r="I2509" s="76"/>
      <c r="J2509" s="84"/>
      <c r="K2509" s="78"/>
      <c r="L2509" s="88"/>
    </row>
    <row r="2510" ht="22.5" customHeight="1">
      <c r="A2510" s="80"/>
      <c r="B2510" s="81"/>
      <c r="C2510" s="82"/>
      <c r="D2510" s="80"/>
      <c r="E2510" s="81"/>
      <c r="F2510" s="82"/>
      <c r="G2510" s="83"/>
      <c r="H2510" s="89"/>
      <c r="I2510" s="76"/>
      <c r="J2510" s="84"/>
      <c r="K2510" s="78"/>
      <c r="L2510" s="88"/>
    </row>
    <row r="2511" ht="22.5" customHeight="1">
      <c r="A2511" s="80"/>
      <c r="B2511" s="81"/>
      <c r="C2511" s="82"/>
      <c r="D2511" s="80"/>
      <c r="E2511" s="81"/>
      <c r="F2511" s="82"/>
      <c r="G2511" s="83"/>
      <c r="H2511" s="89"/>
      <c r="I2511" s="76"/>
      <c r="J2511" s="84"/>
      <c r="K2511" s="78"/>
      <c r="L2511" s="88"/>
    </row>
    <row r="2512" ht="22.5" customHeight="1">
      <c r="A2512" s="80"/>
      <c r="B2512" s="81"/>
      <c r="C2512" s="82"/>
      <c r="D2512" s="80"/>
      <c r="E2512" s="81"/>
      <c r="F2512" s="82"/>
      <c r="G2512" s="83"/>
      <c r="H2512" s="89"/>
      <c r="I2512" s="76"/>
      <c r="J2512" s="84"/>
      <c r="K2512" s="78"/>
      <c r="L2512" s="88"/>
    </row>
    <row r="2513" ht="22.5" customHeight="1">
      <c r="A2513" s="80"/>
      <c r="B2513" s="81"/>
      <c r="C2513" s="82"/>
      <c r="D2513" s="80"/>
      <c r="E2513" s="81"/>
      <c r="F2513" s="82"/>
      <c r="G2513" s="83"/>
      <c r="H2513" s="89"/>
      <c r="I2513" s="76"/>
      <c r="J2513" s="84"/>
      <c r="K2513" s="78"/>
      <c r="L2513" s="88"/>
    </row>
    <row r="2514" ht="22.5" customHeight="1">
      <c r="A2514" s="80"/>
      <c r="B2514" s="81"/>
      <c r="C2514" s="82"/>
      <c r="D2514" s="80"/>
      <c r="E2514" s="81"/>
      <c r="F2514" s="82"/>
      <c r="G2514" s="83"/>
      <c r="H2514" s="89"/>
      <c r="I2514" s="76"/>
      <c r="J2514" s="84"/>
      <c r="K2514" s="78"/>
      <c r="L2514" s="88"/>
    </row>
    <row r="2515" ht="22.5" customHeight="1">
      <c r="A2515" s="80"/>
      <c r="B2515" s="81"/>
      <c r="C2515" s="82"/>
      <c r="D2515" s="80"/>
      <c r="E2515" s="81"/>
      <c r="F2515" s="82"/>
      <c r="G2515" s="83"/>
      <c r="H2515" s="89"/>
      <c r="I2515" s="76"/>
      <c r="J2515" s="84"/>
      <c r="K2515" s="78"/>
      <c r="L2515" s="88"/>
    </row>
    <row r="2516" ht="22.5" customHeight="1">
      <c r="A2516" s="80"/>
      <c r="B2516" s="81"/>
      <c r="C2516" s="82"/>
      <c r="D2516" s="80"/>
      <c r="E2516" s="81"/>
      <c r="F2516" s="82"/>
      <c r="G2516" s="83"/>
      <c r="H2516" s="89"/>
      <c r="I2516" s="76"/>
      <c r="J2516" s="84"/>
      <c r="K2516" s="78"/>
      <c r="L2516" s="88"/>
    </row>
    <row r="2517" ht="22.5" customHeight="1">
      <c r="A2517" s="80"/>
      <c r="B2517" s="81"/>
      <c r="C2517" s="82"/>
      <c r="D2517" s="80"/>
      <c r="E2517" s="81"/>
      <c r="F2517" s="82"/>
      <c r="G2517" s="83"/>
      <c r="H2517" s="89"/>
      <c r="I2517" s="76"/>
      <c r="J2517" s="84"/>
      <c r="K2517" s="78"/>
      <c r="L2517" s="88"/>
    </row>
    <row r="2518" ht="22.5" customHeight="1">
      <c r="A2518" s="80"/>
      <c r="B2518" s="81"/>
      <c r="C2518" s="82"/>
      <c r="D2518" s="80"/>
      <c r="E2518" s="81"/>
      <c r="F2518" s="82"/>
      <c r="G2518" s="83"/>
      <c r="H2518" s="89"/>
      <c r="I2518" s="76"/>
      <c r="J2518" s="84"/>
      <c r="K2518" s="78"/>
      <c r="L2518" s="88"/>
    </row>
    <row r="2519" ht="22.5" customHeight="1">
      <c r="A2519" s="80"/>
      <c r="B2519" s="81"/>
      <c r="C2519" s="82"/>
      <c r="D2519" s="80"/>
      <c r="E2519" s="81"/>
      <c r="F2519" s="82"/>
      <c r="G2519" s="83"/>
      <c r="H2519" s="89"/>
      <c r="I2519" s="76"/>
      <c r="J2519" s="84"/>
      <c r="K2519" s="78"/>
      <c r="L2519" s="88"/>
    </row>
    <row r="2520" ht="22.5" customHeight="1">
      <c r="A2520" s="80"/>
      <c r="B2520" s="81"/>
      <c r="C2520" s="82"/>
      <c r="D2520" s="80"/>
      <c r="E2520" s="81"/>
      <c r="F2520" s="82"/>
      <c r="G2520" s="83"/>
      <c r="H2520" s="89"/>
      <c r="I2520" s="76"/>
      <c r="J2520" s="84"/>
      <c r="K2520" s="78"/>
      <c r="L2520" s="88"/>
    </row>
    <row r="2521" ht="22.5" customHeight="1">
      <c r="A2521" s="80"/>
      <c r="B2521" s="81"/>
      <c r="C2521" s="82"/>
      <c r="D2521" s="80"/>
      <c r="E2521" s="81"/>
      <c r="F2521" s="82"/>
      <c r="G2521" s="83"/>
      <c r="H2521" s="89"/>
      <c r="I2521" s="76"/>
      <c r="J2521" s="84"/>
      <c r="K2521" s="78"/>
      <c r="L2521" s="88"/>
    </row>
    <row r="2522" ht="22.5" customHeight="1">
      <c r="A2522" s="80"/>
      <c r="B2522" s="81"/>
      <c r="C2522" s="82"/>
      <c r="D2522" s="80"/>
      <c r="E2522" s="81"/>
      <c r="F2522" s="82"/>
      <c r="G2522" s="83"/>
      <c r="H2522" s="89"/>
      <c r="I2522" s="76"/>
      <c r="J2522" s="84"/>
      <c r="K2522" s="78"/>
      <c r="L2522" s="88"/>
    </row>
    <row r="2523" ht="22.5" customHeight="1">
      <c r="A2523" s="80"/>
      <c r="B2523" s="81"/>
      <c r="C2523" s="82"/>
      <c r="D2523" s="80"/>
      <c r="E2523" s="81"/>
      <c r="F2523" s="82"/>
      <c r="G2523" s="83"/>
      <c r="H2523" s="89"/>
      <c r="I2523" s="76"/>
      <c r="J2523" s="84"/>
      <c r="K2523" s="78"/>
      <c r="L2523" s="88"/>
    </row>
    <row r="2524" ht="22.5" customHeight="1">
      <c r="A2524" s="80"/>
      <c r="B2524" s="81"/>
      <c r="C2524" s="82"/>
      <c r="D2524" s="80"/>
      <c r="E2524" s="81"/>
      <c r="F2524" s="82"/>
      <c r="G2524" s="83"/>
      <c r="H2524" s="89"/>
      <c r="I2524" s="76"/>
      <c r="J2524" s="84"/>
      <c r="K2524" s="78"/>
      <c r="L2524" s="88"/>
    </row>
    <row r="2525" ht="22.5" customHeight="1">
      <c r="A2525" s="80"/>
      <c r="B2525" s="81"/>
      <c r="C2525" s="82"/>
      <c r="D2525" s="80"/>
      <c r="E2525" s="81"/>
      <c r="F2525" s="82"/>
      <c r="G2525" s="83"/>
      <c r="H2525" s="89"/>
      <c r="I2525" s="76"/>
      <c r="J2525" s="84"/>
      <c r="K2525" s="78"/>
      <c r="L2525" s="88"/>
    </row>
    <row r="2526" ht="22.5" customHeight="1">
      <c r="A2526" s="80"/>
      <c r="B2526" s="81"/>
      <c r="C2526" s="82"/>
      <c r="D2526" s="80"/>
      <c r="E2526" s="81"/>
      <c r="F2526" s="82"/>
      <c r="G2526" s="83"/>
      <c r="H2526" s="89"/>
      <c r="I2526" s="76"/>
      <c r="J2526" s="84"/>
      <c r="K2526" s="78"/>
      <c r="L2526" s="88"/>
    </row>
    <row r="2527" ht="22.5" customHeight="1">
      <c r="A2527" s="80"/>
      <c r="B2527" s="81"/>
      <c r="C2527" s="82"/>
      <c r="D2527" s="80"/>
      <c r="E2527" s="81"/>
      <c r="F2527" s="82"/>
      <c r="G2527" s="83"/>
      <c r="H2527" s="89"/>
      <c r="I2527" s="76"/>
      <c r="J2527" s="84"/>
      <c r="K2527" s="78"/>
      <c r="L2527" s="88"/>
    </row>
    <row r="2528" ht="22.5" customHeight="1">
      <c r="A2528" s="80"/>
      <c r="B2528" s="81"/>
      <c r="C2528" s="82"/>
      <c r="D2528" s="80"/>
      <c r="E2528" s="81"/>
      <c r="F2528" s="82"/>
      <c r="G2528" s="83"/>
      <c r="H2528" s="89"/>
      <c r="I2528" s="76"/>
      <c r="J2528" s="84"/>
      <c r="K2528" s="78"/>
      <c r="L2528" s="88"/>
    </row>
    <row r="2529" ht="22.5" customHeight="1">
      <c r="A2529" s="80"/>
      <c r="B2529" s="81"/>
      <c r="C2529" s="82"/>
      <c r="D2529" s="80"/>
      <c r="E2529" s="81"/>
      <c r="F2529" s="82"/>
      <c r="G2529" s="83"/>
      <c r="H2529" s="89"/>
      <c r="I2529" s="76"/>
      <c r="J2529" s="84"/>
      <c r="K2529" s="78"/>
      <c r="L2529" s="88"/>
    </row>
    <row r="2530" ht="22.5" customHeight="1">
      <c r="A2530" s="80"/>
      <c r="B2530" s="81"/>
      <c r="C2530" s="82"/>
      <c r="D2530" s="80"/>
      <c r="E2530" s="81"/>
      <c r="F2530" s="82"/>
      <c r="G2530" s="83"/>
      <c r="H2530" s="89"/>
      <c r="I2530" s="76"/>
      <c r="J2530" s="84"/>
      <c r="K2530" s="78"/>
      <c r="L2530" s="88"/>
    </row>
    <row r="2531" ht="22.5" customHeight="1">
      <c r="A2531" s="80"/>
      <c r="B2531" s="81"/>
      <c r="C2531" s="82"/>
      <c r="D2531" s="80"/>
      <c r="E2531" s="81"/>
      <c r="F2531" s="82"/>
      <c r="G2531" s="83"/>
      <c r="H2531" s="89"/>
      <c r="I2531" s="76"/>
      <c r="J2531" s="84"/>
      <c r="K2531" s="78"/>
      <c r="L2531" s="88"/>
    </row>
    <row r="2532" ht="22.5" customHeight="1">
      <c r="A2532" s="80"/>
      <c r="B2532" s="81"/>
      <c r="C2532" s="82"/>
      <c r="D2532" s="80"/>
      <c r="E2532" s="81"/>
      <c r="F2532" s="82"/>
      <c r="G2532" s="83"/>
      <c r="H2532" s="89"/>
      <c r="I2532" s="76"/>
      <c r="J2532" s="84"/>
      <c r="K2532" s="78"/>
      <c r="L2532" s="88"/>
    </row>
    <row r="2533" ht="22.5" customHeight="1">
      <c r="A2533" s="80"/>
      <c r="B2533" s="81"/>
      <c r="C2533" s="82"/>
      <c r="D2533" s="80"/>
      <c r="E2533" s="81"/>
      <c r="F2533" s="82"/>
      <c r="G2533" s="83"/>
      <c r="H2533" s="89"/>
      <c r="I2533" s="76"/>
      <c r="J2533" s="84"/>
      <c r="K2533" s="78"/>
      <c r="L2533" s="88"/>
    </row>
    <row r="2534" ht="22.5" customHeight="1">
      <c r="A2534" s="80"/>
      <c r="B2534" s="81"/>
      <c r="C2534" s="82"/>
      <c r="D2534" s="80"/>
      <c r="E2534" s="81"/>
      <c r="F2534" s="82"/>
      <c r="G2534" s="83"/>
      <c r="H2534" s="89"/>
      <c r="I2534" s="76"/>
      <c r="J2534" s="84"/>
      <c r="K2534" s="78"/>
      <c r="L2534" s="88"/>
    </row>
    <row r="2535" ht="22.5" customHeight="1">
      <c r="A2535" s="80"/>
      <c r="B2535" s="81"/>
      <c r="C2535" s="82"/>
      <c r="D2535" s="80"/>
      <c r="E2535" s="81"/>
      <c r="F2535" s="82"/>
      <c r="G2535" s="83"/>
      <c r="H2535" s="89"/>
      <c r="I2535" s="76"/>
      <c r="J2535" s="84"/>
      <c r="K2535" s="78"/>
      <c r="L2535" s="88"/>
    </row>
    <row r="2536" ht="22.5" customHeight="1">
      <c r="A2536" s="80"/>
      <c r="B2536" s="81"/>
      <c r="C2536" s="82"/>
      <c r="D2536" s="80"/>
      <c r="E2536" s="81"/>
      <c r="F2536" s="82"/>
      <c r="G2536" s="83"/>
      <c r="H2536" s="89"/>
      <c r="I2536" s="76"/>
      <c r="J2536" s="84"/>
      <c r="K2536" s="78"/>
      <c r="L2536" s="88"/>
    </row>
    <row r="2537" ht="22.5" customHeight="1">
      <c r="A2537" s="80"/>
      <c r="B2537" s="81"/>
      <c r="C2537" s="82"/>
      <c r="D2537" s="80"/>
      <c r="E2537" s="81"/>
      <c r="F2537" s="82"/>
      <c r="G2537" s="83"/>
      <c r="H2537" s="89"/>
      <c r="I2537" s="76"/>
      <c r="J2537" s="84"/>
      <c r="K2537" s="78"/>
      <c r="L2537" s="88"/>
    </row>
    <row r="2538" ht="22.5" customHeight="1">
      <c r="A2538" s="80"/>
      <c r="B2538" s="81"/>
      <c r="C2538" s="82"/>
      <c r="D2538" s="80"/>
      <c r="E2538" s="81"/>
      <c r="F2538" s="82"/>
      <c r="G2538" s="83"/>
      <c r="H2538" s="89"/>
      <c r="I2538" s="76"/>
      <c r="J2538" s="84"/>
      <c r="K2538" s="78"/>
      <c r="L2538" s="88"/>
    </row>
    <row r="2539" ht="22.5" customHeight="1">
      <c r="A2539" s="80"/>
      <c r="B2539" s="81"/>
      <c r="C2539" s="82"/>
      <c r="D2539" s="80"/>
      <c r="E2539" s="81"/>
      <c r="F2539" s="82"/>
      <c r="G2539" s="83"/>
      <c r="H2539" s="89"/>
      <c r="I2539" s="76"/>
      <c r="J2539" s="84"/>
      <c r="K2539" s="78"/>
      <c r="L2539" s="88"/>
    </row>
    <row r="2540" ht="22.5" customHeight="1">
      <c r="A2540" s="80"/>
      <c r="B2540" s="81"/>
      <c r="C2540" s="82"/>
      <c r="D2540" s="80"/>
      <c r="E2540" s="81"/>
      <c r="F2540" s="82"/>
      <c r="G2540" s="83"/>
      <c r="H2540" s="89"/>
      <c r="I2540" s="76"/>
      <c r="J2540" s="84"/>
      <c r="K2540" s="78"/>
      <c r="L2540" s="88"/>
    </row>
    <row r="2541" ht="22.5" customHeight="1">
      <c r="A2541" s="80"/>
      <c r="B2541" s="81"/>
      <c r="C2541" s="82"/>
      <c r="D2541" s="80"/>
      <c r="E2541" s="81"/>
      <c r="F2541" s="82"/>
      <c r="G2541" s="83"/>
      <c r="H2541" s="89"/>
      <c r="I2541" s="76"/>
      <c r="J2541" s="84"/>
      <c r="K2541" s="78"/>
      <c r="L2541" s="88"/>
    </row>
    <row r="2542" ht="22.5" customHeight="1">
      <c r="A2542" s="80"/>
      <c r="B2542" s="81"/>
      <c r="C2542" s="82"/>
      <c r="D2542" s="80"/>
      <c r="E2542" s="81"/>
      <c r="F2542" s="82"/>
      <c r="G2542" s="83"/>
      <c r="H2542" s="89"/>
      <c r="I2542" s="76"/>
      <c r="J2542" s="84"/>
      <c r="K2542" s="78"/>
      <c r="L2542" s="88"/>
    </row>
    <row r="2543" ht="22.5" customHeight="1">
      <c r="A2543" s="80"/>
      <c r="B2543" s="81"/>
      <c r="C2543" s="82"/>
      <c r="D2543" s="80"/>
      <c r="E2543" s="81"/>
      <c r="F2543" s="82"/>
      <c r="G2543" s="83"/>
      <c r="H2543" s="89"/>
      <c r="I2543" s="76"/>
      <c r="J2543" s="84"/>
      <c r="K2543" s="78"/>
      <c r="L2543" s="88"/>
    </row>
    <row r="2544" ht="22.5" customHeight="1">
      <c r="A2544" s="80"/>
      <c r="B2544" s="81"/>
      <c r="C2544" s="82"/>
      <c r="D2544" s="80"/>
      <c r="E2544" s="81"/>
      <c r="F2544" s="82"/>
      <c r="G2544" s="83"/>
      <c r="H2544" s="89"/>
      <c r="I2544" s="76"/>
      <c r="J2544" s="84"/>
      <c r="K2544" s="78"/>
      <c r="L2544" s="88"/>
    </row>
    <row r="2545" ht="22.5" customHeight="1">
      <c r="A2545" s="80"/>
      <c r="B2545" s="81"/>
      <c r="C2545" s="82"/>
      <c r="D2545" s="80"/>
      <c r="E2545" s="81"/>
      <c r="F2545" s="82"/>
      <c r="G2545" s="83"/>
      <c r="H2545" s="89"/>
      <c r="I2545" s="76"/>
      <c r="J2545" s="84"/>
      <c r="K2545" s="78"/>
      <c r="L2545" s="88"/>
    </row>
    <row r="2546" ht="22.5" customHeight="1">
      <c r="A2546" s="80"/>
      <c r="B2546" s="81"/>
      <c r="C2546" s="82"/>
      <c r="D2546" s="80"/>
      <c r="E2546" s="81"/>
      <c r="F2546" s="82"/>
      <c r="G2546" s="83"/>
      <c r="H2546" s="89"/>
      <c r="I2546" s="76"/>
      <c r="J2546" s="84"/>
      <c r="K2546" s="78"/>
      <c r="L2546" s="88"/>
    </row>
    <row r="2547" ht="22.5" customHeight="1">
      <c r="A2547" s="80"/>
      <c r="B2547" s="81"/>
      <c r="C2547" s="82"/>
      <c r="D2547" s="80"/>
      <c r="E2547" s="81"/>
      <c r="F2547" s="82"/>
      <c r="G2547" s="83"/>
      <c r="H2547" s="89"/>
      <c r="I2547" s="76"/>
      <c r="J2547" s="84"/>
      <c r="K2547" s="78"/>
      <c r="L2547" s="88"/>
    </row>
    <row r="2548" ht="22.5" customHeight="1">
      <c r="A2548" s="80"/>
      <c r="B2548" s="81"/>
      <c r="C2548" s="82"/>
      <c r="D2548" s="80"/>
      <c r="E2548" s="81"/>
      <c r="F2548" s="82"/>
      <c r="G2548" s="83"/>
      <c r="H2548" s="89"/>
      <c r="I2548" s="76"/>
      <c r="J2548" s="84"/>
      <c r="K2548" s="78"/>
      <c r="L2548" s="88"/>
    </row>
    <row r="2549" ht="22.5" customHeight="1">
      <c r="A2549" s="80"/>
      <c r="B2549" s="81"/>
      <c r="C2549" s="82"/>
      <c r="D2549" s="80"/>
      <c r="E2549" s="81"/>
      <c r="F2549" s="82"/>
      <c r="G2549" s="83"/>
      <c r="H2549" s="89"/>
      <c r="I2549" s="76"/>
      <c r="J2549" s="84"/>
      <c r="K2549" s="78"/>
      <c r="L2549" s="88"/>
    </row>
    <row r="2550" ht="22.5" customHeight="1">
      <c r="A2550" s="80"/>
      <c r="B2550" s="81"/>
      <c r="C2550" s="82"/>
      <c r="D2550" s="80"/>
      <c r="E2550" s="81"/>
      <c r="F2550" s="82"/>
      <c r="G2550" s="83"/>
      <c r="H2550" s="89"/>
      <c r="I2550" s="76"/>
      <c r="J2550" s="84"/>
      <c r="K2550" s="78"/>
      <c r="L2550" s="88"/>
    </row>
    <row r="2551" ht="22.5" customHeight="1">
      <c r="A2551" s="80"/>
      <c r="B2551" s="81"/>
      <c r="C2551" s="82"/>
      <c r="D2551" s="80"/>
      <c r="E2551" s="81"/>
      <c r="F2551" s="82"/>
      <c r="G2551" s="83"/>
      <c r="H2551" s="89"/>
      <c r="I2551" s="76"/>
      <c r="J2551" s="84"/>
      <c r="K2551" s="78"/>
      <c r="L2551" s="88"/>
    </row>
    <row r="2552" ht="22.5" customHeight="1">
      <c r="A2552" s="80"/>
      <c r="B2552" s="81"/>
      <c r="C2552" s="82"/>
      <c r="D2552" s="80"/>
      <c r="E2552" s="81"/>
      <c r="F2552" s="82"/>
      <c r="G2552" s="83"/>
      <c r="H2552" s="89"/>
      <c r="I2552" s="76"/>
      <c r="J2552" s="84"/>
      <c r="K2552" s="78"/>
      <c r="L2552" s="88"/>
    </row>
    <row r="2553" ht="22.5" customHeight="1">
      <c r="A2553" s="80"/>
      <c r="B2553" s="81"/>
      <c r="C2553" s="82"/>
      <c r="D2553" s="80"/>
      <c r="E2553" s="81"/>
      <c r="F2553" s="82"/>
      <c r="G2553" s="83"/>
      <c r="H2553" s="89"/>
      <c r="I2553" s="76"/>
      <c r="J2553" s="84"/>
      <c r="K2553" s="78"/>
      <c r="L2553" s="88"/>
    </row>
    <row r="2554" ht="22.5" customHeight="1">
      <c r="A2554" s="80"/>
      <c r="B2554" s="81"/>
      <c r="C2554" s="82"/>
      <c r="D2554" s="80"/>
      <c r="E2554" s="81"/>
      <c r="F2554" s="82"/>
      <c r="G2554" s="83"/>
      <c r="H2554" s="89"/>
      <c r="I2554" s="76"/>
      <c r="J2554" s="84"/>
      <c r="K2554" s="78"/>
      <c r="L2554" s="88"/>
    </row>
    <row r="2555" ht="22.5" customHeight="1">
      <c r="A2555" s="80"/>
      <c r="B2555" s="81"/>
      <c r="C2555" s="82"/>
      <c r="D2555" s="80"/>
      <c r="E2555" s="81"/>
      <c r="F2555" s="82"/>
      <c r="G2555" s="83"/>
      <c r="H2555" s="89"/>
      <c r="I2555" s="76"/>
      <c r="J2555" s="84"/>
      <c r="K2555" s="78"/>
      <c r="L2555" s="88"/>
    </row>
    <row r="2556" ht="22.5" customHeight="1">
      <c r="A2556" s="80"/>
      <c r="B2556" s="81"/>
      <c r="C2556" s="82"/>
      <c r="D2556" s="80"/>
      <c r="E2556" s="81"/>
      <c r="F2556" s="82"/>
      <c r="G2556" s="83"/>
      <c r="H2556" s="89"/>
      <c r="I2556" s="76"/>
      <c r="J2556" s="84"/>
      <c r="K2556" s="78"/>
      <c r="L2556" s="88"/>
    </row>
    <row r="2557" ht="22.5" customHeight="1">
      <c r="A2557" s="80"/>
      <c r="B2557" s="81"/>
      <c r="C2557" s="82"/>
      <c r="D2557" s="80"/>
      <c r="E2557" s="81"/>
      <c r="F2557" s="82"/>
      <c r="G2557" s="83"/>
      <c r="H2557" s="89"/>
      <c r="I2557" s="76"/>
      <c r="J2557" s="84"/>
      <c r="K2557" s="78"/>
      <c r="L2557" s="88"/>
    </row>
    <row r="2558" ht="22.5" customHeight="1">
      <c r="A2558" s="80"/>
      <c r="B2558" s="81"/>
      <c r="C2558" s="82"/>
      <c r="D2558" s="80"/>
      <c r="E2558" s="81"/>
      <c r="F2558" s="82"/>
      <c r="G2558" s="83"/>
      <c r="H2558" s="89"/>
      <c r="I2558" s="76"/>
      <c r="J2558" s="84"/>
      <c r="K2558" s="78"/>
      <c r="L2558" s="88"/>
    </row>
    <row r="2559" ht="22.5" customHeight="1">
      <c r="A2559" s="80"/>
      <c r="B2559" s="81"/>
      <c r="C2559" s="82"/>
      <c r="D2559" s="80"/>
      <c r="E2559" s="81"/>
      <c r="F2559" s="82"/>
      <c r="G2559" s="83"/>
      <c r="H2559" s="89"/>
      <c r="I2559" s="76"/>
      <c r="J2559" s="84"/>
      <c r="K2559" s="78"/>
      <c r="L2559" s="88"/>
    </row>
    <row r="2560" ht="22.5" customHeight="1">
      <c r="A2560" s="80"/>
      <c r="B2560" s="81"/>
      <c r="C2560" s="82"/>
      <c r="D2560" s="80"/>
      <c r="E2560" s="81"/>
      <c r="F2560" s="82"/>
      <c r="G2560" s="83"/>
      <c r="H2560" s="89"/>
      <c r="I2560" s="76"/>
      <c r="J2560" s="84"/>
      <c r="K2560" s="78"/>
      <c r="L2560" s="88"/>
    </row>
    <row r="2561" ht="22.5" customHeight="1">
      <c r="A2561" s="80"/>
      <c r="B2561" s="81"/>
      <c r="C2561" s="82"/>
      <c r="D2561" s="80"/>
      <c r="E2561" s="81"/>
      <c r="F2561" s="82"/>
      <c r="G2561" s="83"/>
      <c r="H2561" s="89"/>
      <c r="I2561" s="76"/>
      <c r="J2561" s="84"/>
      <c r="K2561" s="78"/>
      <c r="L2561" s="88"/>
    </row>
    <row r="2562" ht="22.5" customHeight="1">
      <c r="A2562" s="80"/>
      <c r="B2562" s="81"/>
      <c r="C2562" s="82"/>
      <c r="D2562" s="80"/>
      <c r="E2562" s="81"/>
      <c r="F2562" s="82"/>
      <c r="G2562" s="83"/>
      <c r="H2562" s="89"/>
      <c r="I2562" s="76"/>
      <c r="J2562" s="84"/>
      <c r="K2562" s="78"/>
      <c r="L2562" s="88"/>
    </row>
    <row r="2563" ht="22.5" customHeight="1">
      <c r="A2563" s="80"/>
      <c r="B2563" s="81"/>
      <c r="C2563" s="82"/>
      <c r="D2563" s="80"/>
      <c r="E2563" s="81"/>
      <c r="F2563" s="82"/>
      <c r="G2563" s="83"/>
      <c r="H2563" s="89"/>
      <c r="I2563" s="76"/>
      <c r="J2563" s="84"/>
      <c r="K2563" s="78"/>
      <c r="L2563" s="88"/>
    </row>
    <row r="2564" ht="22.5" customHeight="1">
      <c r="A2564" s="80"/>
      <c r="B2564" s="81"/>
      <c r="C2564" s="82"/>
      <c r="D2564" s="80"/>
      <c r="E2564" s="81"/>
      <c r="F2564" s="82"/>
      <c r="G2564" s="83"/>
      <c r="H2564" s="89"/>
      <c r="I2564" s="76"/>
      <c r="J2564" s="84"/>
      <c r="K2564" s="78"/>
      <c r="L2564" s="88"/>
    </row>
    <row r="2565" ht="22.5" customHeight="1">
      <c r="A2565" s="80"/>
      <c r="B2565" s="81"/>
      <c r="C2565" s="82"/>
      <c r="D2565" s="80"/>
      <c r="E2565" s="81"/>
      <c r="F2565" s="82"/>
      <c r="G2565" s="83"/>
      <c r="H2565" s="89"/>
      <c r="I2565" s="76"/>
      <c r="J2565" s="84"/>
      <c r="K2565" s="78"/>
      <c r="L2565" s="88"/>
    </row>
    <row r="2566" ht="22.5" customHeight="1">
      <c r="A2566" s="80"/>
      <c r="B2566" s="81"/>
      <c r="C2566" s="82"/>
      <c r="D2566" s="80"/>
      <c r="E2566" s="81"/>
      <c r="F2566" s="82"/>
      <c r="G2566" s="83"/>
      <c r="H2566" s="89"/>
      <c r="I2566" s="76"/>
      <c r="J2566" s="84"/>
      <c r="K2566" s="78"/>
      <c r="L2566" s="88"/>
    </row>
    <row r="2567" ht="22.5" customHeight="1">
      <c r="A2567" s="80"/>
      <c r="B2567" s="81"/>
      <c r="C2567" s="82"/>
      <c r="D2567" s="80"/>
      <c r="E2567" s="81"/>
      <c r="F2567" s="82"/>
      <c r="G2567" s="83"/>
      <c r="H2567" s="89"/>
      <c r="I2567" s="76"/>
      <c r="J2567" s="84"/>
      <c r="K2567" s="78"/>
      <c r="L2567" s="88"/>
    </row>
    <row r="2568" ht="22.5" customHeight="1">
      <c r="A2568" s="80"/>
      <c r="B2568" s="81"/>
      <c r="C2568" s="82"/>
      <c r="D2568" s="80"/>
      <c r="E2568" s="81"/>
      <c r="F2568" s="82"/>
      <c r="G2568" s="83"/>
      <c r="H2568" s="89"/>
      <c r="I2568" s="76"/>
      <c r="J2568" s="84"/>
      <c r="K2568" s="78"/>
      <c r="L2568" s="88"/>
    </row>
    <row r="2569" ht="22.5" customHeight="1">
      <c r="A2569" s="80"/>
      <c r="B2569" s="81"/>
      <c r="C2569" s="82"/>
      <c r="D2569" s="80"/>
      <c r="E2569" s="81"/>
      <c r="F2569" s="82"/>
      <c r="G2569" s="83"/>
      <c r="H2569" s="89"/>
      <c r="I2569" s="76"/>
      <c r="J2569" s="84"/>
      <c r="K2569" s="78"/>
      <c r="L2569" s="88"/>
    </row>
    <row r="2570" ht="22.5" customHeight="1">
      <c r="A2570" s="80"/>
      <c r="B2570" s="81"/>
      <c r="C2570" s="82"/>
      <c r="D2570" s="80"/>
      <c r="E2570" s="81"/>
      <c r="F2570" s="82"/>
      <c r="G2570" s="83"/>
      <c r="H2570" s="89"/>
      <c r="I2570" s="76"/>
      <c r="J2570" s="84"/>
      <c r="K2570" s="78"/>
      <c r="L2570" s="88"/>
    </row>
    <row r="2571" ht="22.5" customHeight="1">
      <c r="A2571" s="80"/>
      <c r="B2571" s="81"/>
      <c r="C2571" s="82"/>
      <c r="D2571" s="80"/>
      <c r="E2571" s="81"/>
      <c r="F2571" s="82"/>
      <c r="G2571" s="83"/>
      <c r="H2571" s="89"/>
      <c r="I2571" s="76"/>
      <c r="J2571" s="84"/>
      <c r="K2571" s="78"/>
      <c r="L2571" s="88"/>
    </row>
    <row r="2572" ht="22.5" customHeight="1">
      <c r="A2572" s="80"/>
      <c r="B2572" s="81"/>
      <c r="C2572" s="82"/>
      <c r="D2572" s="80"/>
      <c r="E2572" s="81"/>
      <c r="F2572" s="82"/>
      <c r="G2572" s="83"/>
      <c r="H2572" s="89"/>
      <c r="I2572" s="76"/>
      <c r="J2572" s="84"/>
      <c r="K2572" s="78"/>
      <c r="L2572" s="88"/>
    </row>
    <row r="2573" ht="22.5" customHeight="1">
      <c r="A2573" s="80"/>
      <c r="B2573" s="81"/>
      <c r="C2573" s="82"/>
      <c r="D2573" s="80"/>
      <c r="E2573" s="81"/>
      <c r="F2573" s="82"/>
      <c r="G2573" s="83"/>
      <c r="H2573" s="89"/>
      <c r="I2573" s="76"/>
      <c r="J2573" s="84"/>
      <c r="K2573" s="78"/>
      <c r="L2573" s="88"/>
    </row>
    <row r="2574" ht="22.5" customHeight="1">
      <c r="A2574" s="80"/>
      <c r="B2574" s="81"/>
      <c r="C2574" s="82"/>
      <c r="D2574" s="80"/>
      <c r="E2574" s="81"/>
      <c r="F2574" s="82"/>
      <c r="G2574" s="83"/>
      <c r="H2574" s="89"/>
      <c r="I2574" s="76"/>
      <c r="J2574" s="84"/>
      <c r="K2574" s="78"/>
      <c r="L2574" s="88"/>
    </row>
    <row r="2575" ht="22.5" customHeight="1">
      <c r="A2575" s="80"/>
      <c r="B2575" s="81"/>
      <c r="C2575" s="82"/>
      <c r="D2575" s="80"/>
      <c r="E2575" s="81"/>
      <c r="F2575" s="82"/>
      <c r="G2575" s="83"/>
      <c r="H2575" s="89"/>
      <c r="I2575" s="76"/>
      <c r="J2575" s="84"/>
      <c r="K2575" s="78"/>
      <c r="L2575" s="88"/>
    </row>
    <row r="2576" ht="22.5" customHeight="1">
      <c r="A2576" s="80"/>
      <c r="B2576" s="81"/>
      <c r="C2576" s="82"/>
      <c r="D2576" s="80"/>
      <c r="E2576" s="81"/>
      <c r="F2576" s="82"/>
      <c r="G2576" s="83"/>
      <c r="H2576" s="89"/>
      <c r="I2576" s="76"/>
      <c r="J2576" s="84"/>
      <c r="K2576" s="78"/>
      <c r="L2576" s="88"/>
    </row>
    <row r="2577" ht="22.5" customHeight="1">
      <c r="A2577" s="80"/>
      <c r="B2577" s="81"/>
      <c r="C2577" s="82"/>
      <c r="D2577" s="80"/>
      <c r="E2577" s="81"/>
      <c r="F2577" s="82"/>
      <c r="G2577" s="83"/>
      <c r="H2577" s="89"/>
      <c r="I2577" s="76"/>
      <c r="J2577" s="84"/>
      <c r="K2577" s="78"/>
      <c r="L2577" s="88"/>
    </row>
    <row r="2578" ht="22.5" customHeight="1">
      <c r="A2578" s="80"/>
      <c r="B2578" s="81"/>
      <c r="C2578" s="82"/>
      <c r="D2578" s="80"/>
      <c r="E2578" s="81"/>
      <c r="F2578" s="82"/>
      <c r="G2578" s="83"/>
      <c r="H2578" s="89"/>
      <c r="I2578" s="76"/>
      <c r="J2578" s="84"/>
      <c r="K2578" s="78"/>
      <c r="L2578" s="88"/>
    </row>
    <row r="2579" ht="22.5" customHeight="1">
      <c r="A2579" s="80"/>
      <c r="B2579" s="81"/>
      <c r="C2579" s="82"/>
      <c r="D2579" s="80"/>
      <c r="E2579" s="81"/>
      <c r="F2579" s="82"/>
      <c r="G2579" s="83"/>
      <c r="H2579" s="89"/>
      <c r="I2579" s="76"/>
      <c r="J2579" s="84"/>
      <c r="K2579" s="78"/>
      <c r="L2579" s="88"/>
    </row>
    <row r="2580" ht="22.5" customHeight="1">
      <c r="A2580" s="80"/>
      <c r="B2580" s="81"/>
      <c r="C2580" s="82"/>
      <c r="D2580" s="80"/>
      <c r="E2580" s="81"/>
      <c r="F2580" s="82"/>
      <c r="G2580" s="83"/>
      <c r="H2580" s="89"/>
      <c r="I2580" s="76"/>
      <c r="J2580" s="84"/>
      <c r="K2580" s="78"/>
      <c r="L2580" s="88"/>
    </row>
    <row r="2581" ht="22.5" customHeight="1">
      <c r="A2581" s="80"/>
      <c r="B2581" s="81"/>
      <c r="C2581" s="82"/>
      <c r="D2581" s="80"/>
      <c r="E2581" s="81"/>
      <c r="F2581" s="82"/>
      <c r="G2581" s="83"/>
      <c r="H2581" s="89"/>
      <c r="I2581" s="76"/>
      <c r="J2581" s="84"/>
      <c r="K2581" s="78"/>
      <c r="L2581" s="88"/>
    </row>
    <row r="2582" ht="22.5" customHeight="1">
      <c r="A2582" s="80"/>
      <c r="B2582" s="81"/>
      <c r="C2582" s="82"/>
      <c r="D2582" s="80"/>
      <c r="E2582" s="81"/>
      <c r="F2582" s="82"/>
      <c r="G2582" s="83"/>
      <c r="H2582" s="89"/>
      <c r="I2582" s="76"/>
      <c r="J2582" s="84"/>
      <c r="K2582" s="78"/>
      <c r="L2582" s="88"/>
    </row>
    <row r="2583" ht="22.5" customHeight="1">
      <c r="A2583" s="80"/>
      <c r="B2583" s="81"/>
      <c r="C2583" s="82"/>
      <c r="D2583" s="80"/>
      <c r="E2583" s="81"/>
      <c r="F2583" s="82"/>
      <c r="G2583" s="83"/>
      <c r="H2583" s="89"/>
      <c r="I2583" s="76"/>
      <c r="J2583" s="84"/>
      <c r="K2583" s="78"/>
      <c r="L2583" s="88"/>
    </row>
    <row r="2584" ht="22.5" customHeight="1">
      <c r="A2584" s="80"/>
      <c r="B2584" s="81"/>
      <c r="C2584" s="82"/>
      <c r="D2584" s="80"/>
      <c r="E2584" s="81"/>
      <c r="F2584" s="82"/>
      <c r="G2584" s="83"/>
      <c r="H2584" s="89"/>
      <c r="I2584" s="76"/>
      <c r="J2584" s="84"/>
      <c r="K2584" s="78"/>
      <c r="L2584" s="88"/>
    </row>
    <row r="2585" ht="22.5" customHeight="1">
      <c r="A2585" s="80"/>
      <c r="B2585" s="81"/>
      <c r="C2585" s="82"/>
      <c r="D2585" s="80"/>
      <c r="E2585" s="81"/>
      <c r="F2585" s="82"/>
      <c r="G2585" s="83"/>
      <c r="H2585" s="89"/>
      <c r="I2585" s="76"/>
      <c r="J2585" s="84"/>
      <c r="K2585" s="78"/>
      <c r="L2585" s="88"/>
    </row>
    <row r="2586" ht="22.5" customHeight="1">
      <c r="A2586" s="80"/>
      <c r="B2586" s="81"/>
      <c r="C2586" s="82"/>
      <c r="D2586" s="80"/>
      <c r="E2586" s="81"/>
      <c r="F2586" s="82"/>
      <c r="G2586" s="83"/>
      <c r="H2586" s="89"/>
      <c r="I2586" s="76"/>
      <c r="J2586" s="84"/>
      <c r="K2586" s="78"/>
      <c r="L2586" s="88"/>
    </row>
    <row r="2587" ht="22.5" customHeight="1">
      <c r="A2587" s="80"/>
      <c r="B2587" s="81"/>
      <c r="C2587" s="82"/>
      <c r="D2587" s="80"/>
      <c r="E2587" s="81"/>
      <c r="F2587" s="82"/>
      <c r="G2587" s="83"/>
      <c r="H2587" s="89"/>
      <c r="I2587" s="76"/>
      <c r="J2587" s="84"/>
      <c r="K2587" s="78"/>
      <c r="L2587" s="88"/>
    </row>
    <row r="2588" ht="22.5" customHeight="1">
      <c r="A2588" s="80"/>
      <c r="B2588" s="81"/>
      <c r="C2588" s="82"/>
      <c r="D2588" s="80"/>
      <c r="E2588" s="81"/>
      <c r="F2588" s="82"/>
      <c r="G2588" s="83"/>
      <c r="H2588" s="89"/>
      <c r="I2588" s="76"/>
      <c r="J2588" s="84"/>
      <c r="K2588" s="78"/>
      <c r="L2588" s="88"/>
    </row>
    <row r="2589" ht="22.5" customHeight="1">
      <c r="A2589" s="80"/>
      <c r="B2589" s="81"/>
      <c r="C2589" s="82"/>
      <c r="D2589" s="80"/>
      <c r="E2589" s="81"/>
      <c r="F2589" s="82"/>
      <c r="G2589" s="83"/>
      <c r="H2589" s="89"/>
      <c r="I2589" s="76"/>
      <c r="J2589" s="84"/>
      <c r="K2589" s="78"/>
      <c r="L2589" s="88"/>
    </row>
    <row r="2590" ht="22.5" customHeight="1">
      <c r="A2590" s="80"/>
      <c r="B2590" s="81"/>
      <c r="C2590" s="82"/>
      <c r="D2590" s="80"/>
      <c r="E2590" s="81"/>
      <c r="F2590" s="82"/>
      <c r="G2590" s="83"/>
      <c r="H2590" s="89"/>
      <c r="I2590" s="76"/>
      <c r="J2590" s="84"/>
      <c r="K2590" s="78"/>
      <c r="L2590" s="88"/>
    </row>
    <row r="2591" ht="22.5" customHeight="1">
      <c r="A2591" s="80"/>
      <c r="B2591" s="81"/>
      <c r="C2591" s="82"/>
      <c r="D2591" s="80"/>
      <c r="E2591" s="81"/>
      <c r="F2591" s="82"/>
      <c r="G2591" s="83"/>
      <c r="H2591" s="89"/>
      <c r="I2591" s="76"/>
      <c r="J2591" s="84"/>
      <c r="K2591" s="78"/>
      <c r="L2591" s="88"/>
    </row>
    <row r="2592" ht="22.5" customHeight="1">
      <c r="A2592" s="80"/>
      <c r="B2592" s="81"/>
      <c r="C2592" s="82"/>
      <c r="D2592" s="80"/>
      <c r="E2592" s="81"/>
      <c r="F2592" s="82"/>
      <c r="G2592" s="83"/>
      <c r="H2592" s="89"/>
      <c r="I2592" s="76"/>
      <c r="J2592" s="84"/>
      <c r="K2592" s="78"/>
      <c r="L2592" s="88"/>
    </row>
    <row r="2593" ht="22.5" customHeight="1">
      <c r="A2593" s="80"/>
      <c r="B2593" s="81"/>
      <c r="C2593" s="82"/>
      <c r="D2593" s="80"/>
      <c r="E2593" s="81"/>
      <c r="F2593" s="82"/>
      <c r="G2593" s="83"/>
      <c r="H2593" s="89"/>
      <c r="I2593" s="76"/>
      <c r="J2593" s="84"/>
      <c r="K2593" s="78"/>
      <c r="L2593" s="88"/>
    </row>
    <row r="2594" ht="22.5" customHeight="1">
      <c r="A2594" s="80"/>
      <c r="B2594" s="81"/>
      <c r="C2594" s="82"/>
      <c r="D2594" s="80"/>
      <c r="E2594" s="81"/>
      <c r="F2594" s="82"/>
      <c r="G2594" s="83"/>
      <c r="H2594" s="89"/>
      <c r="I2594" s="76"/>
      <c r="J2594" s="84"/>
      <c r="K2594" s="78"/>
      <c r="L2594" s="88"/>
    </row>
    <row r="2595" ht="22.5" customHeight="1">
      <c r="A2595" s="80"/>
      <c r="B2595" s="81"/>
      <c r="C2595" s="82"/>
      <c r="D2595" s="80"/>
      <c r="E2595" s="81"/>
      <c r="F2595" s="82"/>
      <c r="G2595" s="83"/>
      <c r="H2595" s="89"/>
      <c r="I2595" s="76"/>
      <c r="J2595" s="84"/>
      <c r="K2595" s="78"/>
      <c r="L2595" s="88"/>
    </row>
    <row r="2596" ht="22.5" customHeight="1">
      <c r="A2596" s="80"/>
      <c r="B2596" s="81"/>
      <c r="C2596" s="82"/>
      <c r="D2596" s="80"/>
      <c r="E2596" s="81"/>
      <c r="F2596" s="82"/>
      <c r="G2596" s="83"/>
      <c r="H2596" s="89"/>
      <c r="I2596" s="76"/>
      <c r="J2596" s="84"/>
      <c r="K2596" s="78"/>
      <c r="L2596" s="88"/>
    </row>
    <row r="2597" ht="22.5" customHeight="1">
      <c r="A2597" s="80"/>
      <c r="B2597" s="81"/>
      <c r="C2597" s="82"/>
      <c r="D2597" s="80"/>
      <c r="E2597" s="81"/>
      <c r="F2597" s="82"/>
      <c r="G2597" s="83"/>
      <c r="H2597" s="89"/>
      <c r="I2597" s="76"/>
      <c r="J2597" s="84"/>
      <c r="K2597" s="78"/>
      <c r="L2597" s="88"/>
    </row>
    <row r="2598" ht="22.5" customHeight="1">
      <c r="A2598" s="80"/>
      <c r="B2598" s="81"/>
      <c r="C2598" s="82"/>
      <c r="D2598" s="80"/>
      <c r="E2598" s="81"/>
      <c r="F2598" s="82"/>
      <c r="G2598" s="83"/>
      <c r="H2598" s="89"/>
      <c r="I2598" s="76"/>
      <c r="J2598" s="84"/>
      <c r="K2598" s="78"/>
      <c r="L2598" s="88"/>
    </row>
    <row r="2599" ht="22.5" customHeight="1">
      <c r="A2599" s="80"/>
      <c r="B2599" s="81"/>
      <c r="C2599" s="82"/>
      <c r="D2599" s="80"/>
      <c r="E2599" s="81"/>
      <c r="F2599" s="82"/>
      <c r="G2599" s="83"/>
      <c r="H2599" s="89"/>
      <c r="I2599" s="76"/>
      <c r="J2599" s="84"/>
      <c r="K2599" s="78"/>
      <c r="L2599" s="88"/>
    </row>
    <row r="2600" ht="22.5" customHeight="1">
      <c r="A2600" s="80"/>
      <c r="B2600" s="81"/>
      <c r="C2600" s="82"/>
      <c r="D2600" s="80"/>
      <c r="E2600" s="81"/>
      <c r="F2600" s="82"/>
      <c r="G2600" s="83"/>
      <c r="H2600" s="89"/>
      <c r="I2600" s="76"/>
      <c r="J2600" s="84"/>
      <c r="K2600" s="78"/>
      <c r="L2600" s="88"/>
    </row>
    <row r="2601" ht="22.5" customHeight="1">
      <c r="A2601" s="80"/>
      <c r="B2601" s="81"/>
      <c r="C2601" s="82"/>
      <c r="D2601" s="80"/>
      <c r="E2601" s="81"/>
      <c r="F2601" s="82"/>
      <c r="G2601" s="83"/>
      <c r="H2601" s="89"/>
      <c r="I2601" s="76"/>
      <c r="J2601" s="84"/>
      <c r="K2601" s="78"/>
      <c r="L2601" s="88"/>
    </row>
    <row r="2602" ht="22.5" customHeight="1">
      <c r="A2602" s="80"/>
      <c r="B2602" s="81"/>
      <c r="C2602" s="82"/>
      <c r="D2602" s="80"/>
      <c r="E2602" s="81"/>
      <c r="F2602" s="82"/>
      <c r="G2602" s="83"/>
      <c r="H2602" s="89"/>
      <c r="I2602" s="76"/>
      <c r="J2602" s="84"/>
      <c r="K2602" s="78"/>
      <c r="L2602" s="88"/>
    </row>
    <row r="2603" ht="22.5" customHeight="1">
      <c r="A2603" s="80"/>
      <c r="B2603" s="81"/>
      <c r="C2603" s="82"/>
      <c r="D2603" s="80"/>
      <c r="E2603" s="81"/>
      <c r="F2603" s="82"/>
      <c r="G2603" s="83"/>
      <c r="H2603" s="89"/>
      <c r="I2603" s="76"/>
      <c r="J2603" s="84"/>
      <c r="K2603" s="78"/>
      <c r="L2603" s="88"/>
    </row>
    <row r="2604" ht="22.5" customHeight="1">
      <c r="A2604" s="80"/>
      <c r="B2604" s="81"/>
      <c r="C2604" s="82"/>
      <c r="D2604" s="80"/>
      <c r="E2604" s="81"/>
      <c r="F2604" s="82"/>
      <c r="G2604" s="83"/>
      <c r="H2604" s="89"/>
      <c r="I2604" s="76"/>
      <c r="J2604" s="84"/>
      <c r="K2604" s="78"/>
      <c r="L2604" s="88"/>
    </row>
    <row r="2605" ht="22.5" customHeight="1">
      <c r="A2605" s="80"/>
      <c r="B2605" s="81"/>
      <c r="C2605" s="82"/>
      <c r="D2605" s="80"/>
      <c r="E2605" s="81"/>
      <c r="F2605" s="82"/>
      <c r="G2605" s="83"/>
      <c r="H2605" s="89"/>
      <c r="I2605" s="76"/>
      <c r="J2605" s="84"/>
      <c r="K2605" s="78"/>
      <c r="L2605" s="88"/>
    </row>
    <row r="2606" ht="22.5" customHeight="1">
      <c r="A2606" s="80"/>
      <c r="B2606" s="81"/>
      <c r="C2606" s="82"/>
      <c r="D2606" s="80"/>
      <c r="E2606" s="81"/>
      <c r="F2606" s="82"/>
      <c r="G2606" s="83"/>
      <c r="H2606" s="89"/>
      <c r="I2606" s="76"/>
      <c r="J2606" s="84"/>
      <c r="K2606" s="78"/>
      <c r="L2606" s="88"/>
    </row>
    <row r="2607" ht="22.5" customHeight="1">
      <c r="A2607" s="80"/>
      <c r="B2607" s="81"/>
      <c r="C2607" s="82"/>
      <c r="D2607" s="80"/>
      <c r="E2607" s="81"/>
      <c r="F2607" s="82"/>
      <c r="G2607" s="83"/>
      <c r="H2607" s="89"/>
      <c r="I2607" s="76"/>
      <c r="J2607" s="84"/>
      <c r="K2607" s="78"/>
      <c r="L2607" s="88"/>
    </row>
    <row r="2608" ht="22.5" customHeight="1">
      <c r="A2608" s="80"/>
      <c r="B2608" s="81"/>
      <c r="C2608" s="82"/>
      <c r="D2608" s="80"/>
      <c r="E2608" s="81"/>
      <c r="F2608" s="82"/>
      <c r="G2608" s="83"/>
      <c r="H2608" s="89"/>
      <c r="I2608" s="76"/>
      <c r="J2608" s="84"/>
      <c r="K2608" s="78"/>
      <c r="L2608" s="88"/>
    </row>
    <row r="2609" ht="22.5" customHeight="1">
      <c r="A2609" s="80"/>
      <c r="B2609" s="81"/>
      <c r="C2609" s="82"/>
      <c r="D2609" s="80"/>
      <c r="E2609" s="81"/>
      <c r="F2609" s="82"/>
      <c r="G2609" s="83"/>
      <c r="H2609" s="89"/>
      <c r="I2609" s="76"/>
      <c r="J2609" s="84"/>
      <c r="K2609" s="78"/>
      <c r="L2609" s="88"/>
    </row>
    <row r="2610" ht="22.5" customHeight="1">
      <c r="A2610" s="80"/>
      <c r="B2610" s="81"/>
      <c r="C2610" s="82"/>
      <c r="D2610" s="80"/>
      <c r="E2610" s="81"/>
      <c r="F2610" s="82"/>
      <c r="G2610" s="83"/>
      <c r="H2610" s="89"/>
      <c r="I2610" s="76"/>
      <c r="J2610" s="84"/>
      <c r="K2610" s="78"/>
      <c r="L2610" s="88"/>
    </row>
    <row r="2611" ht="22.5" customHeight="1">
      <c r="A2611" s="80"/>
      <c r="B2611" s="81"/>
      <c r="C2611" s="82"/>
      <c r="D2611" s="80"/>
      <c r="E2611" s="81"/>
      <c r="F2611" s="82"/>
      <c r="G2611" s="83"/>
      <c r="H2611" s="89"/>
      <c r="I2611" s="76"/>
      <c r="J2611" s="84"/>
      <c r="K2611" s="78"/>
      <c r="L2611" s="88"/>
    </row>
    <row r="2612" ht="22.5" customHeight="1">
      <c r="A2612" s="80"/>
      <c r="B2612" s="81"/>
      <c r="C2612" s="82"/>
      <c r="D2612" s="80"/>
      <c r="E2612" s="81"/>
      <c r="F2612" s="82"/>
      <c r="G2612" s="83"/>
      <c r="H2612" s="89"/>
      <c r="I2612" s="76"/>
      <c r="J2612" s="84"/>
      <c r="K2612" s="78"/>
      <c r="L2612" s="88"/>
    </row>
    <row r="2613" ht="22.5" customHeight="1">
      <c r="A2613" s="80"/>
      <c r="B2613" s="81"/>
      <c r="C2613" s="82"/>
      <c r="D2613" s="80"/>
      <c r="E2613" s="81"/>
      <c r="F2613" s="82"/>
      <c r="G2613" s="83"/>
      <c r="H2613" s="89"/>
      <c r="I2613" s="76"/>
      <c r="J2613" s="84"/>
      <c r="K2613" s="78"/>
      <c r="L2613" s="88"/>
    </row>
    <row r="2614" ht="22.5" customHeight="1">
      <c r="A2614" s="80"/>
      <c r="B2614" s="81"/>
      <c r="C2614" s="82"/>
      <c r="D2614" s="80"/>
      <c r="E2614" s="81"/>
      <c r="F2614" s="82"/>
      <c r="G2614" s="83"/>
      <c r="H2614" s="89"/>
      <c r="I2614" s="76"/>
      <c r="J2614" s="84"/>
      <c r="K2614" s="78"/>
      <c r="L2614" s="88"/>
    </row>
    <row r="2615" ht="22.5" customHeight="1">
      <c r="A2615" s="80"/>
      <c r="B2615" s="81"/>
      <c r="C2615" s="82"/>
      <c r="D2615" s="80"/>
      <c r="E2615" s="81"/>
      <c r="F2615" s="82"/>
      <c r="G2615" s="83"/>
      <c r="H2615" s="89"/>
      <c r="I2615" s="76"/>
      <c r="J2615" s="84"/>
      <c r="K2615" s="78"/>
      <c r="L2615" s="88"/>
    </row>
    <row r="2616" ht="22.5" customHeight="1">
      <c r="A2616" s="80"/>
      <c r="B2616" s="81"/>
      <c r="C2616" s="82"/>
      <c r="D2616" s="80"/>
      <c r="E2616" s="81"/>
      <c r="F2616" s="82"/>
      <c r="G2616" s="83"/>
      <c r="H2616" s="89"/>
      <c r="I2616" s="76"/>
      <c r="J2616" s="84"/>
      <c r="K2616" s="78"/>
      <c r="L2616" s="88"/>
    </row>
    <row r="2617" ht="22.5" customHeight="1">
      <c r="A2617" s="80"/>
      <c r="B2617" s="81"/>
      <c r="C2617" s="82"/>
      <c r="D2617" s="80"/>
      <c r="E2617" s="81"/>
      <c r="F2617" s="82"/>
      <c r="G2617" s="83"/>
      <c r="H2617" s="89"/>
      <c r="I2617" s="76"/>
      <c r="J2617" s="84"/>
      <c r="K2617" s="78"/>
      <c r="L2617" s="88"/>
    </row>
    <row r="2618" ht="22.5" customHeight="1">
      <c r="A2618" s="80"/>
      <c r="B2618" s="81"/>
      <c r="C2618" s="82"/>
      <c r="D2618" s="80"/>
      <c r="E2618" s="81"/>
      <c r="F2618" s="82"/>
      <c r="G2618" s="83"/>
      <c r="H2618" s="89"/>
      <c r="I2618" s="76"/>
      <c r="J2618" s="84"/>
      <c r="K2618" s="78"/>
      <c r="L2618" s="88"/>
    </row>
    <row r="2619" ht="22.5" customHeight="1">
      <c r="A2619" s="80"/>
      <c r="B2619" s="81"/>
      <c r="C2619" s="82"/>
      <c r="D2619" s="80"/>
      <c r="E2619" s="81"/>
      <c r="F2619" s="82"/>
      <c r="G2619" s="83"/>
      <c r="H2619" s="89"/>
      <c r="I2619" s="76"/>
      <c r="J2619" s="84"/>
      <c r="K2619" s="78"/>
      <c r="L2619" s="88"/>
    </row>
    <row r="2620" ht="22.5" customHeight="1">
      <c r="A2620" s="80"/>
      <c r="B2620" s="81"/>
      <c r="C2620" s="82"/>
      <c r="D2620" s="80"/>
      <c r="E2620" s="81"/>
      <c r="F2620" s="82"/>
      <c r="G2620" s="83"/>
      <c r="H2620" s="89"/>
      <c r="I2620" s="76"/>
      <c r="J2620" s="84"/>
      <c r="K2620" s="78"/>
      <c r="L2620" s="88"/>
    </row>
    <row r="2621" ht="22.5" customHeight="1">
      <c r="A2621" s="80"/>
      <c r="B2621" s="81"/>
      <c r="C2621" s="82"/>
      <c r="D2621" s="80"/>
      <c r="E2621" s="81"/>
      <c r="F2621" s="82"/>
      <c r="G2621" s="83"/>
      <c r="H2621" s="89"/>
      <c r="I2621" s="76"/>
      <c r="J2621" s="84"/>
      <c r="K2621" s="78"/>
      <c r="L2621" s="88"/>
    </row>
    <row r="2622" ht="22.5" customHeight="1">
      <c r="A2622" s="80"/>
      <c r="B2622" s="81"/>
      <c r="C2622" s="82"/>
      <c r="D2622" s="80"/>
      <c r="E2622" s="81"/>
      <c r="F2622" s="82"/>
      <c r="G2622" s="83"/>
      <c r="H2622" s="89"/>
      <c r="I2622" s="76"/>
      <c r="J2622" s="84"/>
      <c r="K2622" s="78"/>
      <c r="L2622" s="88"/>
    </row>
    <row r="2623" ht="22.5" customHeight="1">
      <c r="A2623" s="80"/>
      <c r="B2623" s="81"/>
      <c r="C2623" s="82"/>
      <c r="D2623" s="80"/>
      <c r="E2623" s="81"/>
      <c r="F2623" s="82"/>
      <c r="G2623" s="83"/>
      <c r="H2623" s="89"/>
      <c r="I2623" s="76"/>
      <c r="J2623" s="84"/>
      <c r="K2623" s="78"/>
      <c r="L2623" s="88"/>
    </row>
    <row r="2624" ht="22.5" customHeight="1">
      <c r="A2624" s="80"/>
      <c r="B2624" s="81"/>
      <c r="C2624" s="82"/>
      <c r="D2624" s="80"/>
      <c r="E2624" s="81"/>
      <c r="F2624" s="82"/>
      <c r="G2624" s="83"/>
      <c r="H2624" s="89"/>
      <c r="I2624" s="76"/>
      <c r="J2624" s="84"/>
      <c r="K2624" s="78"/>
      <c r="L2624" s="88"/>
    </row>
    <row r="2625" ht="22.5" customHeight="1">
      <c r="A2625" s="80"/>
      <c r="B2625" s="81"/>
      <c r="C2625" s="82"/>
      <c r="D2625" s="80"/>
      <c r="E2625" s="81"/>
      <c r="F2625" s="82"/>
      <c r="G2625" s="83"/>
      <c r="H2625" s="89"/>
      <c r="I2625" s="76"/>
      <c r="J2625" s="84"/>
      <c r="K2625" s="78"/>
      <c r="L2625" s="88"/>
    </row>
    <row r="2626" ht="22.5" customHeight="1">
      <c r="A2626" s="80"/>
      <c r="B2626" s="81"/>
      <c r="C2626" s="82"/>
      <c r="D2626" s="80"/>
      <c r="E2626" s="81"/>
      <c r="F2626" s="82"/>
      <c r="G2626" s="83"/>
      <c r="H2626" s="89"/>
      <c r="I2626" s="76"/>
      <c r="J2626" s="84"/>
      <c r="K2626" s="78"/>
      <c r="L2626" s="88"/>
    </row>
    <row r="2627" ht="22.5" customHeight="1">
      <c r="A2627" s="80"/>
      <c r="B2627" s="81"/>
      <c r="C2627" s="82"/>
      <c r="D2627" s="80"/>
      <c r="E2627" s="81"/>
      <c r="F2627" s="82"/>
      <c r="G2627" s="83"/>
      <c r="H2627" s="89"/>
      <c r="I2627" s="76"/>
      <c r="J2627" s="84"/>
      <c r="K2627" s="78"/>
      <c r="L2627" s="88"/>
    </row>
    <row r="2628" ht="22.5" customHeight="1">
      <c r="A2628" s="80"/>
      <c r="B2628" s="81"/>
      <c r="C2628" s="82"/>
      <c r="D2628" s="80"/>
      <c r="E2628" s="81"/>
      <c r="F2628" s="82"/>
      <c r="G2628" s="83"/>
      <c r="H2628" s="89"/>
      <c r="I2628" s="76"/>
      <c r="J2628" s="84"/>
      <c r="K2628" s="78"/>
      <c r="L2628" s="88"/>
    </row>
    <row r="2629" ht="22.5" customHeight="1">
      <c r="A2629" s="80"/>
      <c r="B2629" s="81"/>
      <c r="C2629" s="82"/>
      <c r="D2629" s="80"/>
      <c r="E2629" s="81"/>
      <c r="F2629" s="82"/>
      <c r="G2629" s="83"/>
      <c r="H2629" s="89"/>
      <c r="I2629" s="76"/>
      <c r="J2629" s="84"/>
      <c r="K2629" s="78"/>
      <c r="L2629" s="88"/>
    </row>
    <row r="2630" ht="22.5" customHeight="1">
      <c r="A2630" s="80"/>
      <c r="B2630" s="81"/>
      <c r="C2630" s="82"/>
      <c r="D2630" s="80"/>
      <c r="E2630" s="81"/>
      <c r="F2630" s="82"/>
      <c r="G2630" s="83"/>
      <c r="H2630" s="89"/>
      <c r="I2630" s="76"/>
      <c r="J2630" s="84"/>
      <c r="K2630" s="78"/>
      <c r="L2630" s="88"/>
    </row>
    <row r="2631" ht="22.5" customHeight="1">
      <c r="A2631" s="80"/>
      <c r="B2631" s="81"/>
      <c r="C2631" s="82"/>
      <c r="D2631" s="80"/>
      <c r="E2631" s="81"/>
      <c r="F2631" s="82"/>
      <c r="G2631" s="83"/>
      <c r="H2631" s="89"/>
      <c r="I2631" s="76"/>
      <c r="J2631" s="84"/>
      <c r="K2631" s="78"/>
      <c r="L2631" s="88"/>
    </row>
    <row r="2632" ht="22.5" customHeight="1">
      <c r="A2632" s="80"/>
      <c r="B2632" s="81"/>
      <c r="C2632" s="82"/>
      <c r="D2632" s="80"/>
      <c r="E2632" s="81"/>
      <c r="F2632" s="82"/>
      <c r="G2632" s="83"/>
      <c r="H2632" s="89"/>
      <c r="I2632" s="76"/>
      <c r="J2632" s="84"/>
      <c r="K2632" s="78"/>
      <c r="L2632" s="88"/>
    </row>
    <row r="2633" ht="22.5" customHeight="1">
      <c r="A2633" s="80"/>
      <c r="B2633" s="81"/>
      <c r="C2633" s="82"/>
      <c r="D2633" s="80"/>
      <c r="E2633" s="81"/>
      <c r="F2633" s="82"/>
      <c r="G2633" s="83"/>
      <c r="H2633" s="89"/>
      <c r="I2633" s="76"/>
      <c r="J2633" s="84"/>
      <c r="K2633" s="78"/>
      <c r="L2633" s="88"/>
    </row>
    <row r="2634" ht="22.5" customHeight="1">
      <c r="A2634" s="80"/>
      <c r="B2634" s="81"/>
      <c r="C2634" s="82"/>
      <c r="D2634" s="80"/>
      <c r="E2634" s="81"/>
      <c r="F2634" s="82"/>
      <c r="G2634" s="83"/>
      <c r="H2634" s="89"/>
      <c r="I2634" s="76"/>
      <c r="J2634" s="84"/>
      <c r="K2634" s="78"/>
      <c r="L2634" s="88"/>
    </row>
    <row r="2635" ht="22.5" customHeight="1">
      <c r="A2635" s="80"/>
      <c r="B2635" s="81"/>
      <c r="C2635" s="82"/>
      <c r="D2635" s="80"/>
      <c r="E2635" s="81"/>
      <c r="F2635" s="82"/>
      <c r="G2635" s="83"/>
      <c r="H2635" s="89"/>
      <c r="I2635" s="76"/>
      <c r="J2635" s="84"/>
      <c r="K2635" s="78"/>
      <c r="L2635" s="88"/>
    </row>
    <row r="2636" ht="22.5" customHeight="1">
      <c r="A2636" s="80"/>
      <c r="B2636" s="81"/>
      <c r="C2636" s="82"/>
      <c r="D2636" s="80"/>
      <c r="E2636" s="81"/>
      <c r="F2636" s="82"/>
      <c r="G2636" s="83"/>
      <c r="H2636" s="89"/>
      <c r="I2636" s="76"/>
      <c r="J2636" s="84"/>
      <c r="K2636" s="78"/>
      <c r="L2636" s="88"/>
    </row>
    <row r="2637" ht="22.5" customHeight="1">
      <c r="A2637" s="80"/>
      <c r="B2637" s="81"/>
      <c r="C2637" s="82"/>
      <c r="D2637" s="80"/>
      <c r="E2637" s="81"/>
      <c r="F2637" s="82"/>
      <c r="G2637" s="83"/>
      <c r="H2637" s="89"/>
      <c r="I2637" s="76"/>
      <c r="J2637" s="84"/>
      <c r="K2637" s="78"/>
      <c r="L2637" s="88"/>
    </row>
    <row r="2638" ht="22.5" customHeight="1">
      <c r="A2638" s="80"/>
      <c r="B2638" s="81"/>
      <c r="C2638" s="82"/>
      <c r="D2638" s="80"/>
      <c r="E2638" s="81"/>
      <c r="F2638" s="82"/>
      <c r="G2638" s="83"/>
      <c r="H2638" s="89"/>
      <c r="I2638" s="76"/>
      <c r="J2638" s="84"/>
      <c r="K2638" s="78"/>
      <c r="L2638" s="88"/>
    </row>
    <row r="2639" ht="22.5" customHeight="1">
      <c r="A2639" s="80"/>
      <c r="B2639" s="81"/>
      <c r="C2639" s="82"/>
      <c r="D2639" s="80"/>
      <c r="E2639" s="81"/>
      <c r="F2639" s="82"/>
      <c r="G2639" s="83"/>
      <c r="H2639" s="89"/>
      <c r="I2639" s="76"/>
      <c r="J2639" s="84"/>
      <c r="K2639" s="78"/>
      <c r="L2639" s="88"/>
    </row>
    <row r="2640" ht="22.5" customHeight="1">
      <c r="A2640" s="80"/>
      <c r="B2640" s="81"/>
      <c r="C2640" s="82"/>
      <c r="D2640" s="80"/>
      <c r="E2640" s="81"/>
      <c r="F2640" s="82"/>
      <c r="G2640" s="83"/>
      <c r="H2640" s="89"/>
      <c r="I2640" s="76"/>
      <c r="J2640" s="84"/>
      <c r="K2640" s="78"/>
      <c r="L2640" s="88"/>
    </row>
    <row r="2641" ht="22.5" customHeight="1">
      <c r="A2641" s="80"/>
      <c r="B2641" s="81"/>
      <c r="C2641" s="82"/>
      <c r="D2641" s="80"/>
      <c r="E2641" s="81"/>
      <c r="F2641" s="82"/>
      <c r="G2641" s="83"/>
      <c r="H2641" s="89"/>
      <c r="I2641" s="76"/>
      <c r="J2641" s="84"/>
      <c r="K2641" s="78"/>
      <c r="L2641" s="88"/>
    </row>
    <row r="2642" ht="22.5" customHeight="1">
      <c r="A2642" s="80"/>
      <c r="B2642" s="81"/>
      <c r="C2642" s="82"/>
      <c r="D2642" s="80"/>
      <c r="E2642" s="81"/>
      <c r="F2642" s="82"/>
      <c r="G2642" s="83"/>
      <c r="H2642" s="89"/>
      <c r="I2642" s="76"/>
      <c r="J2642" s="84"/>
      <c r="K2642" s="78"/>
      <c r="L2642" s="88"/>
    </row>
    <row r="2643" ht="22.5" customHeight="1">
      <c r="A2643" s="80"/>
      <c r="B2643" s="81"/>
      <c r="C2643" s="82"/>
      <c r="D2643" s="80"/>
      <c r="E2643" s="81"/>
      <c r="F2643" s="82"/>
      <c r="G2643" s="83"/>
      <c r="H2643" s="89"/>
      <c r="I2643" s="76"/>
      <c r="J2643" s="84"/>
      <c r="K2643" s="78"/>
      <c r="L2643" s="88"/>
    </row>
    <row r="2644" ht="22.5" customHeight="1">
      <c r="A2644" s="80"/>
      <c r="B2644" s="81"/>
      <c r="C2644" s="82"/>
      <c r="D2644" s="80"/>
      <c r="E2644" s="81"/>
      <c r="F2644" s="82"/>
      <c r="G2644" s="83"/>
      <c r="H2644" s="89"/>
      <c r="I2644" s="76"/>
      <c r="J2644" s="84"/>
      <c r="K2644" s="78"/>
      <c r="L2644" s="88"/>
    </row>
    <row r="2645" ht="22.5" customHeight="1">
      <c r="A2645" s="80"/>
      <c r="B2645" s="81"/>
      <c r="C2645" s="82"/>
      <c r="D2645" s="80"/>
      <c r="E2645" s="81"/>
      <c r="F2645" s="82"/>
      <c r="G2645" s="83"/>
      <c r="H2645" s="89"/>
      <c r="I2645" s="76"/>
      <c r="J2645" s="84"/>
      <c r="K2645" s="78"/>
      <c r="L2645" s="88"/>
    </row>
    <row r="2646" ht="22.5" customHeight="1">
      <c r="A2646" s="80"/>
      <c r="B2646" s="81"/>
      <c r="C2646" s="82"/>
      <c r="D2646" s="80"/>
      <c r="E2646" s="81"/>
      <c r="F2646" s="82"/>
      <c r="G2646" s="83"/>
      <c r="H2646" s="89"/>
      <c r="I2646" s="76"/>
      <c r="J2646" s="84"/>
      <c r="K2646" s="78"/>
      <c r="L2646" s="88"/>
    </row>
    <row r="2647" ht="22.5" customHeight="1">
      <c r="A2647" s="80"/>
      <c r="B2647" s="81"/>
      <c r="C2647" s="82"/>
      <c r="D2647" s="80"/>
      <c r="E2647" s="81"/>
      <c r="F2647" s="82"/>
      <c r="G2647" s="83"/>
      <c r="H2647" s="89"/>
      <c r="I2647" s="76"/>
      <c r="J2647" s="84"/>
      <c r="K2647" s="78"/>
      <c r="L2647" s="88"/>
    </row>
    <row r="2648" ht="22.5" customHeight="1">
      <c r="A2648" s="80"/>
      <c r="B2648" s="81"/>
      <c r="C2648" s="82"/>
      <c r="D2648" s="80"/>
      <c r="E2648" s="81"/>
      <c r="F2648" s="82"/>
      <c r="G2648" s="83"/>
      <c r="H2648" s="89"/>
      <c r="I2648" s="76"/>
      <c r="J2648" s="84"/>
      <c r="K2648" s="78"/>
      <c r="L2648" s="88"/>
    </row>
    <row r="2649" ht="22.5" customHeight="1">
      <c r="A2649" s="80"/>
      <c r="B2649" s="81"/>
      <c r="C2649" s="82"/>
      <c r="D2649" s="80"/>
      <c r="E2649" s="81"/>
      <c r="F2649" s="82"/>
      <c r="G2649" s="83"/>
      <c r="H2649" s="89"/>
      <c r="I2649" s="76"/>
      <c r="J2649" s="84"/>
      <c r="K2649" s="78"/>
      <c r="L2649" s="88"/>
    </row>
    <row r="2650" ht="22.5" customHeight="1">
      <c r="A2650" s="80"/>
      <c r="B2650" s="81"/>
      <c r="C2650" s="82"/>
      <c r="D2650" s="80"/>
      <c r="E2650" s="81"/>
      <c r="F2650" s="82"/>
      <c r="G2650" s="83"/>
      <c r="H2650" s="89"/>
      <c r="I2650" s="76"/>
      <c r="J2650" s="84"/>
      <c r="K2650" s="78"/>
      <c r="L2650" s="88"/>
    </row>
    <row r="2651" ht="22.5" customHeight="1">
      <c r="A2651" s="80"/>
      <c r="B2651" s="81"/>
      <c r="C2651" s="82"/>
      <c r="D2651" s="80"/>
      <c r="E2651" s="81"/>
      <c r="F2651" s="82"/>
      <c r="G2651" s="83"/>
      <c r="H2651" s="89"/>
      <c r="I2651" s="76"/>
      <c r="J2651" s="84"/>
      <c r="K2651" s="78"/>
      <c r="L2651" s="88"/>
    </row>
    <row r="2652" ht="22.5" customHeight="1">
      <c r="A2652" s="80"/>
      <c r="B2652" s="81"/>
      <c r="C2652" s="82"/>
      <c r="D2652" s="80"/>
      <c r="E2652" s="81"/>
      <c r="F2652" s="82"/>
      <c r="G2652" s="83"/>
      <c r="H2652" s="89"/>
      <c r="I2652" s="76"/>
      <c r="J2652" s="84"/>
      <c r="K2652" s="78"/>
      <c r="L2652" s="88"/>
    </row>
    <row r="2653" ht="22.5" customHeight="1">
      <c r="A2653" s="80"/>
      <c r="B2653" s="81"/>
      <c r="C2653" s="82"/>
      <c r="D2653" s="80"/>
      <c r="E2653" s="81"/>
      <c r="F2653" s="82"/>
      <c r="G2653" s="83"/>
      <c r="H2653" s="89"/>
      <c r="I2653" s="76"/>
      <c r="J2653" s="84"/>
      <c r="K2653" s="78"/>
      <c r="L2653" s="88"/>
    </row>
    <row r="2654" ht="22.5" customHeight="1">
      <c r="A2654" s="80"/>
      <c r="B2654" s="81"/>
      <c r="C2654" s="82"/>
      <c r="D2654" s="80"/>
      <c r="E2654" s="81"/>
      <c r="F2654" s="82"/>
      <c r="G2654" s="83"/>
      <c r="H2654" s="89"/>
      <c r="I2654" s="76"/>
      <c r="J2654" s="84"/>
      <c r="K2654" s="78"/>
      <c r="L2654" s="88"/>
    </row>
    <row r="2655" ht="22.5" customHeight="1">
      <c r="A2655" s="80"/>
      <c r="B2655" s="81"/>
      <c r="C2655" s="82"/>
      <c r="D2655" s="80"/>
      <c r="E2655" s="81"/>
      <c r="F2655" s="82"/>
      <c r="G2655" s="83"/>
      <c r="H2655" s="89"/>
      <c r="I2655" s="76"/>
      <c r="J2655" s="84"/>
      <c r="K2655" s="78"/>
      <c r="L2655" s="88"/>
    </row>
    <row r="2656" ht="22.5" customHeight="1">
      <c r="A2656" s="80"/>
      <c r="B2656" s="81"/>
      <c r="C2656" s="82"/>
      <c r="D2656" s="80"/>
      <c r="E2656" s="81"/>
      <c r="F2656" s="82"/>
      <c r="G2656" s="83"/>
      <c r="H2656" s="89"/>
      <c r="I2656" s="76"/>
      <c r="J2656" s="84"/>
      <c r="K2656" s="78"/>
      <c r="L2656" s="88"/>
    </row>
    <row r="2657" ht="22.5" customHeight="1">
      <c r="A2657" s="80"/>
      <c r="B2657" s="81"/>
      <c r="C2657" s="82"/>
      <c r="D2657" s="80"/>
      <c r="E2657" s="81"/>
      <c r="F2657" s="82"/>
      <c r="G2657" s="83"/>
      <c r="H2657" s="89"/>
      <c r="I2657" s="76"/>
      <c r="J2657" s="84"/>
      <c r="K2657" s="78"/>
      <c r="L2657" s="88"/>
    </row>
    <row r="2658" ht="22.5" customHeight="1">
      <c r="A2658" s="80"/>
      <c r="B2658" s="81"/>
      <c r="C2658" s="82"/>
      <c r="D2658" s="80"/>
      <c r="E2658" s="81"/>
      <c r="F2658" s="82"/>
      <c r="G2658" s="83"/>
      <c r="H2658" s="89"/>
      <c r="I2658" s="76"/>
      <c r="J2658" s="84"/>
      <c r="K2658" s="78"/>
      <c r="L2658" s="88"/>
    </row>
    <row r="2659" ht="22.5" customHeight="1">
      <c r="A2659" s="80"/>
      <c r="B2659" s="81"/>
      <c r="C2659" s="82"/>
      <c r="D2659" s="80"/>
      <c r="E2659" s="81"/>
      <c r="F2659" s="82"/>
      <c r="G2659" s="83"/>
      <c r="H2659" s="89"/>
      <c r="I2659" s="76"/>
      <c r="J2659" s="84"/>
      <c r="K2659" s="78"/>
      <c r="L2659" s="88"/>
    </row>
    <row r="2660" ht="22.5" customHeight="1">
      <c r="A2660" s="80"/>
      <c r="B2660" s="81"/>
      <c r="C2660" s="82"/>
      <c r="D2660" s="80"/>
      <c r="E2660" s="81"/>
      <c r="F2660" s="82"/>
      <c r="G2660" s="83"/>
      <c r="H2660" s="89"/>
      <c r="I2660" s="76"/>
      <c r="J2660" s="84"/>
      <c r="K2660" s="78"/>
      <c r="L2660" s="88"/>
    </row>
    <row r="2661" ht="22.5" customHeight="1">
      <c r="A2661" s="80"/>
      <c r="B2661" s="81"/>
      <c r="C2661" s="82"/>
      <c r="D2661" s="80"/>
      <c r="E2661" s="81"/>
      <c r="F2661" s="82"/>
      <c r="G2661" s="83"/>
      <c r="H2661" s="89"/>
      <c r="I2661" s="76"/>
      <c r="J2661" s="84"/>
      <c r="K2661" s="78"/>
      <c r="L2661" s="88"/>
    </row>
    <row r="2662" ht="22.5" customHeight="1">
      <c r="A2662" s="80"/>
      <c r="B2662" s="81"/>
      <c r="C2662" s="82"/>
      <c r="D2662" s="80"/>
      <c r="E2662" s="81"/>
      <c r="F2662" s="82"/>
      <c r="G2662" s="83"/>
      <c r="H2662" s="89"/>
      <c r="I2662" s="76"/>
      <c r="J2662" s="84"/>
      <c r="K2662" s="78"/>
      <c r="L2662" s="88"/>
    </row>
    <row r="2663" ht="22.5" customHeight="1">
      <c r="A2663" s="80"/>
      <c r="B2663" s="81"/>
      <c r="C2663" s="82"/>
      <c r="D2663" s="80"/>
      <c r="E2663" s="81"/>
      <c r="F2663" s="82"/>
      <c r="G2663" s="83"/>
      <c r="H2663" s="89"/>
      <c r="I2663" s="76"/>
      <c r="J2663" s="84"/>
      <c r="K2663" s="78"/>
      <c r="L2663" s="88"/>
    </row>
    <row r="2664" ht="22.5" customHeight="1">
      <c r="A2664" s="80"/>
      <c r="B2664" s="81"/>
      <c r="C2664" s="82"/>
      <c r="D2664" s="80"/>
      <c r="E2664" s="81"/>
      <c r="F2664" s="82"/>
      <c r="G2664" s="83"/>
      <c r="H2664" s="89"/>
      <c r="I2664" s="76"/>
      <c r="J2664" s="84"/>
      <c r="K2664" s="78"/>
      <c r="L2664" s="88"/>
    </row>
    <row r="2665" ht="22.5" customHeight="1">
      <c r="A2665" s="80"/>
      <c r="B2665" s="81"/>
      <c r="C2665" s="82"/>
      <c r="D2665" s="80"/>
      <c r="E2665" s="81"/>
      <c r="F2665" s="82"/>
      <c r="G2665" s="83"/>
      <c r="H2665" s="89"/>
      <c r="I2665" s="76"/>
      <c r="J2665" s="84"/>
      <c r="K2665" s="78"/>
      <c r="L2665" s="88"/>
    </row>
    <row r="2666" ht="22.5" customHeight="1">
      <c r="A2666" s="80"/>
      <c r="B2666" s="81"/>
      <c r="C2666" s="82"/>
      <c r="D2666" s="80"/>
      <c r="E2666" s="81"/>
      <c r="F2666" s="82"/>
      <c r="G2666" s="83"/>
      <c r="H2666" s="89"/>
      <c r="I2666" s="76"/>
      <c r="J2666" s="84"/>
      <c r="K2666" s="78"/>
      <c r="L2666" s="88"/>
    </row>
    <row r="2667" ht="22.5" customHeight="1">
      <c r="A2667" s="80"/>
      <c r="B2667" s="81"/>
      <c r="C2667" s="82"/>
      <c r="D2667" s="80"/>
      <c r="E2667" s="81"/>
      <c r="F2667" s="82"/>
      <c r="G2667" s="83"/>
      <c r="H2667" s="89"/>
      <c r="I2667" s="76"/>
      <c r="J2667" s="84"/>
      <c r="K2667" s="78"/>
      <c r="L2667" s="88"/>
    </row>
    <row r="2668" ht="22.5" customHeight="1">
      <c r="A2668" s="80"/>
      <c r="B2668" s="81"/>
      <c r="C2668" s="82"/>
      <c r="D2668" s="80"/>
      <c r="E2668" s="81"/>
      <c r="F2668" s="82"/>
      <c r="G2668" s="83"/>
      <c r="H2668" s="89"/>
      <c r="I2668" s="76"/>
      <c r="J2668" s="84"/>
      <c r="K2668" s="78"/>
      <c r="L2668" s="88"/>
    </row>
    <row r="2669" ht="22.5" customHeight="1">
      <c r="A2669" s="80"/>
      <c r="B2669" s="81"/>
      <c r="C2669" s="82"/>
      <c r="D2669" s="80"/>
      <c r="E2669" s="81"/>
      <c r="F2669" s="82"/>
      <c r="G2669" s="83"/>
      <c r="H2669" s="89"/>
      <c r="I2669" s="76"/>
      <c r="J2669" s="84"/>
      <c r="K2669" s="78"/>
      <c r="L2669" s="88"/>
    </row>
    <row r="2670" ht="22.5" customHeight="1">
      <c r="A2670" s="80"/>
      <c r="B2670" s="81"/>
      <c r="C2670" s="82"/>
      <c r="D2670" s="80"/>
      <c r="E2670" s="81"/>
      <c r="F2670" s="82"/>
      <c r="G2670" s="83"/>
      <c r="H2670" s="89"/>
      <c r="I2670" s="76"/>
      <c r="J2670" s="84"/>
      <c r="K2670" s="78"/>
      <c r="L2670" s="88"/>
    </row>
    <row r="2671" ht="22.5" customHeight="1">
      <c r="A2671" s="80"/>
      <c r="B2671" s="81"/>
      <c r="C2671" s="82"/>
      <c r="D2671" s="80"/>
      <c r="E2671" s="81"/>
      <c r="F2671" s="82"/>
      <c r="G2671" s="83"/>
      <c r="H2671" s="89"/>
      <c r="I2671" s="76"/>
      <c r="J2671" s="84"/>
      <c r="K2671" s="78"/>
      <c r="L2671" s="88"/>
    </row>
    <row r="2672" ht="22.5" customHeight="1">
      <c r="A2672" s="80"/>
      <c r="B2672" s="81"/>
      <c r="C2672" s="82"/>
      <c r="D2672" s="80"/>
      <c r="E2672" s="81"/>
      <c r="F2672" s="82"/>
      <c r="G2672" s="83"/>
      <c r="H2672" s="89"/>
      <c r="I2672" s="76"/>
      <c r="J2672" s="84"/>
      <c r="K2672" s="78"/>
      <c r="L2672" s="88"/>
    </row>
    <row r="2673" ht="22.5" customHeight="1">
      <c r="A2673" s="80"/>
      <c r="B2673" s="81"/>
      <c r="C2673" s="82"/>
      <c r="D2673" s="80"/>
      <c r="E2673" s="81"/>
      <c r="F2673" s="82"/>
      <c r="G2673" s="83"/>
      <c r="H2673" s="89"/>
      <c r="I2673" s="76"/>
      <c r="J2673" s="84"/>
      <c r="K2673" s="78"/>
      <c r="L2673" s="88"/>
    </row>
    <row r="2674" ht="22.5" customHeight="1">
      <c r="A2674" s="80"/>
      <c r="B2674" s="81"/>
      <c r="C2674" s="82"/>
      <c r="D2674" s="80"/>
      <c r="E2674" s="81"/>
      <c r="F2674" s="82"/>
      <c r="G2674" s="83"/>
      <c r="H2674" s="89"/>
      <c r="I2674" s="76"/>
      <c r="J2674" s="84"/>
      <c r="K2674" s="78"/>
      <c r="L2674" s="88"/>
    </row>
    <row r="2675" ht="22.5" customHeight="1">
      <c r="A2675" s="80"/>
      <c r="B2675" s="81"/>
      <c r="C2675" s="82"/>
      <c r="D2675" s="80"/>
      <c r="E2675" s="81"/>
      <c r="F2675" s="82"/>
      <c r="G2675" s="83"/>
      <c r="H2675" s="89"/>
      <c r="I2675" s="76"/>
      <c r="J2675" s="84"/>
      <c r="K2675" s="78"/>
      <c r="L2675" s="88"/>
    </row>
    <row r="2676" ht="22.5" customHeight="1">
      <c r="A2676" s="80"/>
      <c r="B2676" s="81"/>
      <c r="C2676" s="82"/>
      <c r="D2676" s="80"/>
      <c r="E2676" s="81"/>
      <c r="F2676" s="82"/>
      <c r="G2676" s="83"/>
      <c r="H2676" s="89"/>
      <c r="I2676" s="76"/>
      <c r="J2676" s="84"/>
      <c r="K2676" s="78"/>
      <c r="L2676" s="88"/>
    </row>
    <row r="2677" ht="22.5" customHeight="1">
      <c r="A2677" s="80"/>
      <c r="B2677" s="81"/>
      <c r="C2677" s="82"/>
      <c r="D2677" s="80"/>
      <c r="E2677" s="81"/>
      <c r="F2677" s="82"/>
      <c r="G2677" s="83"/>
      <c r="H2677" s="89"/>
      <c r="I2677" s="76"/>
      <c r="J2677" s="84"/>
      <c r="K2677" s="78"/>
      <c r="L2677" s="88"/>
    </row>
    <row r="2678" ht="22.5" customHeight="1">
      <c r="A2678" s="80"/>
      <c r="B2678" s="81"/>
      <c r="C2678" s="82"/>
      <c r="D2678" s="80"/>
      <c r="E2678" s="81"/>
      <c r="F2678" s="82"/>
      <c r="G2678" s="83"/>
      <c r="H2678" s="89"/>
      <c r="I2678" s="76"/>
      <c r="J2678" s="84"/>
      <c r="K2678" s="78"/>
      <c r="L2678" s="88"/>
    </row>
    <row r="2679" ht="22.5" customHeight="1">
      <c r="A2679" s="80"/>
      <c r="B2679" s="81"/>
      <c r="C2679" s="82"/>
      <c r="D2679" s="80"/>
      <c r="E2679" s="81"/>
      <c r="F2679" s="82"/>
      <c r="G2679" s="83"/>
      <c r="H2679" s="89"/>
      <c r="I2679" s="76"/>
      <c r="J2679" s="84"/>
      <c r="K2679" s="78"/>
      <c r="L2679" s="88"/>
    </row>
    <row r="2680" ht="22.5" customHeight="1">
      <c r="A2680" s="80"/>
      <c r="B2680" s="81"/>
      <c r="C2680" s="82"/>
      <c r="D2680" s="80"/>
      <c r="E2680" s="81"/>
      <c r="F2680" s="82"/>
      <c r="G2680" s="83"/>
      <c r="H2680" s="89"/>
      <c r="I2680" s="76"/>
      <c r="J2680" s="84"/>
      <c r="K2680" s="78"/>
      <c r="L2680" s="88"/>
    </row>
    <row r="2681" ht="22.5" customHeight="1">
      <c r="A2681" s="80"/>
      <c r="B2681" s="81"/>
      <c r="C2681" s="82"/>
      <c r="D2681" s="80"/>
      <c r="E2681" s="81"/>
      <c r="F2681" s="82"/>
      <c r="G2681" s="83"/>
      <c r="H2681" s="89"/>
      <c r="I2681" s="76"/>
      <c r="J2681" s="84"/>
      <c r="K2681" s="78"/>
      <c r="L2681" s="88"/>
    </row>
    <row r="2682" ht="22.5" customHeight="1">
      <c r="A2682" s="80"/>
      <c r="B2682" s="81"/>
      <c r="C2682" s="82"/>
      <c r="D2682" s="80"/>
      <c r="E2682" s="81"/>
      <c r="F2682" s="82"/>
      <c r="G2682" s="83"/>
      <c r="H2682" s="89"/>
      <c r="I2682" s="76"/>
      <c r="J2682" s="84"/>
      <c r="K2682" s="78"/>
      <c r="L2682" s="88"/>
    </row>
    <row r="2683" ht="22.5" customHeight="1">
      <c r="A2683" s="80"/>
      <c r="B2683" s="81"/>
      <c r="C2683" s="82"/>
      <c r="D2683" s="80"/>
      <c r="E2683" s="81"/>
      <c r="F2683" s="82"/>
      <c r="G2683" s="83"/>
      <c r="H2683" s="89"/>
      <c r="I2683" s="76"/>
      <c r="J2683" s="84"/>
      <c r="K2683" s="78"/>
      <c r="L2683" s="88"/>
    </row>
    <row r="2684" ht="22.5" customHeight="1">
      <c r="A2684" s="80"/>
      <c r="B2684" s="81"/>
      <c r="C2684" s="82"/>
      <c r="D2684" s="80"/>
      <c r="E2684" s="81"/>
      <c r="F2684" s="82"/>
      <c r="G2684" s="83"/>
      <c r="H2684" s="89"/>
      <c r="I2684" s="76"/>
      <c r="J2684" s="84"/>
      <c r="K2684" s="78"/>
      <c r="L2684" s="88"/>
    </row>
    <row r="2685" ht="22.5" customHeight="1">
      <c r="A2685" s="80"/>
      <c r="B2685" s="81"/>
      <c r="C2685" s="82"/>
      <c r="D2685" s="80"/>
      <c r="E2685" s="81"/>
      <c r="F2685" s="82"/>
      <c r="G2685" s="83"/>
      <c r="H2685" s="89"/>
      <c r="I2685" s="76"/>
      <c r="J2685" s="84"/>
      <c r="K2685" s="78"/>
      <c r="L2685" s="88"/>
    </row>
    <row r="2686" ht="22.5" customHeight="1">
      <c r="A2686" s="80"/>
      <c r="B2686" s="81"/>
      <c r="C2686" s="82"/>
      <c r="D2686" s="80"/>
      <c r="E2686" s="81"/>
      <c r="F2686" s="82"/>
      <c r="G2686" s="83"/>
      <c r="H2686" s="89"/>
      <c r="I2686" s="76"/>
      <c r="J2686" s="84"/>
      <c r="K2686" s="78"/>
      <c r="L2686" s="88"/>
    </row>
    <row r="2687" ht="22.5" customHeight="1">
      <c r="A2687" s="80"/>
      <c r="B2687" s="81"/>
      <c r="C2687" s="82"/>
      <c r="D2687" s="80"/>
      <c r="E2687" s="81"/>
      <c r="F2687" s="82"/>
      <c r="G2687" s="83"/>
      <c r="H2687" s="89"/>
      <c r="I2687" s="76"/>
      <c r="J2687" s="84"/>
      <c r="K2687" s="78"/>
      <c r="L2687" s="88"/>
    </row>
    <row r="2688" ht="22.5" customHeight="1">
      <c r="A2688" s="80"/>
      <c r="B2688" s="81"/>
      <c r="C2688" s="82"/>
      <c r="D2688" s="80"/>
      <c r="E2688" s="81"/>
      <c r="F2688" s="82"/>
      <c r="G2688" s="83"/>
      <c r="H2688" s="89"/>
      <c r="I2688" s="76"/>
      <c r="J2688" s="84"/>
      <c r="K2688" s="78"/>
      <c r="L2688" s="88"/>
    </row>
    <row r="2689" ht="22.5" customHeight="1">
      <c r="A2689" s="80"/>
      <c r="B2689" s="81"/>
      <c r="C2689" s="82"/>
      <c r="D2689" s="80"/>
      <c r="E2689" s="81"/>
      <c r="F2689" s="82"/>
      <c r="G2689" s="83"/>
      <c r="H2689" s="89"/>
      <c r="I2689" s="76"/>
      <c r="J2689" s="84"/>
      <c r="K2689" s="78"/>
      <c r="L2689" s="88"/>
    </row>
    <row r="2690" ht="22.5" customHeight="1">
      <c r="A2690" s="80"/>
      <c r="B2690" s="81"/>
      <c r="C2690" s="82"/>
      <c r="D2690" s="80"/>
      <c r="E2690" s="81"/>
      <c r="F2690" s="82"/>
      <c r="G2690" s="83"/>
      <c r="H2690" s="89"/>
      <c r="I2690" s="76"/>
      <c r="J2690" s="84"/>
      <c r="K2690" s="78"/>
      <c r="L2690" s="88"/>
    </row>
    <row r="2691" ht="22.5" customHeight="1">
      <c r="A2691" s="80"/>
      <c r="B2691" s="81"/>
      <c r="C2691" s="82"/>
      <c r="D2691" s="80"/>
      <c r="E2691" s="81"/>
      <c r="F2691" s="82"/>
      <c r="G2691" s="83"/>
      <c r="H2691" s="89"/>
      <c r="I2691" s="76"/>
      <c r="J2691" s="84"/>
      <c r="K2691" s="78"/>
      <c r="L2691" s="88"/>
    </row>
    <row r="2692" ht="22.5" customHeight="1">
      <c r="A2692" s="80"/>
      <c r="B2692" s="81"/>
      <c r="C2692" s="82"/>
      <c r="D2692" s="80"/>
      <c r="E2692" s="81"/>
      <c r="F2692" s="82"/>
      <c r="G2692" s="83"/>
      <c r="H2692" s="89"/>
      <c r="I2692" s="76"/>
      <c r="J2692" s="84"/>
      <c r="K2692" s="78"/>
      <c r="L2692" s="88"/>
    </row>
    <row r="2693" ht="22.5" customHeight="1">
      <c r="A2693" s="80"/>
      <c r="B2693" s="81"/>
      <c r="C2693" s="82"/>
      <c r="D2693" s="80"/>
      <c r="E2693" s="81"/>
      <c r="F2693" s="82"/>
      <c r="G2693" s="83"/>
      <c r="H2693" s="89"/>
      <c r="I2693" s="76"/>
      <c r="J2693" s="84"/>
      <c r="K2693" s="78"/>
      <c r="L2693" s="88"/>
    </row>
    <row r="2694" ht="22.5" customHeight="1">
      <c r="A2694" s="80"/>
      <c r="B2694" s="81"/>
      <c r="C2694" s="82"/>
      <c r="D2694" s="80"/>
      <c r="E2694" s="81"/>
      <c r="F2694" s="82"/>
      <c r="G2694" s="83"/>
      <c r="H2694" s="89"/>
      <c r="I2694" s="76"/>
      <c r="J2694" s="84"/>
      <c r="K2694" s="78"/>
      <c r="L2694" s="88"/>
    </row>
    <row r="2695" ht="22.5" customHeight="1">
      <c r="A2695" s="80"/>
      <c r="B2695" s="81"/>
      <c r="C2695" s="82"/>
      <c r="D2695" s="80"/>
      <c r="E2695" s="81"/>
      <c r="F2695" s="82"/>
      <c r="G2695" s="83"/>
      <c r="H2695" s="89"/>
      <c r="I2695" s="76"/>
      <c r="J2695" s="84"/>
      <c r="K2695" s="78"/>
      <c r="L2695" s="88"/>
    </row>
    <row r="2696" ht="22.5" customHeight="1">
      <c r="A2696" s="80"/>
      <c r="B2696" s="81"/>
      <c r="C2696" s="82"/>
      <c r="D2696" s="80"/>
      <c r="E2696" s="81"/>
      <c r="F2696" s="82"/>
      <c r="G2696" s="83"/>
      <c r="H2696" s="89"/>
      <c r="I2696" s="76"/>
      <c r="J2696" s="84"/>
      <c r="K2696" s="78"/>
      <c r="L2696" s="88"/>
    </row>
    <row r="2697" ht="22.5" customHeight="1">
      <c r="A2697" s="80"/>
      <c r="B2697" s="81"/>
      <c r="C2697" s="82"/>
      <c r="D2697" s="80"/>
      <c r="E2697" s="81"/>
      <c r="F2697" s="82"/>
      <c r="G2697" s="83"/>
      <c r="H2697" s="89"/>
      <c r="I2697" s="76"/>
      <c r="J2697" s="84"/>
      <c r="K2697" s="78"/>
      <c r="L2697" s="88"/>
    </row>
    <row r="2698" ht="22.5" customHeight="1">
      <c r="A2698" s="80"/>
      <c r="B2698" s="81"/>
      <c r="C2698" s="82"/>
      <c r="D2698" s="80"/>
      <c r="E2698" s="81"/>
      <c r="F2698" s="82"/>
      <c r="G2698" s="83"/>
      <c r="H2698" s="89"/>
      <c r="I2698" s="76"/>
      <c r="J2698" s="84"/>
      <c r="K2698" s="78"/>
      <c r="L2698" s="88"/>
    </row>
    <row r="2699" ht="22.5" customHeight="1">
      <c r="A2699" s="80"/>
      <c r="B2699" s="81"/>
      <c r="C2699" s="82"/>
      <c r="D2699" s="80"/>
      <c r="E2699" s="81"/>
      <c r="F2699" s="82"/>
      <c r="G2699" s="83"/>
      <c r="H2699" s="89"/>
      <c r="I2699" s="76"/>
      <c r="J2699" s="84"/>
      <c r="K2699" s="78"/>
      <c r="L2699" s="88"/>
    </row>
    <row r="2700" ht="22.5" customHeight="1">
      <c r="A2700" s="80"/>
      <c r="B2700" s="81"/>
      <c r="C2700" s="82"/>
      <c r="D2700" s="80"/>
      <c r="E2700" s="81"/>
      <c r="F2700" s="82"/>
      <c r="G2700" s="83"/>
      <c r="H2700" s="89"/>
      <c r="I2700" s="76"/>
      <c r="J2700" s="84"/>
      <c r="K2700" s="78"/>
      <c r="L2700" s="88"/>
    </row>
    <row r="2701" ht="22.5" customHeight="1">
      <c r="A2701" s="80"/>
      <c r="B2701" s="81"/>
      <c r="C2701" s="82"/>
      <c r="D2701" s="80"/>
      <c r="E2701" s="81"/>
      <c r="F2701" s="82"/>
      <c r="G2701" s="83"/>
      <c r="H2701" s="89"/>
      <c r="I2701" s="76"/>
      <c r="J2701" s="84"/>
      <c r="K2701" s="78"/>
      <c r="L2701" s="88"/>
    </row>
    <row r="2702" ht="22.5" customHeight="1">
      <c r="A2702" s="80"/>
      <c r="B2702" s="81"/>
      <c r="C2702" s="82"/>
      <c r="D2702" s="80"/>
      <c r="E2702" s="81"/>
      <c r="F2702" s="82"/>
      <c r="G2702" s="83"/>
      <c r="H2702" s="89"/>
      <c r="I2702" s="76"/>
      <c r="J2702" s="84"/>
      <c r="K2702" s="78"/>
      <c r="L2702" s="88"/>
    </row>
    <row r="2703" ht="22.5" customHeight="1">
      <c r="A2703" s="80"/>
      <c r="B2703" s="81"/>
      <c r="C2703" s="82"/>
      <c r="D2703" s="80"/>
      <c r="E2703" s="81"/>
      <c r="F2703" s="82"/>
      <c r="G2703" s="83"/>
      <c r="H2703" s="89"/>
      <c r="I2703" s="76"/>
      <c r="J2703" s="84"/>
      <c r="K2703" s="78"/>
      <c r="L2703" s="88"/>
    </row>
    <row r="2704" ht="22.5" customHeight="1">
      <c r="A2704" s="80"/>
      <c r="B2704" s="81"/>
      <c r="C2704" s="82"/>
      <c r="D2704" s="80"/>
      <c r="E2704" s="81"/>
      <c r="F2704" s="82"/>
      <c r="G2704" s="83"/>
      <c r="H2704" s="89"/>
      <c r="I2704" s="76"/>
      <c r="J2704" s="84"/>
      <c r="K2704" s="78"/>
      <c r="L2704" s="88"/>
    </row>
    <row r="2705" ht="22.5" customHeight="1">
      <c r="A2705" s="80"/>
      <c r="B2705" s="81"/>
      <c r="C2705" s="82"/>
      <c r="D2705" s="80"/>
      <c r="E2705" s="81"/>
      <c r="F2705" s="82"/>
      <c r="G2705" s="83"/>
      <c r="H2705" s="89"/>
      <c r="I2705" s="76"/>
      <c r="J2705" s="84"/>
      <c r="K2705" s="78"/>
      <c r="L2705" s="88"/>
    </row>
    <row r="2706" ht="22.5" customHeight="1">
      <c r="A2706" s="80"/>
      <c r="B2706" s="81"/>
      <c r="C2706" s="82"/>
      <c r="D2706" s="80"/>
      <c r="E2706" s="81"/>
      <c r="F2706" s="82"/>
      <c r="G2706" s="83"/>
      <c r="H2706" s="89"/>
      <c r="I2706" s="76"/>
      <c r="J2706" s="84"/>
      <c r="K2706" s="78"/>
      <c r="L2706" s="88"/>
    </row>
    <row r="2707" ht="22.5" customHeight="1">
      <c r="A2707" s="80"/>
      <c r="B2707" s="81"/>
      <c r="C2707" s="82"/>
      <c r="D2707" s="80"/>
      <c r="E2707" s="81"/>
      <c r="F2707" s="82"/>
      <c r="G2707" s="83"/>
      <c r="H2707" s="89"/>
      <c r="I2707" s="76"/>
      <c r="J2707" s="84"/>
      <c r="K2707" s="78"/>
      <c r="L2707" s="88"/>
    </row>
    <row r="2708" ht="22.5" customHeight="1">
      <c r="A2708" s="80"/>
      <c r="B2708" s="81"/>
      <c r="C2708" s="82"/>
      <c r="D2708" s="80"/>
      <c r="E2708" s="81"/>
      <c r="F2708" s="82"/>
      <c r="G2708" s="83"/>
      <c r="H2708" s="89"/>
      <c r="I2708" s="76"/>
      <c r="J2708" s="84"/>
      <c r="K2708" s="78"/>
      <c r="L2708" s="88"/>
    </row>
    <row r="2709" ht="22.5" customHeight="1">
      <c r="A2709" s="80"/>
      <c r="B2709" s="81"/>
      <c r="C2709" s="82"/>
      <c r="D2709" s="80"/>
      <c r="E2709" s="81"/>
      <c r="F2709" s="82"/>
      <c r="G2709" s="83"/>
      <c r="H2709" s="89"/>
      <c r="I2709" s="76"/>
      <c r="J2709" s="84"/>
      <c r="K2709" s="78"/>
      <c r="L2709" s="88"/>
    </row>
    <row r="2710" ht="22.5" customHeight="1">
      <c r="A2710" s="80"/>
      <c r="B2710" s="81"/>
      <c r="C2710" s="82"/>
      <c r="D2710" s="80"/>
      <c r="E2710" s="81"/>
      <c r="F2710" s="82"/>
      <c r="G2710" s="83"/>
      <c r="H2710" s="89"/>
      <c r="I2710" s="76"/>
      <c r="J2710" s="84"/>
      <c r="K2710" s="78"/>
      <c r="L2710" s="88"/>
    </row>
    <row r="2711" ht="22.5" customHeight="1">
      <c r="A2711" s="80"/>
      <c r="B2711" s="81"/>
      <c r="C2711" s="82"/>
      <c r="D2711" s="80"/>
      <c r="E2711" s="81"/>
      <c r="F2711" s="82"/>
      <c r="G2711" s="83"/>
      <c r="H2711" s="89"/>
      <c r="I2711" s="76"/>
      <c r="J2711" s="84"/>
      <c r="K2711" s="78"/>
      <c r="L2711" s="88"/>
    </row>
    <row r="2712" ht="22.5" customHeight="1">
      <c r="A2712" s="80"/>
      <c r="B2712" s="81"/>
      <c r="C2712" s="82"/>
      <c r="D2712" s="80"/>
      <c r="E2712" s="81"/>
      <c r="F2712" s="82"/>
      <c r="G2712" s="83"/>
      <c r="H2712" s="89"/>
      <c r="I2712" s="76"/>
      <c r="J2712" s="84"/>
      <c r="K2712" s="78"/>
      <c r="L2712" s="88"/>
    </row>
    <row r="2713" ht="22.5" customHeight="1">
      <c r="A2713" s="80"/>
      <c r="B2713" s="81"/>
      <c r="C2713" s="82"/>
      <c r="D2713" s="80"/>
      <c r="E2713" s="81"/>
      <c r="F2713" s="82"/>
      <c r="G2713" s="83"/>
      <c r="H2713" s="89"/>
      <c r="I2713" s="76"/>
      <c r="J2713" s="84"/>
      <c r="K2713" s="78"/>
      <c r="L2713" s="88"/>
    </row>
    <row r="2714" ht="22.5" customHeight="1">
      <c r="A2714" s="80"/>
      <c r="B2714" s="81"/>
      <c r="C2714" s="82"/>
      <c r="D2714" s="80"/>
      <c r="E2714" s="81"/>
      <c r="F2714" s="82"/>
      <c r="G2714" s="83"/>
      <c r="H2714" s="89"/>
      <c r="I2714" s="76"/>
      <c r="J2714" s="84"/>
      <c r="K2714" s="78"/>
      <c r="L2714" s="88"/>
    </row>
    <row r="2715" ht="22.5" customHeight="1">
      <c r="A2715" s="80"/>
      <c r="B2715" s="81"/>
      <c r="C2715" s="82"/>
      <c r="D2715" s="80"/>
      <c r="E2715" s="81"/>
      <c r="F2715" s="82"/>
      <c r="G2715" s="83"/>
      <c r="H2715" s="89"/>
      <c r="I2715" s="76"/>
      <c r="J2715" s="84"/>
      <c r="K2715" s="78"/>
      <c r="L2715" s="88"/>
    </row>
    <row r="2716" ht="22.5" customHeight="1">
      <c r="A2716" s="80"/>
      <c r="B2716" s="81"/>
      <c r="C2716" s="82"/>
      <c r="D2716" s="80"/>
      <c r="E2716" s="81"/>
      <c r="F2716" s="82"/>
      <c r="G2716" s="83"/>
      <c r="H2716" s="89"/>
      <c r="I2716" s="76"/>
      <c r="J2716" s="84"/>
      <c r="K2716" s="78"/>
      <c r="L2716" s="88"/>
    </row>
    <row r="2717" ht="22.5" customHeight="1">
      <c r="A2717" s="80"/>
      <c r="B2717" s="81"/>
      <c r="C2717" s="82"/>
      <c r="D2717" s="80"/>
      <c r="E2717" s="81"/>
      <c r="F2717" s="82"/>
      <c r="G2717" s="83"/>
      <c r="H2717" s="89"/>
      <c r="I2717" s="76"/>
      <c r="J2717" s="84"/>
      <c r="K2717" s="78"/>
      <c r="L2717" s="88"/>
    </row>
    <row r="2718" ht="22.5" customHeight="1">
      <c r="A2718" s="80"/>
      <c r="B2718" s="81"/>
      <c r="C2718" s="82"/>
      <c r="D2718" s="80"/>
      <c r="E2718" s="81"/>
      <c r="F2718" s="82"/>
      <c r="G2718" s="83"/>
      <c r="H2718" s="89"/>
      <c r="I2718" s="76"/>
      <c r="J2718" s="84"/>
      <c r="K2718" s="78"/>
      <c r="L2718" s="88"/>
    </row>
    <row r="2719" ht="22.5" customHeight="1">
      <c r="A2719" s="80"/>
      <c r="B2719" s="81"/>
      <c r="C2719" s="82"/>
      <c r="D2719" s="80"/>
      <c r="E2719" s="81"/>
      <c r="F2719" s="82"/>
      <c r="G2719" s="83"/>
      <c r="H2719" s="89"/>
      <c r="I2719" s="76"/>
      <c r="J2719" s="84"/>
      <c r="K2719" s="78"/>
      <c r="L2719" s="88"/>
    </row>
    <row r="2720" ht="22.5" customHeight="1">
      <c r="A2720" s="80"/>
      <c r="B2720" s="81"/>
      <c r="C2720" s="82"/>
      <c r="D2720" s="80"/>
      <c r="E2720" s="81"/>
      <c r="F2720" s="82"/>
      <c r="G2720" s="83"/>
      <c r="H2720" s="89"/>
      <c r="I2720" s="76"/>
      <c r="J2720" s="84"/>
      <c r="K2720" s="78"/>
      <c r="L2720" s="88"/>
    </row>
    <row r="2721" ht="22.5" customHeight="1">
      <c r="A2721" s="80"/>
      <c r="B2721" s="81"/>
      <c r="C2721" s="82"/>
      <c r="D2721" s="80"/>
      <c r="E2721" s="81"/>
      <c r="F2721" s="82"/>
      <c r="G2721" s="83"/>
      <c r="H2721" s="89"/>
      <c r="I2721" s="76"/>
      <c r="J2721" s="84"/>
      <c r="K2721" s="78"/>
      <c r="L2721" s="88"/>
    </row>
    <row r="2722" ht="22.5" customHeight="1">
      <c r="A2722" s="80"/>
      <c r="B2722" s="81"/>
      <c r="C2722" s="82"/>
      <c r="D2722" s="80"/>
      <c r="E2722" s="81"/>
      <c r="F2722" s="82"/>
      <c r="G2722" s="83"/>
      <c r="H2722" s="89"/>
      <c r="I2722" s="76"/>
      <c r="J2722" s="84"/>
      <c r="K2722" s="78"/>
      <c r="L2722" s="88"/>
    </row>
    <row r="2723" ht="22.5" customHeight="1">
      <c r="A2723" s="80"/>
      <c r="B2723" s="81"/>
      <c r="C2723" s="82"/>
      <c r="D2723" s="80"/>
      <c r="E2723" s="81"/>
      <c r="F2723" s="82"/>
      <c r="G2723" s="83"/>
      <c r="H2723" s="89"/>
      <c r="I2723" s="76"/>
      <c r="J2723" s="84"/>
      <c r="K2723" s="78"/>
      <c r="L2723" s="88"/>
    </row>
    <row r="2724" ht="22.5" customHeight="1">
      <c r="A2724" s="80"/>
      <c r="B2724" s="81"/>
      <c r="C2724" s="82"/>
      <c r="D2724" s="80"/>
      <c r="E2724" s="81"/>
      <c r="F2724" s="82"/>
      <c r="G2724" s="83"/>
      <c r="H2724" s="89"/>
      <c r="I2724" s="76"/>
      <c r="J2724" s="84"/>
      <c r="K2724" s="78"/>
      <c r="L2724" s="88"/>
    </row>
    <row r="2725" ht="22.5" customHeight="1">
      <c r="A2725" s="80"/>
      <c r="B2725" s="81"/>
      <c r="C2725" s="82"/>
      <c r="D2725" s="80"/>
      <c r="E2725" s="81"/>
      <c r="F2725" s="82"/>
      <c r="G2725" s="83"/>
      <c r="H2725" s="89"/>
      <c r="I2725" s="76"/>
      <c r="J2725" s="84"/>
      <c r="K2725" s="78"/>
      <c r="L2725" s="88"/>
    </row>
    <row r="2726" ht="22.5" customHeight="1">
      <c r="A2726" s="80"/>
      <c r="B2726" s="81"/>
      <c r="C2726" s="82"/>
      <c r="D2726" s="80"/>
      <c r="E2726" s="81"/>
      <c r="F2726" s="82"/>
      <c r="G2726" s="83"/>
      <c r="H2726" s="89"/>
      <c r="I2726" s="76"/>
      <c r="J2726" s="84"/>
      <c r="K2726" s="78"/>
      <c r="L2726" s="88"/>
    </row>
    <row r="2727" ht="22.5" customHeight="1">
      <c r="A2727" s="80"/>
      <c r="B2727" s="81"/>
      <c r="C2727" s="82"/>
      <c r="D2727" s="80"/>
      <c r="E2727" s="81"/>
      <c r="F2727" s="82"/>
      <c r="G2727" s="83"/>
      <c r="H2727" s="89"/>
      <c r="I2727" s="76"/>
      <c r="J2727" s="84"/>
      <c r="K2727" s="78"/>
      <c r="L2727" s="88"/>
    </row>
    <row r="2728" ht="22.5" customHeight="1">
      <c r="A2728" s="80"/>
      <c r="B2728" s="81"/>
      <c r="C2728" s="82"/>
      <c r="D2728" s="80"/>
      <c r="E2728" s="81"/>
      <c r="F2728" s="82"/>
      <c r="G2728" s="83"/>
      <c r="H2728" s="89"/>
      <c r="I2728" s="76"/>
      <c r="J2728" s="84"/>
      <c r="K2728" s="78"/>
      <c r="L2728" s="88"/>
    </row>
    <row r="2729" ht="22.5" customHeight="1">
      <c r="A2729" s="80"/>
      <c r="B2729" s="81"/>
      <c r="C2729" s="82"/>
      <c r="D2729" s="80"/>
      <c r="E2729" s="81"/>
      <c r="F2729" s="82"/>
      <c r="G2729" s="83"/>
      <c r="H2729" s="89"/>
      <c r="I2729" s="76"/>
      <c r="J2729" s="84"/>
      <c r="K2729" s="78"/>
      <c r="L2729" s="88"/>
    </row>
    <row r="2730" ht="22.5" customHeight="1">
      <c r="A2730" s="80"/>
      <c r="B2730" s="81"/>
      <c r="C2730" s="82"/>
      <c r="D2730" s="80"/>
      <c r="E2730" s="81"/>
      <c r="F2730" s="82"/>
      <c r="G2730" s="83"/>
      <c r="H2730" s="89"/>
      <c r="I2730" s="76"/>
      <c r="J2730" s="84"/>
      <c r="K2730" s="78"/>
      <c r="L2730" s="88"/>
    </row>
    <row r="2731" ht="22.5" customHeight="1">
      <c r="A2731" s="80"/>
      <c r="B2731" s="81"/>
      <c r="C2731" s="82"/>
      <c r="D2731" s="80"/>
      <c r="E2731" s="81"/>
      <c r="F2731" s="82"/>
      <c r="G2731" s="83"/>
      <c r="H2731" s="89"/>
      <c r="I2731" s="76"/>
      <c r="J2731" s="84"/>
      <c r="K2731" s="78"/>
      <c r="L2731" s="88"/>
    </row>
    <row r="2732" ht="22.5" customHeight="1">
      <c r="A2732" s="80"/>
      <c r="B2732" s="81"/>
      <c r="C2732" s="82"/>
      <c r="D2732" s="80"/>
      <c r="E2732" s="81"/>
      <c r="F2732" s="82"/>
      <c r="G2732" s="83"/>
      <c r="H2732" s="89"/>
      <c r="I2732" s="76"/>
      <c r="J2732" s="84"/>
      <c r="K2732" s="78"/>
      <c r="L2732" s="88"/>
    </row>
    <row r="2733" ht="22.5" customHeight="1">
      <c r="A2733" s="80"/>
      <c r="B2733" s="81"/>
      <c r="C2733" s="82"/>
      <c r="D2733" s="80"/>
      <c r="E2733" s="81"/>
      <c r="F2733" s="82"/>
      <c r="G2733" s="83"/>
      <c r="H2733" s="89"/>
      <c r="I2733" s="76"/>
      <c r="J2733" s="84"/>
      <c r="K2733" s="78"/>
      <c r="L2733" s="88"/>
    </row>
    <row r="2734" ht="22.5" customHeight="1">
      <c r="A2734" s="80"/>
      <c r="B2734" s="81"/>
      <c r="C2734" s="82"/>
      <c r="D2734" s="80"/>
      <c r="E2734" s="81"/>
      <c r="F2734" s="82"/>
      <c r="G2734" s="83"/>
      <c r="H2734" s="89"/>
      <c r="I2734" s="76"/>
      <c r="J2734" s="84"/>
      <c r="K2734" s="78"/>
      <c r="L2734" s="88"/>
    </row>
    <row r="2735" ht="22.5" customHeight="1">
      <c r="A2735" s="80"/>
      <c r="B2735" s="81"/>
      <c r="C2735" s="82"/>
      <c r="D2735" s="80"/>
      <c r="E2735" s="81"/>
      <c r="F2735" s="82"/>
      <c r="G2735" s="83"/>
      <c r="H2735" s="89"/>
      <c r="I2735" s="76"/>
      <c r="J2735" s="84"/>
      <c r="K2735" s="78"/>
      <c r="L2735" s="88"/>
    </row>
    <row r="2736" ht="22.5" customHeight="1">
      <c r="A2736" s="80"/>
      <c r="B2736" s="81"/>
      <c r="C2736" s="82"/>
      <c r="D2736" s="80"/>
      <c r="E2736" s="81"/>
      <c r="F2736" s="82"/>
      <c r="G2736" s="83"/>
      <c r="H2736" s="89"/>
      <c r="I2736" s="76"/>
      <c r="J2736" s="84"/>
      <c r="K2736" s="78"/>
      <c r="L2736" s="88"/>
    </row>
    <row r="2737" ht="22.5" customHeight="1">
      <c r="A2737" s="80"/>
      <c r="B2737" s="81"/>
      <c r="C2737" s="82"/>
      <c r="D2737" s="80"/>
      <c r="E2737" s="81"/>
      <c r="F2737" s="82"/>
      <c r="G2737" s="83"/>
      <c r="H2737" s="89"/>
      <c r="I2737" s="76"/>
      <c r="J2737" s="84"/>
      <c r="K2737" s="78"/>
      <c r="L2737" s="88"/>
    </row>
    <row r="2738" ht="22.5" customHeight="1">
      <c r="A2738" s="80"/>
      <c r="B2738" s="81"/>
      <c r="C2738" s="82"/>
      <c r="D2738" s="80"/>
      <c r="E2738" s="81"/>
      <c r="F2738" s="82"/>
      <c r="G2738" s="83"/>
      <c r="H2738" s="89"/>
      <c r="I2738" s="76"/>
      <c r="J2738" s="84"/>
      <c r="K2738" s="78"/>
      <c r="L2738" s="88"/>
    </row>
    <row r="2739" ht="22.5" customHeight="1">
      <c r="A2739" s="80"/>
      <c r="B2739" s="81"/>
      <c r="C2739" s="82"/>
      <c r="D2739" s="80"/>
      <c r="E2739" s="81"/>
      <c r="F2739" s="82"/>
      <c r="G2739" s="83"/>
      <c r="H2739" s="89"/>
      <c r="I2739" s="76"/>
      <c r="J2739" s="84"/>
      <c r="K2739" s="78"/>
      <c r="L2739" s="88"/>
    </row>
    <row r="2740" ht="22.5" customHeight="1">
      <c r="A2740" s="80"/>
      <c r="B2740" s="81"/>
      <c r="C2740" s="82"/>
      <c r="D2740" s="80"/>
      <c r="E2740" s="81"/>
      <c r="F2740" s="82"/>
      <c r="G2740" s="83"/>
      <c r="H2740" s="89"/>
      <c r="I2740" s="76"/>
      <c r="J2740" s="84"/>
      <c r="K2740" s="78"/>
      <c r="L2740" s="88"/>
    </row>
    <row r="2741" ht="22.5" customHeight="1">
      <c r="A2741" s="80"/>
      <c r="B2741" s="81"/>
      <c r="C2741" s="82"/>
      <c r="D2741" s="80"/>
      <c r="E2741" s="81"/>
      <c r="F2741" s="82"/>
      <c r="G2741" s="83"/>
      <c r="H2741" s="89"/>
      <c r="I2741" s="76"/>
      <c r="J2741" s="84"/>
      <c r="K2741" s="78"/>
      <c r="L2741" s="88"/>
    </row>
    <row r="2742" ht="22.5" customHeight="1">
      <c r="A2742" s="80"/>
      <c r="B2742" s="81"/>
      <c r="C2742" s="82"/>
      <c r="D2742" s="80"/>
      <c r="E2742" s="81"/>
      <c r="F2742" s="82"/>
      <c r="G2742" s="83"/>
      <c r="H2742" s="89"/>
      <c r="I2742" s="76"/>
      <c r="J2742" s="84"/>
      <c r="K2742" s="78"/>
      <c r="L2742" s="88"/>
    </row>
    <row r="2743" ht="22.5" customHeight="1">
      <c r="A2743" s="80"/>
      <c r="B2743" s="81"/>
      <c r="C2743" s="82"/>
      <c r="D2743" s="80"/>
      <c r="E2743" s="81"/>
      <c r="F2743" s="82"/>
      <c r="G2743" s="83"/>
      <c r="H2743" s="89"/>
      <c r="I2743" s="76"/>
      <c r="J2743" s="84"/>
      <c r="K2743" s="78"/>
      <c r="L2743" s="88"/>
    </row>
    <row r="2744" ht="22.5" customHeight="1">
      <c r="A2744" s="80"/>
      <c r="B2744" s="81"/>
      <c r="C2744" s="82"/>
      <c r="D2744" s="80"/>
      <c r="E2744" s="81"/>
      <c r="F2744" s="82"/>
      <c r="G2744" s="83"/>
      <c r="H2744" s="89"/>
      <c r="I2744" s="76"/>
      <c r="J2744" s="84"/>
      <c r="K2744" s="78"/>
      <c r="L2744" s="88"/>
    </row>
    <row r="2745" ht="22.5" customHeight="1">
      <c r="A2745" s="80"/>
      <c r="B2745" s="81"/>
      <c r="C2745" s="82"/>
      <c r="D2745" s="80"/>
      <c r="E2745" s="81"/>
      <c r="F2745" s="82"/>
      <c r="G2745" s="83"/>
      <c r="H2745" s="89"/>
      <c r="I2745" s="76"/>
      <c r="J2745" s="84"/>
      <c r="K2745" s="78"/>
      <c r="L2745" s="88"/>
    </row>
    <row r="2746" ht="22.5" customHeight="1">
      <c r="A2746" s="80"/>
      <c r="B2746" s="81"/>
      <c r="C2746" s="82"/>
      <c r="D2746" s="80"/>
      <c r="E2746" s="81"/>
      <c r="F2746" s="82"/>
      <c r="G2746" s="83"/>
      <c r="H2746" s="89"/>
      <c r="I2746" s="76"/>
      <c r="J2746" s="84"/>
      <c r="K2746" s="78"/>
      <c r="L2746" s="88"/>
    </row>
    <row r="2747" ht="22.5" customHeight="1">
      <c r="A2747" s="80"/>
      <c r="B2747" s="81"/>
      <c r="C2747" s="82"/>
      <c r="D2747" s="80"/>
      <c r="E2747" s="81"/>
      <c r="F2747" s="82"/>
      <c r="G2747" s="83"/>
      <c r="H2747" s="89"/>
      <c r="I2747" s="76"/>
      <c r="J2747" s="84"/>
      <c r="K2747" s="78"/>
      <c r="L2747" s="88"/>
    </row>
    <row r="2748" ht="22.5" customHeight="1">
      <c r="A2748" s="80"/>
      <c r="B2748" s="81"/>
      <c r="C2748" s="82"/>
      <c r="D2748" s="80"/>
      <c r="E2748" s="81"/>
      <c r="F2748" s="82"/>
      <c r="G2748" s="83"/>
      <c r="H2748" s="89"/>
      <c r="I2748" s="76"/>
      <c r="J2748" s="84"/>
      <c r="K2748" s="78"/>
      <c r="L2748" s="88"/>
    </row>
    <row r="2749" ht="22.5" customHeight="1">
      <c r="A2749" s="80"/>
      <c r="B2749" s="81"/>
      <c r="C2749" s="82"/>
      <c r="D2749" s="80"/>
      <c r="E2749" s="81"/>
      <c r="F2749" s="82"/>
      <c r="G2749" s="83"/>
      <c r="H2749" s="89"/>
      <c r="I2749" s="76"/>
      <c r="J2749" s="84"/>
      <c r="K2749" s="78"/>
      <c r="L2749" s="88"/>
    </row>
    <row r="2750" ht="22.5" customHeight="1">
      <c r="A2750" s="80"/>
      <c r="B2750" s="81"/>
      <c r="C2750" s="82"/>
      <c r="D2750" s="80"/>
      <c r="E2750" s="81"/>
      <c r="F2750" s="82"/>
      <c r="G2750" s="83"/>
      <c r="H2750" s="89"/>
      <c r="I2750" s="76"/>
      <c r="J2750" s="84"/>
      <c r="K2750" s="78"/>
      <c r="L2750" s="88"/>
    </row>
    <row r="2751" ht="22.5" customHeight="1">
      <c r="A2751" s="80"/>
      <c r="B2751" s="81"/>
      <c r="C2751" s="82"/>
      <c r="D2751" s="80"/>
      <c r="E2751" s="81"/>
      <c r="F2751" s="82"/>
      <c r="G2751" s="83"/>
      <c r="H2751" s="89"/>
      <c r="I2751" s="76"/>
      <c r="J2751" s="84"/>
      <c r="K2751" s="78"/>
      <c r="L2751" s="88"/>
    </row>
    <row r="2752" ht="22.5" customHeight="1">
      <c r="A2752" s="80"/>
      <c r="B2752" s="81"/>
      <c r="C2752" s="82"/>
      <c r="D2752" s="80"/>
      <c r="E2752" s="81"/>
      <c r="F2752" s="82"/>
      <c r="G2752" s="83"/>
      <c r="H2752" s="89"/>
      <c r="I2752" s="76"/>
      <c r="J2752" s="84"/>
      <c r="K2752" s="78"/>
      <c r="L2752" s="88"/>
    </row>
    <row r="2753" ht="22.5" customHeight="1">
      <c r="A2753" s="80"/>
      <c r="B2753" s="81"/>
      <c r="C2753" s="82"/>
      <c r="D2753" s="80"/>
      <c r="E2753" s="81"/>
      <c r="F2753" s="82"/>
      <c r="G2753" s="83"/>
      <c r="H2753" s="89"/>
      <c r="I2753" s="76"/>
      <c r="J2753" s="84"/>
      <c r="K2753" s="78"/>
      <c r="L2753" s="88"/>
    </row>
    <row r="2754" ht="22.5" customHeight="1">
      <c r="A2754" s="80"/>
      <c r="B2754" s="81"/>
      <c r="C2754" s="82"/>
      <c r="D2754" s="80"/>
      <c r="E2754" s="81"/>
      <c r="F2754" s="82"/>
      <c r="G2754" s="83"/>
      <c r="H2754" s="89"/>
      <c r="I2754" s="76"/>
      <c r="J2754" s="84"/>
      <c r="K2754" s="78"/>
      <c r="L2754" s="88"/>
    </row>
    <row r="2755" ht="22.5" customHeight="1">
      <c r="A2755" s="80"/>
      <c r="B2755" s="81"/>
      <c r="C2755" s="82"/>
      <c r="D2755" s="80"/>
      <c r="E2755" s="81"/>
      <c r="F2755" s="82"/>
      <c r="G2755" s="83"/>
      <c r="H2755" s="89"/>
      <c r="I2755" s="76"/>
      <c r="J2755" s="84"/>
      <c r="K2755" s="78"/>
      <c r="L2755" s="88"/>
    </row>
    <row r="2756" ht="22.5" customHeight="1">
      <c r="A2756" s="80"/>
      <c r="B2756" s="81"/>
      <c r="C2756" s="82"/>
      <c r="D2756" s="80"/>
      <c r="E2756" s="81"/>
      <c r="F2756" s="82"/>
      <c r="G2756" s="83"/>
      <c r="H2756" s="89"/>
      <c r="I2756" s="76"/>
      <c r="J2756" s="84"/>
      <c r="K2756" s="78"/>
      <c r="L2756" s="88"/>
    </row>
    <row r="2757" ht="22.5" customHeight="1">
      <c r="A2757" s="80"/>
      <c r="B2757" s="81"/>
      <c r="C2757" s="82"/>
      <c r="D2757" s="80"/>
      <c r="E2757" s="81"/>
      <c r="F2757" s="82"/>
      <c r="G2757" s="83"/>
      <c r="H2757" s="89"/>
      <c r="I2757" s="76"/>
      <c r="J2757" s="84"/>
      <c r="K2757" s="78"/>
      <c r="L2757" s="88"/>
    </row>
    <row r="2758" ht="22.5" customHeight="1">
      <c r="A2758" s="80"/>
      <c r="B2758" s="81"/>
      <c r="C2758" s="82"/>
      <c r="D2758" s="80"/>
      <c r="E2758" s="81"/>
      <c r="F2758" s="82"/>
      <c r="G2758" s="83"/>
      <c r="H2758" s="89"/>
      <c r="I2758" s="76"/>
      <c r="J2758" s="84"/>
      <c r="K2758" s="78"/>
      <c r="L2758" s="88"/>
    </row>
    <row r="2759" ht="22.5" customHeight="1">
      <c r="A2759" s="80"/>
      <c r="B2759" s="81"/>
      <c r="C2759" s="82"/>
      <c r="D2759" s="80"/>
      <c r="E2759" s="81"/>
      <c r="F2759" s="82"/>
      <c r="G2759" s="83"/>
      <c r="H2759" s="89"/>
      <c r="I2759" s="76"/>
      <c r="J2759" s="84"/>
      <c r="K2759" s="78"/>
      <c r="L2759" s="88"/>
    </row>
    <row r="2760" ht="22.5" customHeight="1">
      <c r="A2760" s="80"/>
      <c r="B2760" s="81"/>
      <c r="C2760" s="82"/>
      <c r="D2760" s="80"/>
      <c r="E2760" s="81"/>
      <c r="F2760" s="82"/>
      <c r="G2760" s="83"/>
      <c r="H2760" s="89"/>
      <c r="I2760" s="76"/>
      <c r="J2760" s="84"/>
      <c r="K2760" s="78"/>
      <c r="L2760" s="88"/>
    </row>
    <row r="2761" ht="22.5" customHeight="1">
      <c r="A2761" s="80"/>
      <c r="B2761" s="81"/>
      <c r="C2761" s="82"/>
      <c r="D2761" s="80"/>
      <c r="E2761" s="81"/>
      <c r="F2761" s="82"/>
      <c r="G2761" s="83"/>
      <c r="H2761" s="89"/>
      <c r="I2761" s="76"/>
      <c r="J2761" s="84"/>
      <c r="K2761" s="78"/>
      <c r="L2761" s="88"/>
    </row>
    <row r="2762" ht="22.5" customHeight="1">
      <c r="A2762" s="80"/>
      <c r="B2762" s="81"/>
      <c r="C2762" s="82"/>
      <c r="D2762" s="80"/>
      <c r="E2762" s="81"/>
      <c r="F2762" s="82"/>
      <c r="G2762" s="83"/>
      <c r="H2762" s="89"/>
      <c r="I2762" s="76"/>
      <c r="J2762" s="84"/>
      <c r="K2762" s="78"/>
      <c r="L2762" s="88"/>
    </row>
    <row r="2763" ht="22.5" customHeight="1">
      <c r="A2763" s="80"/>
      <c r="B2763" s="81"/>
      <c r="C2763" s="82"/>
      <c r="D2763" s="80"/>
      <c r="E2763" s="81"/>
      <c r="F2763" s="82"/>
      <c r="G2763" s="83"/>
      <c r="H2763" s="89"/>
      <c r="I2763" s="76"/>
      <c r="J2763" s="84"/>
      <c r="K2763" s="78"/>
      <c r="L2763" s="88"/>
    </row>
    <row r="2764" ht="22.5" customHeight="1">
      <c r="A2764" s="80"/>
      <c r="B2764" s="81"/>
      <c r="C2764" s="82"/>
      <c r="D2764" s="80"/>
      <c r="E2764" s="81"/>
      <c r="F2764" s="82"/>
      <c r="G2764" s="83"/>
      <c r="H2764" s="89"/>
      <c r="I2764" s="76"/>
      <c r="J2764" s="84"/>
      <c r="K2764" s="78"/>
      <c r="L2764" s="88"/>
    </row>
    <row r="2765" ht="22.5" customHeight="1">
      <c r="A2765" s="80"/>
      <c r="B2765" s="81"/>
      <c r="C2765" s="82"/>
      <c r="D2765" s="80"/>
      <c r="E2765" s="81"/>
      <c r="F2765" s="82"/>
      <c r="G2765" s="83"/>
      <c r="H2765" s="89"/>
      <c r="I2765" s="76"/>
      <c r="J2765" s="84"/>
      <c r="K2765" s="78"/>
      <c r="L2765" s="88"/>
    </row>
    <row r="2766" ht="22.5" customHeight="1">
      <c r="A2766" s="80"/>
      <c r="B2766" s="81"/>
      <c r="C2766" s="82"/>
      <c r="D2766" s="80"/>
      <c r="E2766" s="81"/>
      <c r="F2766" s="82"/>
      <c r="G2766" s="83"/>
      <c r="H2766" s="89"/>
      <c r="I2766" s="76"/>
      <c r="J2766" s="84"/>
      <c r="K2766" s="78"/>
      <c r="L2766" s="88"/>
    </row>
    <row r="2767" ht="22.5" customHeight="1">
      <c r="A2767" s="80"/>
      <c r="B2767" s="81"/>
      <c r="C2767" s="82"/>
      <c r="D2767" s="80"/>
      <c r="E2767" s="81"/>
      <c r="F2767" s="82"/>
      <c r="G2767" s="83"/>
      <c r="H2767" s="89"/>
      <c r="I2767" s="76"/>
      <c r="J2767" s="84"/>
      <c r="K2767" s="78"/>
      <c r="L2767" s="88"/>
    </row>
    <row r="2768" ht="22.5" customHeight="1">
      <c r="A2768" s="80"/>
      <c r="B2768" s="81"/>
      <c r="C2768" s="82"/>
      <c r="D2768" s="80"/>
      <c r="E2768" s="81"/>
      <c r="F2768" s="82"/>
      <c r="G2768" s="83"/>
      <c r="H2768" s="89"/>
      <c r="I2768" s="76"/>
      <c r="J2768" s="84"/>
      <c r="K2768" s="78"/>
      <c r="L2768" s="88"/>
    </row>
    <row r="2769" ht="22.5" customHeight="1">
      <c r="A2769" s="80"/>
      <c r="B2769" s="81"/>
      <c r="C2769" s="82"/>
      <c r="D2769" s="80"/>
      <c r="E2769" s="81"/>
      <c r="F2769" s="82"/>
      <c r="G2769" s="83"/>
      <c r="H2769" s="89"/>
      <c r="I2769" s="76"/>
      <c r="J2769" s="84"/>
      <c r="K2769" s="78"/>
      <c r="L2769" s="88"/>
    </row>
    <row r="2770" ht="22.5" customHeight="1">
      <c r="A2770" s="80"/>
      <c r="B2770" s="81"/>
      <c r="C2770" s="82"/>
      <c r="D2770" s="80"/>
      <c r="E2770" s="81"/>
      <c r="F2770" s="82"/>
      <c r="G2770" s="83"/>
      <c r="H2770" s="89"/>
      <c r="I2770" s="76"/>
      <c r="J2770" s="84"/>
      <c r="K2770" s="78"/>
      <c r="L2770" s="88"/>
    </row>
    <row r="2771" ht="22.5" customHeight="1">
      <c r="A2771" s="80"/>
      <c r="B2771" s="81"/>
      <c r="C2771" s="82"/>
      <c r="D2771" s="80"/>
      <c r="E2771" s="81"/>
      <c r="F2771" s="82"/>
      <c r="G2771" s="83"/>
      <c r="H2771" s="89"/>
      <c r="I2771" s="76"/>
      <c r="J2771" s="84"/>
      <c r="K2771" s="78"/>
      <c r="L2771" s="88"/>
    </row>
    <row r="2772" ht="22.5" customHeight="1">
      <c r="A2772" s="80"/>
      <c r="B2772" s="81"/>
      <c r="C2772" s="82"/>
      <c r="D2772" s="80"/>
      <c r="E2772" s="81"/>
      <c r="F2772" s="82"/>
      <c r="G2772" s="83"/>
      <c r="H2772" s="89"/>
      <c r="I2772" s="76"/>
      <c r="J2772" s="84"/>
      <c r="K2772" s="78"/>
      <c r="L2772" s="88"/>
    </row>
    <row r="2773" ht="22.5" customHeight="1">
      <c r="A2773" s="80"/>
      <c r="B2773" s="81"/>
      <c r="C2773" s="82"/>
      <c r="D2773" s="80"/>
      <c r="E2773" s="81"/>
      <c r="F2773" s="82"/>
      <c r="G2773" s="83"/>
      <c r="H2773" s="89"/>
      <c r="I2773" s="76"/>
      <c r="J2773" s="84"/>
      <c r="K2773" s="78"/>
      <c r="L2773" s="88"/>
    </row>
    <row r="2774" ht="22.5" customHeight="1">
      <c r="A2774" s="80"/>
      <c r="B2774" s="81"/>
      <c r="C2774" s="82"/>
      <c r="D2774" s="80"/>
      <c r="E2774" s="81"/>
      <c r="F2774" s="82"/>
      <c r="G2774" s="83"/>
      <c r="H2774" s="89"/>
      <c r="I2774" s="76"/>
      <c r="J2774" s="84"/>
      <c r="K2774" s="78"/>
      <c r="L2774" s="88"/>
    </row>
    <row r="2775" ht="22.5" customHeight="1">
      <c r="A2775" s="80"/>
      <c r="B2775" s="81"/>
      <c r="C2775" s="82"/>
      <c r="D2775" s="80"/>
      <c r="E2775" s="81"/>
      <c r="F2775" s="82"/>
      <c r="G2775" s="83"/>
      <c r="H2775" s="89"/>
      <c r="I2775" s="76"/>
      <c r="J2775" s="84"/>
      <c r="K2775" s="78"/>
      <c r="L2775" s="88"/>
    </row>
    <row r="2776" ht="22.5" customHeight="1">
      <c r="A2776" s="80"/>
      <c r="B2776" s="81"/>
      <c r="C2776" s="82"/>
      <c r="D2776" s="80"/>
      <c r="E2776" s="81"/>
      <c r="F2776" s="82"/>
      <c r="G2776" s="83"/>
      <c r="H2776" s="89"/>
      <c r="I2776" s="76"/>
      <c r="J2776" s="84"/>
      <c r="K2776" s="78"/>
      <c r="L2776" s="88"/>
    </row>
    <row r="2777" ht="22.5" customHeight="1">
      <c r="A2777" s="80"/>
      <c r="B2777" s="81"/>
      <c r="C2777" s="82"/>
      <c r="D2777" s="80"/>
      <c r="E2777" s="81"/>
      <c r="F2777" s="82"/>
      <c r="G2777" s="83"/>
      <c r="H2777" s="89"/>
      <c r="I2777" s="76"/>
      <c r="J2777" s="84"/>
      <c r="K2777" s="78"/>
      <c r="L2777" s="88"/>
    </row>
    <row r="2778" ht="22.5" customHeight="1">
      <c r="A2778" s="80"/>
      <c r="B2778" s="81"/>
      <c r="C2778" s="82"/>
      <c r="D2778" s="80"/>
      <c r="E2778" s="81"/>
      <c r="F2778" s="82"/>
      <c r="G2778" s="83"/>
      <c r="H2778" s="89"/>
      <c r="I2778" s="76"/>
      <c r="J2778" s="84"/>
      <c r="K2778" s="78"/>
      <c r="L2778" s="88"/>
    </row>
    <row r="2779" ht="22.5" customHeight="1">
      <c r="A2779" s="80"/>
      <c r="B2779" s="81"/>
      <c r="C2779" s="82"/>
      <c r="D2779" s="80"/>
      <c r="E2779" s="81"/>
      <c r="F2779" s="82"/>
      <c r="G2779" s="83"/>
      <c r="H2779" s="89"/>
      <c r="I2779" s="76"/>
      <c r="J2779" s="84"/>
      <c r="K2779" s="78"/>
      <c r="L2779" s="88"/>
    </row>
    <row r="2780" ht="22.5" customHeight="1">
      <c r="A2780" s="80"/>
      <c r="B2780" s="81"/>
      <c r="C2780" s="82"/>
      <c r="D2780" s="80"/>
      <c r="E2780" s="81"/>
      <c r="F2780" s="82"/>
      <c r="G2780" s="83"/>
      <c r="H2780" s="89"/>
      <c r="I2780" s="76"/>
      <c r="J2780" s="84"/>
      <c r="K2780" s="78"/>
      <c r="L2780" s="88"/>
    </row>
    <row r="2781" ht="22.5" customHeight="1">
      <c r="A2781" s="80"/>
      <c r="B2781" s="81"/>
      <c r="C2781" s="82"/>
      <c r="D2781" s="80"/>
      <c r="E2781" s="81"/>
      <c r="F2781" s="82"/>
      <c r="G2781" s="83"/>
      <c r="H2781" s="89"/>
      <c r="I2781" s="76"/>
      <c r="J2781" s="84"/>
      <c r="K2781" s="78"/>
      <c r="L2781" s="88"/>
    </row>
    <row r="2782" ht="22.5" customHeight="1">
      <c r="A2782" s="80"/>
      <c r="B2782" s="81"/>
      <c r="C2782" s="82"/>
      <c r="D2782" s="80"/>
      <c r="E2782" s="81"/>
      <c r="F2782" s="82"/>
      <c r="G2782" s="83"/>
      <c r="H2782" s="89"/>
      <c r="I2782" s="76"/>
      <c r="J2782" s="84"/>
      <c r="K2782" s="78"/>
      <c r="L2782" s="88"/>
    </row>
    <row r="2783" ht="22.5" customHeight="1">
      <c r="A2783" s="80"/>
      <c r="B2783" s="81"/>
      <c r="C2783" s="82"/>
      <c r="D2783" s="80"/>
      <c r="E2783" s="81"/>
      <c r="F2783" s="82"/>
      <c r="G2783" s="83"/>
      <c r="H2783" s="89"/>
      <c r="I2783" s="76"/>
      <c r="J2783" s="84"/>
      <c r="K2783" s="78"/>
      <c r="L2783" s="88"/>
    </row>
    <row r="2784" ht="22.5" customHeight="1">
      <c r="A2784" s="80"/>
      <c r="B2784" s="81"/>
      <c r="C2784" s="82"/>
      <c r="D2784" s="80"/>
      <c r="E2784" s="81"/>
      <c r="F2784" s="82"/>
      <c r="G2784" s="83"/>
      <c r="H2784" s="89"/>
      <c r="I2784" s="76"/>
      <c r="J2784" s="84"/>
      <c r="K2784" s="78"/>
      <c r="L2784" s="88"/>
    </row>
    <row r="2785" ht="22.5" customHeight="1">
      <c r="A2785" s="80"/>
      <c r="B2785" s="81"/>
      <c r="C2785" s="82"/>
      <c r="D2785" s="80"/>
      <c r="E2785" s="81"/>
      <c r="F2785" s="82"/>
      <c r="G2785" s="83"/>
      <c r="H2785" s="89"/>
      <c r="I2785" s="76"/>
      <c r="J2785" s="84"/>
      <c r="K2785" s="78"/>
      <c r="L2785" s="88"/>
    </row>
    <row r="2786" ht="22.5" customHeight="1">
      <c r="A2786" s="80"/>
      <c r="B2786" s="81"/>
      <c r="C2786" s="82"/>
      <c r="D2786" s="80"/>
      <c r="E2786" s="81"/>
      <c r="F2786" s="82"/>
      <c r="G2786" s="83"/>
      <c r="H2786" s="89"/>
      <c r="I2786" s="76"/>
      <c r="J2786" s="84"/>
      <c r="K2786" s="78"/>
      <c r="L2786" s="88"/>
    </row>
    <row r="2787" ht="22.5" customHeight="1">
      <c r="A2787" s="80"/>
      <c r="B2787" s="81"/>
      <c r="C2787" s="82"/>
      <c r="D2787" s="80"/>
      <c r="E2787" s="81"/>
      <c r="F2787" s="82"/>
      <c r="G2787" s="83"/>
      <c r="H2787" s="89"/>
      <c r="I2787" s="76"/>
      <c r="J2787" s="84"/>
      <c r="K2787" s="78"/>
      <c r="L2787" s="88"/>
    </row>
    <row r="2788" ht="22.5" customHeight="1">
      <c r="A2788" s="80"/>
      <c r="B2788" s="81"/>
      <c r="C2788" s="82"/>
      <c r="D2788" s="80"/>
      <c r="E2788" s="81"/>
      <c r="F2788" s="82"/>
      <c r="G2788" s="83"/>
      <c r="H2788" s="89"/>
      <c r="I2788" s="76"/>
      <c r="J2788" s="84"/>
      <c r="K2788" s="78"/>
      <c r="L2788" s="88"/>
    </row>
    <row r="2789" ht="22.5" customHeight="1">
      <c r="A2789" s="80"/>
      <c r="B2789" s="81"/>
      <c r="C2789" s="82"/>
      <c r="D2789" s="80"/>
      <c r="E2789" s="81"/>
      <c r="F2789" s="82"/>
      <c r="G2789" s="83"/>
      <c r="H2789" s="89"/>
      <c r="I2789" s="76"/>
      <c r="J2789" s="84"/>
      <c r="K2789" s="78"/>
      <c r="L2789" s="88"/>
    </row>
    <row r="2790" ht="22.5" customHeight="1">
      <c r="A2790" s="80"/>
      <c r="B2790" s="81"/>
      <c r="C2790" s="82"/>
      <c r="D2790" s="80"/>
      <c r="E2790" s="81"/>
      <c r="F2790" s="82"/>
      <c r="G2790" s="83"/>
      <c r="H2790" s="89"/>
      <c r="I2790" s="76"/>
      <c r="J2790" s="84"/>
      <c r="K2790" s="78"/>
      <c r="L2790" s="88"/>
    </row>
    <row r="2791" ht="22.5" customHeight="1">
      <c r="A2791" s="80"/>
      <c r="B2791" s="81"/>
      <c r="C2791" s="82"/>
      <c r="D2791" s="80"/>
      <c r="E2791" s="81"/>
      <c r="F2791" s="82"/>
      <c r="G2791" s="83"/>
      <c r="H2791" s="89"/>
      <c r="I2791" s="76"/>
      <c r="J2791" s="84"/>
      <c r="K2791" s="78"/>
      <c r="L2791" s="88"/>
    </row>
    <row r="2792" ht="22.5" customHeight="1">
      <c r="A2792" s="80"/>
      <c r="B2792" s="81"/>
      <c r="C2792" s="82"/>
      <c r="D2792" s="80"/>
      <c r="E2792" s="81"/>
      <c r="F2792" s="82"/>
      <c r="G2792" s="83"/>
      <c r="H2792" s="89"/>
      <c r="I2792" s="76"/>
      <c r="J2792" s="84"/>
      <c r="K2792" s="78"/>
      <c r="L2792" s="88"/>
    </row>
    <row r="2793" ht="22.5" customHeight="1">
      <c r="A2793" s="80"/>
      <c r="B2793" s="81"/>
      <c r="C2793" s="82"/>
      <c r="D2793" s="80"/>
      <c r="E2793" s="81"/>
      <c r="F2793" s="82"/>
      <c r="G2793" s="83"/>
      <c r="H2793" s="89"/>
      <c r="I2793" s="76"/>
      <c r="J2793" s="84"/>
      <c r="K2793" s="78"/>
      <c r="L2793" s="88"/>
    </row>
    <row r="2794" ht="22.5" customHeight="1">
      <c r="A2794" s="80"/>
      <c r="B2794" s="81"/>
      <c r="C2794" s="82"/>
      <c r="D2794" s="80"/>
      <c r="E2794" s="81"/>
      <c r="F2794" s="82"/>
      <c r="G2794" s="83"/>
      <c r="H2794" s="89"/>
      <c r="I2794" s="76"/>
      <c r="J2794" s="84"/>
      <c r="K2794" s="78"/>
      <c r="L2794" s="88"/>
    </row>
    <row r="2795" ht="22.5" customHeight="1">
      <c r="A2795" s="80"/>
      <c r="B2795" s="81"/>
      <c r="C2795" s="82"/>
      <c r="D2795" s="80"/>
      <c r="E2795" s="81"/>
      <c r="F2795" s="82"/>
      <c r="G2795" s="83"/>
      <c r="H2795" s="89"/>
      <c r="I2795" s="76"/>
      <c r="J2795" s="84"/>
      <c r="K2795" s="78"/>
      <c r="L2795" s="88"/>
    </row>
    <row r="2796" ht="22.5" customHeight="1">
      <c r="A2796" s="80"/>
      <c r="B2796" s="81"/>
      <c r="C2796" s="82"/>
      <c r="D2796" s="80"/>
      <c r="E2796" s="81"/>
      <c r="F2796" s="82"/>
      <c r="G2796" s="83"/>
      <c r="H2796" s="89"/>
      <c r="I2796" s="76"/>
      <c r="J2796" s="84"/>
      <c r="K2796" s="78"/>
      <c r="L2796" s="88"/>
    </row>
    <row r="2797" ht="22.5" customHeight="1">
      <c r="A2797" s="80"/>
      <c r="B2797" s="81"/>
      <c r="C2797" s="82"/>
      <c r="D2797" s="80"/>
      <c r="E2797" s="81"/>
      <c r="F2797" s="82"/>
      <c r="G2797" s="83"/>
      <c r="H2797" s="89"/>
      <c r="I2797" s="76"/>
      <c r="J2797" s="84"/>
      <c r="K2797" s="78"/>
      <c r="L2797" s="88"/>
    </row>
    <row r="2798" ht="22.5" customHeight="1">
      <c r="A2798" s="80"/>
      <c r="B2798" s="81"/>
      <c r="C2798" s="82"/>
      <c r="D2798" s="80"/>
      <c r="E2798" s="81"/>
      <c r="F2798" s="82"/>
      <c r="G2798" s="83"/>
      <c r="H2798" s="89"/>
      <c r="I2798" s="76"/>
      <c r="J2798" s="84"/>
      <c r="K2798" s="78"/>
      <c r="L2798" s="88"/>
    </row>
    <row r="2799" ht="22.5" customHeight="1">
      <c r="A2799" s="80"/>
      <c r="B2799" s="81"/>
      <c r="C2799" s="82"/>
      <c r="D2799" s="80"/>
      <c r="E2799" s="81"/>
      <c r="F2799" s="82"/>
      <c r="G2799" s="83"/>
      <c r="H2799" s="89"/>
      <c r="I2799" s="76"/>
      <c r="J2799" s="84"/>
      <c r="K2799" s="78"/>
      <c r="L2799" s="88"/>
    </row>
    <row r="2800" ht="22.5" customHeight="1">
      <c r="A2800" s="80"/>
      <c r="B2800" s="81"/>
      <c r="C2800" s="82"/>
      <c r="D2800" s="80"/>
      <c r="E2800" s="81"/>
      <c r="F2800" s="82"/>
      <c r="G2800" s="83"/>
      <c r="H2800" s="89"/>
      <c r="I2800" s="76"/>
      <c r="J2800" s="84"/>
      <c r="K2800" s="78"/>
      <c r="L2800" s="88"/>
    </row>
    <row r="2801" ht="22.5" customHeight="1">
      <c r="A2801" s="80"/>
      <c r="B2801" s="81"/>
      <c r="C2801" s="82"/>
      <c r="D2801" s="80"/>
      <c r="E2801" s="81"/>
      <c r="F2801" s="82"/>
      <c r="G2801" s="83"/>
      <c r="H2801" s="89"/>
      <c r="I2801" s="76"/>
      <c r="J2801" s="84"/>
      <c r="K2801" s="78"/>
      <c r="L2801" s="88"/>
    </row>
    <row r="2802" ht="22.5" customHeight="1">
      <c r="A2802" s="80"/>
      <c r="B2802" s="81"/>
      <c r="C2802" s="82"/>
      <c r="D2802" s="80"/>
      <c r="E2802" s="81"/>
      <c r="F2802" s="82"/>
      <c r="G2802" s="83"/>
      <c r="H2802" s="89"/>
      <c r="I2802" s="76"/>
      <c r="J2802" s="84"/>
      <c r="K2802" s="78"/>
      <c r="L2802" s="88"/>
    </row>
    <row r="2803" ht="22.5" customHeight="1">
      <c r="A2803" s="80"/>
      <c r="B2803" s="81"/>
      <c r="C2803" s="82"/>
      <c r="D2803" s="80"/>
      <c r="E2803" s="81"/>
      <c r="F2803" s="82"/>
      <c r="G2803" s="83"/>
      <c r="H2803" s="89"/>
      <c r="I2803" s="76"/>
      <c r="J2803" s="84"/>
      <c r="K2803" s="78"/>
      <c r="L2803" s="88"/>
    </row>
    <row r="2804" ht="22.5" customHeight="1">
      <c r="A2804" s="80"/>
      <c r="B2804" s="81"/>
      <c r="C2804" s="82"/>
      <c r="D2804" s="80"/>
      <c r="E2804" s="81"/>
      <c r="F2804" s="82"/>
      <c r="G2804" s="83"/>
      <c r="H2804" s="89"/>
      <c r="I2804" s="76"/>
      <c r="J2804" s="84"/>
      <c r="K2804" s="78"/>
      <c r="L2804" s="88"/>
    </row>
    <row r="2805" ht="22.5" customHeight="1">
      <c r="A2805" s="80"/>
      <c r="B2805" s="81"/>
      <c r="C2805" s="82"/>
      <c r="D2805" s="80"/>
      <c r="E2805" s="81"/>
      <c r="F2805" s="82"/>
      <c r="G2805" s="83"/>
      <c r="H2805" s="89"/>
      <c r="I2805" s="76"/>
      <c r="J2805" s="84"/>
      <c r="K2805" s="78"/>
      <c r="L2805" s="88"/>
    </row>
    <row r="2806" ht="22.5" customHeight="1">
      <c r="A2806" s="80"/>
      <c r="B2806" s="81"/>
      <c r="C2806" s="82"/>
      <c r="D2806" s="80"/>
      <c r="E2806" s="81"/>
      <c r="F2806" s="82"/>
      <c r="G2806" s="83"/>
      <c r="H2806" s="89"/>
      <c r="I2806" s="76"/>
      <c r="J2806" s="84"/>
      <c r="K2806" s="78"/>
      <c r="L2806" s="88"/>
    </row>
    <row r="2807" ht="22.5" customHeight="1">
      <c r="A2807" s="80"/>
      <c r="B2807" s="81"/>
      <c r="C2807" s="82"/>
      <c r="D2807" s="80"/>
      <c r="E2807" s="81"/>
      <c r="F2807" s="82"/>
      <c r="G2807" s="83"/>
      <c r="H2807" s="89"/>
      <c r="I2807" s="76"/>
      <c r="J2807" s="84"/>
      <c r="K2807" s="78"/>
      <c r="L2807" s="88"/>
    </row>
    <row r="2808" ht="22.5" customHeight="1">
      <c r="A2808" s="80"/>
      <c r="B2808" s="81"/>
      <c r="C2808" s="82"/>
      <c r="D2808" s="80"/>
      <c r="E2808" s="81"/>
      <c r="F2808" s="82"/>
      <c r="G2808" s="83"/>
      <c r="H2808" s="89"/>
      <c r="I2808" s="76"/>
      <c r="J2808" s="84"/>
      <c r="K2808" s="78"/>
      <c r="L2808" s="88"/>
    </row>
    <row r="2809" ht="22.5" customHeight="1">
      <c r="A2809" s="80"/>
      <c r="B2809" s="81"/>
      <c r="C2809" s="82"/>
      <c r="D2809" s="80"/>
      <c r="E2809" s="81"/>
      <c r="F2809" s="82"/>
      <c r="G2809" s="83"/>
      <c r="H2809" s="89"/>
      <c r="I2809" s="76"/>
      <c r="J2809" s="84"/>
      <c r="K2809" s="78"/>
      <c r="L2809" s="88"/>
    </row>
    <row r="2810" ht="22.5" customHeight="1">
      <c r="A2810" s="80"/>
      <c r="B2810" s="81"/>
      <c r="C2810" s="82"/>
      <c r="D2810" s="80"/>
      <c r="E2810" s="81"/>
      <c r="F2810" s="82"/>
      <c r="G2810" s="83"/>
      <c r="H2810" s="89"/>
      <c r="I2810" s="76"/>
      <c r="J2810" s="84"/>
      <c r="K2810" s="78"/>
      <c r="L2810" s="88"/>
    </row>
    <row r="2811" ht="22.5" customHeight="1">
      <c r="A2811" s="80"/>
      <c r="B2811" s="81"/>
      <c r="C2811" s="82"/>
      <c r="D2811" s="80"/>
      <c r="E2811" s="81"/>
      <c r="F2811" s="82"/>
      <c r="G2811" s="83"/>
      <c r="H2811" s="89"/>
      <c r="I2811" s="76"/>
      <c r="J2811" s="84"/>
      <c r="K2811" s="78"/>
      <c r="L2811" s="88"/>
    </row>
    <row r="2812" ht="22.5" customHeight="1">
      <c r="A2812" s="80"/>
      <c r="B2812" s="81"/>
      <c r="C2812" s="82"/>
      <c r="D2812" s="80"/>
      <c r="E2812" s="81"/>
      <c r="F2812" s="82"/>
      <c r="G2812" s="83"/>
      <c r="H2812" s="89"/>
      <c r="I2812" s="76"/>
      <c r="J2812" s="84"/>
      <c r="K2812" s="78"/>
      <c r="L2812" s="88"/>
    </row>
    <row r="2813" ht="22.5" customHeight="1">
      <c r="A2813" s="80"/>
      <c r="B2813" s="81"/>
      <c r="C2813" s="82"/>
      <c r="D2813" s="80"/>
      <c r="E2813" s="81"/>
      <c r="F2813" s="82"/>
      <c r="G2813" s="83"/>
      <c r="H2813" s="89"/>
      <c r="I2813" s="76"/>
      <c r="J2813" s="84"/>
      <c r="K2813" s="78"/>
      <c r="L2813" s="88"/>
    </row>
    <row r="2814" ht="22.5" customHeight="1">
      <c r="A2814" s="80"/>
      <c r="B2814" s="81"/>
      <c r="C2814" s="82"/>
      <c r="D2814" s="80"/>
      <c r="E2814" s="81"/>
      <c r="F2814" s="82"/>
      <c r="G2814" s="83"/>
      <c r="H2814" s="89"/>
      <c r="I2814" s="76"/>
      <c r="J2814" s="84"/>
      <c r="K2814" s="78"/>
      <c r="L2814" s="88"/>
    </row>
    <row r="2815" ht="22.5" customHeight="1">
      <c r="A2815" s="80"/>
      <c r="B2815" s="81"/>
      <c r="C2815" s="82"/>
      <c r="D2815" s="80"/>
      <c r="E2815" s="81"/>
      <c r="F2815" s="82"/>
      <c r="G2815" s="83"/>
      <c r="H2815" s="89"/>
      <c r="I2815" s="76"/>
      <c r="J2815" s="84"/>
      <c r="K2815" s="78"/>
      <c r="L2815" s="88"/>
    </row>
    <row r="2816" ht="22.5" customHeight="1">
      <c r="A2816" s="80"/>
      <c r="B2816" s="81"/>
      <c r="C2816" s="82"/>
      <c r="D2816" s="80"/>
      <c r="E2816" s="81"/>
      <c r="F2816" s="82"/>
      <c r="G2816" s="83"/>
      <c r="H2816" s="89"/>
      <c r="I2816" s="76"/>
      <c r="J2816" s="84"/>
      <c r="K2816" s="78"/>
      <c r="L2816" s="88"/>
    </row>
    <row r="2817" ht="22.5" customHeight="1">
      <c r="A2817" s="80"/>
      <c r="B2817" s="81"/>
      <c r="C2817" s="82"/>
      <c r="D2817" s="80"/>
      <c r="E2817" s="81"/>
      <c r="F2817" s="82"/>
      <c r="G2817" s="83"/>
      <c r="H2817" s="89"/>
      <c r="I2817" s="76"/>
      <c r="J2817" s="84"/>
      <c r="K2817" s="78"/>
      <c r="L2817" s="88"/>
    </row>
    <row r="2818" ht="22.5" customHeight="1">
      <c r="A2818" s="80"/>
      <c r="B2818" s="81"/>
      <c r="C2818" s="82"/>
      <c r="D2818" s="80"/>
      <c r="E2818" s="81"/>
      <c r="F2818" s="82"/>
      <c r="G2818" s="83"/>
      <c r="H2818" s="89"/>
      <c r="I2818" s="76"/>
      <c r="J2818" s="84"/>
      <c r="K2818" s="78"/>
      <c r="L2818" s="88"/>
    </row>
    <row r="2819" ht="22.5" customHeight="1">
      <c r="A2819" s="80"/>
      <c r="B2819" s="81"/>
      <c r="C2819" s="82"/>
      <c r="D2819" s="80"/>
      <c r="E2819" s="81"/>
      <c r="F2819" s="82"/>
      <c r="G2819" s="83"/>
      <c r="H2819" s="89"/>
      <c r="I2819" s="76"/>
      <c r="J2819" s="84"/>
      <c r="K2819" s="78"/>
      <c r="L2819" s="88"/>
    </row>
    <row r="2820" ht="22.5" customHeight="1">
      <c r="A2820" s="80"/>
      <c r="B2820" s="81"/>
      <c r="C2820" s="82"/>
      <c r="D2820" s="80"/>
      <c r="E2820" s="81"/>
      <c r="F2820" s="82"/>
      <c r="G2820" s="83"/>
      <c r="H2820" s="89"/>
      <c r="I2820" s="76"/>
      <c r="J2820" s="84"/>
      <c r="K2820" s="78"/>
      <c r="L2820" s="88"/>
    </row>
    <row r="2821" ht="22.5" customHeight="1">
      <c r="A2821" s="80"/>
      <c r="B2821" s="81"/>
      <c r="C2821" s="82"/>
      <c r="D2821" s="80"/>
      <c r="E2821" s="81"/>
      <c r="F2821" s="82"/>
      <c r="G2821" s="83"/>
      <c r="H2821" s="89"/>
      <c r="I2821" s="76"/>
      <c r="J2821" s="84"/>
      <c r="K2821" s="78"/>
      <c r="L2821" s="88"/>
    </row>
    <row r="2822" ht="22.5" customHeight="1">
      <c r="A2822" s="80"/>
      <c r="B2822" s="81"/>
      <c r="C2822" s="82"/>
      <c r="D2822" s="80"/>
      <c r="E2822" s="81"/>
      <c r="F2822" s="82"/>
      <c r="G2822" s="83"/>
      <c r="H2822" s="89"/>
      <c r="I2822" s="76"/>
      <c r="J2822" s="84"/>
      <c r="K2822" s="78"/>
      <c r="L2822" s="88"/>
    </row>
    <row r="2823" ht="22.5" customHeight="1">
      <c r="A2823" s="80"/>
      <c r="B2823" s="81"/>
      <c r="C2823" s="82"/>
      <c r="D2823" s="80"/>
      <c r="E2823" s="81"/>
      <c r="F2823" s="82"/>
      <c r="G2823" s="83"/>
      <c r="H2823" s="89"/>
      <c r="I2823" s="76"/>
      <c r="J2823" s="84"/>
      <c r="K2823" s="78"/>
      <c r="L2823" s="88"/>
    </row>
    <row r="2824" ht="22.5" customHeight="1">
      <c r="A2824" s="80"/>
      <c r="B2824" s="81"/>
      <c r="C2824" s="82"/>
      <c r="D2824" s="80"/>
      <c r="E2824" s="81"/>
      <c r="F2824" s="82"/>
      <c r="G2824" s="83"/>
      <c r="H2824" s="89"/>
      <c r="I2824" s="76"/>
      <c r="J2824" s="84"/>
      <c r="K2824" s="78"/>
      <c r="L2824" s="88"/>
    </row>
    <row r="2825" ht="22.5" customHeight="1">
      <c r="A2825" s="80"/>
      <c r="B2825" s="81"/>
      <c r="C2825" s="82"/>
      <c r="D2825" s="80"/>
      <c r="E2825" s="81"/>
      <c r="F2825" s="82"/>
      <c r="G2825" s="83"/>
      <c r="H2825" s="89"/>
      <c r="I2825" s="76"/>
      <c r="J2825" s="84"/>
      <c r="K2825" s="78"/>
      <c r="L2825" s="88"/>
    </row>
    <row r="2826" ht="22.5" customHeight="1">
      <c r="A2826" s="80"/>
      <c r="B2826" s="81"/>
      <c r="C2826" s="82"/>
      <c r="D2826" s="80"/>
      <c r="E2826" s="81"/>
      <c r="F2826" s="82"/>
      <c r="G2826" s="83"/>
      <c r="H2826" s="89"/>
      <c r="I2826" s="76"/>
      <c r="J2826" s="84"/>
      <c r="K2826" s="78"/>
      <c r="L2826" s="88"/>
    </row>
    <row r="2827" ht="22.5" customHeight="1">
      <c r="A2827" s="80"/>
      <c r="B2827" s="81"/>
      <c r="C2827" s="82"/>
      <c r="D2827" s="80"/>
      <c r="E2827" s="81"/>
      <c r="F2827" s="82"/>
      <c r="G2827" s="83"/>
      <c r="H2827" s="89"/>
      <c r="I2827" s="76"/>
      <c r="J2827" s="84"/>
      <c r="K2827" s="78"/>
      <c r="L2827" s="88"/>
    </row>
    <row r="2828" ht="22.5" customHeight="1">
      <c r="A2828" s="80"/>
      <c r="B2828" s="81"/>
      <c r="C2828" s="82"/>
      <c r="D2828" s="80"/>
      <c r="E2828" s="81"/>
      <c r="F2828" s="82"/>
      <c r="G2828" s="83"/>
      <c r="H2828" s="89"/>
      <c r="I2828" s="76"/>
      <c r="J2828" s="84"/>
      <c r="K2828" s="78"/>
      <c r="L2828" s="88"/>
    </row>
    <row r="2829" ht="22.5" customHeight="1">
      <c r="A2829" s="80"/>
      <c r="B2829" s="81"/>
      <c r="C2829" s="82"/>
      <c r="D2829" s="80"/>
      <c r="E2829" s="81"/>
      <c r="F2829" s="82"/>
      <c r="G2829" s="83"/>
      <c r="H2829" s="89"/>
      <c r="I2829" s="76"/>
      <c r="J2829" s="84"/>
      <c r="K2829" s="78"/>
      <c r="L2829" s="88"/>
    </row>
    <row r="2830" ht="22.5" customHeight="1">
      <c r="A2830" s="80"/>
      <c r="B2830" s="81"/>
      <c r="C2830" s="82"/>
      <c r="D2830" s="80"/>
      <c r="E2830" s="81"/>
      <c r="F2830" s="82"/>
      <c r="G2830" s="83"/>
      <c r="H2830" s="89"/>
      <c r="I2830" s="76"/>
      <c r="J2830" s="84"/>
      <c r="K2830" s="78"/>
      <c r="L2830" s="88"/>
    </row>
    <row r="2831" ht="22.5" customHeight="1">
      <c r="A2831" s="80"/>
      <c r="B2831" s="81"/>
      <c r="C2831" s="82"/>
      <c r="D2831" s="80"/>
      <c r="E2831" s="81"/>
      <c r="F2831" s="82"/>
      <c r="G2831" s="83"/>
      <c r="H2831" s="89"/>
      <c r="I2831" s="76"/>
      <c r="J2831" s="84"/>
      <c r="K2831" s="78"/>
      <c r="L2831" s="88"/>
    </row>
    <row r="2832" ht="22.5" customHeight="1">
      <c r="A2832" s="80"/>
      <c r="B2832" s="81"/>
      <c r="C2832" s="82"/>
      <c r="D2832" s="80"/>
      <c r="E2832" s="81"/>
      <c r="F2832" s="82"/>
      <c r="G2832" s="83"/>
      <c r="H2832" s="89"/>
      <c r="I2832" s="76"/>
      <c r="J2832" s="84"/>
      <c r="K2832" s="78"/>
      <c r="L2832" s="88"/>
    </row>
    <row r="2833" ht="22.5" customHeight="1">
      <c r="A2833" s="80"/>
      <c r="B2833" s="81"/>
      <c r="C2833" s="82"/>
      <c r="D2833" s="80"/>
      <c r="E2833" s="81"/>
      <c r="F2833" s="82"/>
      <c r="G2833" s="83"/>
      <c r="H2833" s="89"/>
      <c r="I2833" s="76"/>
      <c r="J2833" s="84"/>
      <c r="K2833" s="78"/>
      <c r="L2833" s="88"/>
    </row>
    <row r="2834" ht="22.5" customHeight="1">
      <c r="A2834" s="80"/>
      <c r="B2834" s="81"/>
      <c r="C2834" s="82"/>
      <c r="D2834" s="80"/>
      <c r="E2834" s="81"/>
      <c r="F2834" s="82"/>
      <c r="G2834" s="83"/>
      <c r="H2834" s="89"/>
      <c r="I2834" s="76"/>
      <c r="J2834" s="84"/>
      <c r="K2834" s="78"/>
      <c r="L2834" s="88"/>
    </row>
    <row r="2835" ht="22.5" customHeight="1">
      <c r="A2835" s="80"/>
      <c r="B2835" s="81"/>
      <c r="C2835" s="82"/>
      <c r="D2835" s="80"/>
      <c r="E2835" s="81"/>
      <c r="F2835" s="82"/>
      <c r="G2835" s="83"/>
      <c r="H2835" s="89"/>
      <c r="I2835" s="76"/>
      <c r="J2835" s="84"/>
      <c r="K2835" s="78"/>
      <c r="L2835" s="88"/>
    </row>
    <row r="2836" ht="22.5" customHeight="1">
      <c r="A2836" s="80"/>
      <c r="B2836" s="81"/>
      <c r="C2836" s="82"/>
      <c r="D2836" s="80"/>
      <c r="E2836" s="81"/>
      <c r="F2836" s="82"/>
      <c r="G2836" s="83"/>
      <c r="H2836" s="89"/>
      <c r="I2836" s="76"/>
      <c r="J2836" s="84"/>
      <c r="K2836" s="78"/>
      <c r="L2836" s="88"/>
    </row>
    <row r="2837" ht="22.5" customHeight="1">
      <c r="A2837" s="80"/>
      <c r="B2837" s="81"/>
      <c r="C2837" s="82"/>
      <c r="D2837" s="80"/>
      <c r="E2837" s="81"/>
      <c r="F2837" s="82"/>
      <c r="G2837" s="83"/>
      <c r="H2837" s="89"/>
      <c r="I2837" s="76"/>
      <c r="J2837" s="84"/>
      <c r="K2837" s="78"/>
      <c r="L2837" s="88"/>
    </row>
    <row r="2838" ht="22.5" customHeight="1">
      <c r="A2838" s="80"/>
      <c r="B2838" s="81"/>
      <c r="C2838" s="82"/>
      <c r="D2838" s="80"/>
      <c r="E2838" s="81"/>
      <c r="F2838" s="82"/>
      <c r="G2838" s="83"/>
      <c r="H2838" s="89"/>
      <c r="I2838" s="76"/>
      <c r="J2838" s="84"/>
      <c r="K2838" s="78"/>
      <c r="L2838" s="88"/>
    </row>
    <row r="2839" ht="22.5" customHeight="1">
      <c r="A2839" s="80"/>
      <c r="B2839" s="81"/>
      <c r="C2839" s="82"/>
      <c r="D2839" s="80"/>
      <c r="E2839" s="81"/>
      <c r="F2839" s="82"/>
      <c r="G2839" s="83"/>
      <c r="H2839" s="89"/>
      <c r="I2839" s="76"/>
      <c r="J2839" s="84"/>
      <c r="K2839" s="78"/>
      <c r="L2839" s="88"/>
    </row>
    <row r="2840" ht="22.5" customHeight="1">
      <c r="A2840" s="80"/>
      <c r="B2840" s="81"/>
      <c r="C2840" s="82"/>
      <c r="D2840" s="80"/>
      <c r="E2840" s="81"/>
      <c r="F2840" s="82"/>
      <c r="G2840" s="83"/>
      <c r="H2840" s="89"/>
      <c r="I2840" s="76"/>
      <c r="J2840" s="84"/>
      <c r="K2840" s="78"/>
      <c r="L2840" s="88"/>
    </row>
    <row r="2841" ht="22.5" customHeight="1">
      <c r="A2841" s="80"/>
      <c r="B2841" s="81"/>
      <c r="C2841" s="82"/>
      <c r="D2841" s="80"/>
      <c r="E2841" s="81"/>
      <c r="F2841" s="82"/>
      <c r="G2841" s="83"/>
      <c r="H2841" s="89"/>
      <c r="I2841" s="76"/>
      <c r="J2841" s="84"/>
      <c r="K2841" s="78"/>
      <c r="L2841" s="88"/>
    </row>
    <row r="2842" ht="22.5" customHeight="1">
      <c r="A2842" s="80"/>
      <c r="B2842" s="81"/>
      <c r="C2842" s="82"/>
      <c r="D2842" s="80"/>
      <c r="E2842" s="81"/>
      <c r="F2842" s="82"/>
      <c r="G2842" s="83"/>
      <c r="H2842" s="89"/>
      <c r="I2842" s="76"/>
      <c r="J2842" s="84"/>
      <c r="K2842" s="78"/>
      <c r="L2842" s="88"/>
    </row>
    <row r="2843" ht="22.5" customHeight="1">
      <c r="A2843" s="80"/>
      <c r="B2843" s="81"/>
      <c r="C2843" s="82"/>
      <c r="D2843" s="80"/>
      <c r="E2843" s="81"/>
      <c r="F2843" s="82"/>
      <c r="G2843" s="83"/>
      <c r="H2843" s="89"/>
      <c r="I2843" s="76"/>
      <c r="J2843" s="84"/>
      <c r="K2843" s="78"/>
      <c r="L2843" s="88"/>
    </row>
    <row r="2844" ht="22.5" customHeight="1">
      <c r="A2844" s="80"/>
      <c r="B2844" s="81"/>
      <c r="C2844" s="82"/>
      <c r="D2844" s="80"/>
      <c r="E2844" s="81"/>
      <c r="F2844" s="82"/>
      <c r="G2844" s="83"/>
      <c r="H2844" s="89"/>
      <c r="I2844" s="76"/>
      <c r="J2844" s="84"/>
      <c r="K2844" s="78"/>
      <c r="L2844" s="88"/>
    </row>
    <row r="2845" ht="22.5" customHeight="1">
      <c r="A2845" s="80"/>
      <c r="B2845" s="81"/>
      <c r="C2845" s="82"/>
      <c r="D2845" s="80"/>
      <c r="E2845" s="81"/>
      <c r="F2845" s="82"/>
      <c r="G2845" s="83"/>
      <c r="H2845" s="89"/>
      <c r="I2845" s="76"/>
      <c r="J2845" s="84"/>
      <c r="K2845" s="78"/>
      <c r="L2845" s="88"/>
    </row>
    <row r="2846" ht="22.5" customHeight="1">
      <c r="A2846" s="80"/>
      <c r="B2846" s="81"/>
      <c r="C2846" s="82"/>
      <c r="D2846" s="80"/>
      <c r="E2846" s="81"/>
      <c r="F2846" s="82"/>
      <c r="G2846" s="83"/>
      <c r="H2846" s="89"/>
      <c r="I2846" s="76"/>
      <c r="J2846" s="84"/>
      <c r="K2846" s="78"/>
      <c r="L2846" s="88"/>
    </row>
    <row r="2847" ht="22.5" customHeight="1">
      <c r="A2847" s="80"/>
      <c r="B2847" s="81"/>
      <c r="C2847" s="82"/>
      <c r="D2847" s="80"/>
      <c r="E2847" s="81"/>
      <c r="F2847" s="82"/>
      <c r="G2847" s="83"/>
      <c r="H2847" s="89"/>
      <c r="I2847" s="76"/>
      <c r="J2847" s="84"/>
      <c r="K2847" s="78"/>
      <c r="L2847" s="88"/>
    </row>
    <row r="2848" ht="22.5" customHeight="1">
      <c r="A2848" s="80"/>
      <c r="B2848" s="81"/>
      <c r="C2848" s="82"/>
      <c r="D2848" s="80"/>
      <c r="E2848" s="81"/>
      <c r="F2848" s="82"/>
      <c r="G2848" s="83"/>
      <c r="H2848" s="89"/>
      <c r="I2848" s="76"/>
      <c r="J2848" s="84"/>
      <c r="K2848" s="78"/>
      <c r="L2848" s="88"/>
    </row>
    <row r="2849" ht="22.5" customHeight="1">
      <c r="A2849" s="80"/>
      <c r="B2849" s="81"/>
      <c r="C2849" s="82"/>
      <c r="D2849" s="80"/>
      <c r="E2849" s="81"/>
      <c r="F2849" s="82"/>
      <c r="G2849" s="83"/>
      <c r="H2849" s="89"/>
      <c r="I2849" s="76"/>
      <c r="J2849" s="84"/>
      <c r="K2849" s="78"/>
      <c r="L2849" s="88"/>
    </row>
    <row r="2850" ht="22.5" customHeight="1">
      <c r="A2850" s="80"/>
      <c r="B2850" s="81"/>
      <c r="C2850" s="82"/>
      <c r="D2850" s="80"/>
      <c r="E2850" s="81"/>
      <c r="F2850" s="82"/>
      <c r="G2850" s="83"/>
      <c r="H2850" s="89"/>
      <c r="I2850" s="76"/>
      <c r="J2850" s="84"/>
      <c r="K2850" s="78"/>
      <c r="L2850" s="88"/>
    </row>
    <row r="2851" ht="22.5" customHeight="1">
      <c r="A2851" s="80"/>
      <c r="B2851" s="81"/>
      <c r="C2851" s="82"/>
      <c r="D2851" s="80"/>
      <c r="E2851" s="81"/>
      <c r="F2851" s="82"/>
      <c r="G2851" s="83"/>
      <c r="H2851" s="89"/>
      <c r="I2851" s="76"/>
      <c r="J2851" s="84"/>
      <c r="K2851" s="78"/>
      <c r="L2851" s="88"/>
    </row>
    <row r="2852" ht="22.5" customHeight="1">
      <c r="A2852" s="80"/>
      <c r="B2852" s="81"/>
      <c r="C2852" s="82"/>
      <c r="D2852" s="80"/>
      <c r="E2852" s="81"/>
      <c r="F2852" s="82"/>
      <c r="G2852" s="83"/>
      <c r="H2852" s="89"/>
      <c r="I2852" s="76"/>
      <c r="J2852" s="84"/>
      <c r="K2852" s="78"/>
      <c r="L2852" s="88"/>
    </row>
    <row r="2853" ht="22.5" customHeight="1">
      <c r="A2853" s="80"/>
      <c r="B2853" s="81"/>
      <c r="C2853" s="82"/>
      <c r="D2853" s="80"/>
      <c r="E2853" s="81"/>
      <c r="F2853" s="82"/>
      <c r="G2853" s="83"/>
      <c r="H2853" s="89"/>
      <c r="I2853" s="76"/>
      <c r="J2853" s="84"/>
      <c r="K2853" s="78"/>
      <c r="L2853" s="88"/>
    </row>
    <row r="2854" ht="22.5" customHeight="1">
      <c r="A2854" s="80"/>
      <c r="B2854" s="81"/>
      <c r="C2854" s="82"/>
      <c r="D2854" s="80"/>
      <c r="E2854" s="81"/>
      <c r="F2854" s="82"/>
      <c r="G2854" s="83"/>
      <c r="H2854" s="89"/>
      <c r="I2854" s="76"/>
      <c r="J2854" s="84"/>
      <c r="K2854" s="78"/>
      <c r="L2854" s="88"/>
    </row>
    <row r="2855" ht="22.5" customHeight="1">
      <c r="A2855" s="80"/>
      <c r="B2855" s="81"/>
      <c r="C2855" s="82"/>
      <c r="D2855" s="80"/>
      <c r="E2855" s="81"/>
      <c r="F2855" s="82"/>
      <c r="G2855" s="83"/>
      <c r="H2855" s="89"/>
      <c r="I2855" s="76"/>
      <c r="J2855" s="84"/>
      <c r="K2855" s="78"/>
      <c r="L2855" s="88"/>
    </row>
    <row r="2856" ht="22.5" customHeight="1">
      <c r="A2856" s="80"/>
      <c r="B2856" s="81"/>
      <c r="C2856" s="82"/>
      <c r="D2856" s="80"/>
      <c r="E2856" s="81"/>
      <c r="F2856" s="82"/>
      <c r="G2856" s="83"/>
      <c r="H2856" s="89"/>
      <c r="I2856" s="76"/>
      <c r="J2856" s="84"/>
      <c r="K2856" s="78"/>
      <c r="L2856" s="88"/>
    </row>
    <row r="2857" ht="22.5" customHeight="1">
      <c r="A2857" s="80"/>
      <c r="B2857" s="81"/>
      <c r="C2857" s="82"/>
      <c r="D2857" s="80"/>
      <c r="E2857" s="81"/>
      <c r="F2857" s="82"/>
      <c r="G2857" s="83"/>
      <c r="H2857" s="89"/>
      <c r="I2857" s="76"/>
      <c r="J2857" s="84"/>
      <c r="K2857" s="78"/>
      <c r="L2857" s="88"/>
    </row>
    <row r="2858" ht="22.5" customHeight="1">
      <c r="A2858" s="80"/>
      <c r="B2858" s="81"/>
      <c r="C2858" s="82"/>
      <c r="D2858" s="80"/>
      <c r="E2858" s="81"/>
      <c r="F2858" s="82"/>
      <c r="G2858" s="83"/>
      <c r="H2858" s="89"/>
      <c r="I2858" s="76"/>
      <c r="J2858" s="84"/>
      <c r="K2858" s="78"/>
      <c r="L2858" s="88"/>
    </row>
    <row r="2859" ht="22.5" customHeight="1">
      <c r="A2859" s="80"/>
      <c r="B2859" s="81"/>
      <c r="C2859" s="82"/>
      <c r="D2859" s="80"/>
      <c r="E2859" s="81"/>
      <c r="F2859" s="82"/>
      <c r="G2859" s="83"/>
      <c r="H2859" s="89"/>
      <c r="I2859" s="76"/>
      <c r="J2859" s="84"/>
      <c r="K2859" s="78"/>
      <c r="L2859" s="88"/>
    </row>
    <row r="2860" ht="22.5" customHeight="1">
      <c r="A2860" s="80"/>
      <c r="B2860" s="81"/>
      <c r="C2860" s="82"/>
      <c r="D2860" s="80"/>
      <c r="E2860" s="81"/>
      <c r="F2860" s="82"/>
      <c r="G2860" s="83"/>
      <c r="H2860" s="89"/>
      <c r="I2860" s="76"/>
      <c r="J2860" s="84"/>
      <c r="K2860" s="78"/>
      <c r="L2860" s="88"/>
    </row>
    <row r="2861" ht="22.5" customHeight="1">
      <c r="A2861" s="80"/>
      <c r="B2861" s="81"/>
      <c r="C2861" s="82"/>
      <c r="D2861" s="80"/>
      <c r="E2861" s="81"/>
      <c r="F2861" s="82"/>
      <c r="G2861" s="83"/>
      <c r="H2861" s="89"/>
      <c r="I2861" s="76"/>
      <c r="J2861" s="84"/>
      <c r="K2861" s="78"/>
      <c r="L2861" s="88"/>
    </row>
    <row r="2862" ht="22.5" customHeight="1">
      <c r="A2862" s="80"/>
      <c r="B2862" s="81"/>
      <c r="C2862" s="82"/>
      <c r="D2862" s="80"/>
      <c r="E2862" s="81"/>
      <c r="F2862" s="82"/>
      <c r="G2862" s="83"/>
      <c r="H2862" s="89"/>
      <c r="I2862" s="76"/>
      <c r="J2862" s="84"/>
      <c r="K2862" s="78"/>
      <c r="L2862" s="88"/>
    </row>
    <row r="2863" ht="22.5" customHeight="1">
      <c r="A2863" s="80"/>
      <c r="B2863" s="81"/>
      <c r="C2863" s="82"/>
      <c r="D2863" s="80"/>
      <c r="E2863" s="81"/>
      <c r="F2863" s="82"/>
      <c r="G2863" s="83"/>
      <c r="H2863" s="89"/>
      <c r="I2863" s="76"/>
      <c r="J2863" s="84"/>
      <c r="K2863" s="78"/>
      <c r="L2863" s="88"/>
    </row>
    <row r="2864" ht="22.5" customHeight="1">
      <c r="A2864" s="80"/>
      <c r="B2864" s="81"/>
      <c r="C2864" s="82"/>
      <c r="D2864" s="80"/>
      <c r="E2864" s="81"/>
      <c r="F2864" s="82"/>
      <c r="G2864" s="83"/>
      <c r="H2864" s="89"/>
      <c r="I2864" s="76"/>
      <c r="J2864" s="84"/>
      <c r="K2864" s="78"/>
      <c r="L2864" s="88"/>
    </row>
    <row r="2865" ht="22.5" customHeight="1">
      <c r="A2865" s="80"/>
      <c r="B2865" s="81"/>
      <c r="C2865" s="82"/>
      <c r="D2865" s="80"/>
      <c r="E2865" s="81"/>
      <c r="F2865" s="82"/>
      <c r="G2865" s="83"/>
      <c r="H2865" s="89"/>
      <c r="I2865" s="76"/>
      <c r="J2865" s="84"/>
      <c r="K2865" s="78"/>
      <c r="L2865" s="88"/>
    </row>
    <row r="2866" ht="22.5" customHeight="1">
      <c r="A2866" s="80"/>
      <c r="B2866" s="81"/>
      <c r="C2866" s="82"/>
      <c r="D2866" s="80"/>
      <c r="E2866" s="81"/>
      <c r="F2866" s="82"/>
      <c r="G2866" s="83"/>
      <c r="H2866" s="89"/>
      <c r="I2866" s="76"/>
      <c r="J2866" s="84"/>
      <c r="K2866" s="78"/>
      <c r="L2866" s="88"/>
    </row>
    <row r="2867" ht="22.5" customHeight="1">
      <c r="A2867" s="80"/>
      <c r="B2867" s="81"/>
      <c r="C2867" s="82"/>
      <c r="D2867" s="80"/>
      <c r="E2867" s="81"/>
      <c r="F2867" s="82"/>
      <c r="G2867" s="83"/>
      <c r="H2867" s="89"/>
      <c r="I2867" s="76"/>
      <c r="J2867" s="84"/>
      <c r="K2867" s="78"/>
      <c r="L2867" s="88"/>
    </row>
    <row r="2868" ht="22.5" customHeight="1">
      <c r="A2868" s="80"/>
      <c r="B2868" s="81"/>
      <c r="C2868" s="82"/>
      <c r="D2868" s="80"/>
      <c r="E2868" s="81"/>
      <c r="F2868" s="82"/>
      <c r="G2868" s="83"/>
      <c r="H2868" s="89"/>
      <c r="I2868" s="76"/>
      <c r="J2868" s="84"/>
      <c r="K2868" s="78"/>
      <c r="L2868" s="88"/>
    </row>
    <row r="2869" ht="22.5" customHeight="1">
      <c r="A2869" s="80"/>
      <c r="B2869" s="81"/>
      <c r="C2869" s="82"/>
      <c r="D2869" s="80"/>
      <c r="E2869" s="81"/>
      <c r="F2869" s="82"/>
      <c r="G2869" s="83"/>
      <c r="H2869" s="89"/>
      <c r="I2869" s="76"/>
      <c r="J2869" s="84"/>
      <c r="K2869" s="78"/>
      <c r="L2869" s="88"/>
    </row>
    <row r="2870" ht="22.5" customHeight="1">
      <c r="A2870" s="80"/>
      <c r="B2870" s="81"/>
      <c r="C2870" s="82"/>
      <c r="D2870" s="80"/>
      <c r="E2870" s="81"/>
      <c r="F2870" s="82"/>
      <c r="G2870" s="83"/>
      <c r="H2870" s="89"/>
      <c r="I2870" s="76"/>
      <c r="J2870" s="84"/>
      <c r="K2870" s="78"/>
      <c r="L2870" s="88"/>
    </row>
    <row r="2871" ht="22.5" customHeight="1">
      <c r="A2871" s="80"/>
      <c r="B2871" s="81"/>
      <c r="C2871" s="82"/>
      <c r="D2871" s="80"/>
      <c r="E2871" s="81"/>
      <c r="F2871" s="82"/>
      <c r="G2871" s="83"/>
      <c r="H2871" s="89"/>
      <c r="I2871" s="76"/>
      <c r="J2871" s="84"/>
      <c r="K2871" s="78"/>
      <c r="L2871" s="88"/>
    </row>
    <row r="2872" ht="22.5" customHeight="1">
      <c r="A2872" s="80"/>
      <c r="B2872" s="81"/>
      <c r="C2872" s="82"/>
      <c r="D2872" s="80"/>
      <c r="E2872" s="81"/>
      <c r="F2872" s="82"/>
      <c r="G2872" s="83"/>
      <c r="H2872" s="89"/>
      <c r="I2872" s="76"/>
      <c r="J2872" s="84"/>
      <c r="K2872" s="78"/>
      <c r="L2872" s="88"/>
    </row>
    <row r="2873" ht="22.5" customHeight="1">
      <c r="A2873" s="80"/>
      <c r="B2873" s="81"/>
      <c r="C2873" s="82"/>
      <c r="D2873" s="80"/>
      <c r="E2873" s="81"/>
      <c r="F2873" s="82"/>
      <c r="G2873" s="83"/>
      <c r="H2873" s="89"/>
      <c r="I2873" s="76"/>
      <c r="J2873" s="84"/>
      <c r="K2873" s="78"/>
      <c r="L2873" s="88"/>
    </row>
    <row r="2874" ht="22.5" customHeight="1">
      <c r="A2874" s="80"/>
      <c r="B2874" s="81"/>
      <c r="C2874" s="82"/>
      <c r="D2874" s="80"/>
      <c r="E2874" s="81"/>
      <c r="F2874" s="82"/>
      <c r="G2874" s="83"/>
      <c r="H2874" s="89"/>
      <c r="I2874" s="76"/>
      <c r="J2874" s="84"/>
      <c r="K2874" s="78"/>
      <c r="L2874" s="88"/>
    </row>
    <row r="2875" ht="22.5" customHeight="1">
      <c r="A2875" s="80"/>
      <c r="B2875" s="81"/>
      <c r="C2875" s="82"/>
      <c r="D2875" s="80"/>
      <c r="E2875" s="81"/>
      <c r="F2875" s="82"/>
      <c r="G2875" s="83"/>
      <c r="H2875" s="89"/>
      <c r="I2875" s="76"/>
      <c r="J2875" s="84"/>
      <c r="K2875" s="78"/>
      <c r="L2875" s="88"/>
    </row>
    <row r="2876" ht="22.5" customHeight="1">
      <c r="A2876" s="80"/>
      <c r="B2876" s="81"/>
      <c r="C2876" s="82"/>
      <c r="D2876" s="80"/>
      <c r="E2876" s="81"/>
      <c r="F2876" s="82"/>
      <c r="G2876" s="83"/>
      <c r="H2876" s="89"/>
      <c r="I2876" s="76"/>
      <c r="J2876" s="84"/>
      <c r="K2876" s="78"/>
      <c r="L2876" s="88"/>
    </row>
    <row r="2877" ht="22.5" customHeight="1">
      <c r="A2877" s="80"/>
      <c r="B2877" s="81"/>
      <c r="C2877" s="82"/>
      <c r="D2877" s="80"/>
      <c r="E2877" s="81"/>
      <c r="F2877" s="82"/>
      <c r="G2877" s="83"/>
      <c r="H2877" s="89"/>
      <c r="I2877" s="76"/>
      <c r="J2877" s="84"/>
      <c r="K2877" s="78"/>
      <c r="L2877" s="88"/>
    </row>
    <row r="2878" ht="22.5" customHeight="1">
      <c r="A2878" s="80"/>
      <c r="B2878" s="81"/>
      <c r="C2878" s="82"/>
      <c r="D2878" s="80"/>
      <c r="E2878" s="81"/>
      <c r="F2878" s="82"/>
      <c r="G2878" s="83"/>
      <c r="H2878" s="89"/>
      <c r="I2878" s="76"/>
      <c r="J2878" s="84"/>
      <c r="K2878" s="78"/>
      <c r="L2878" s="88"/>
    </row>
    <row r="2879" ht="22.5" customHeight="1">
      <c r="A2879" s="80"/>
      <c r="B2879" s="81"/>
      <c r="C2879" s="82"/>
      <c r="D2879" s="80"/>
      <c r="E2879" s="81"/>
      <c r="F2879" s="82"/>
      <c r="G2879" s="83"/>
      <c r="H2879" s="89"/>
      <c r="I2879" s="76"/>
      <c r="J2879" s="84"/>
      <c r="K2879" s="78"/>
      <c r="L2879" s="88"/>
    </row>
    <row r="2880" ht="22.5" customHeight="1">
      <c r="A2880" s="80"/>
      <c r="B2880" s="81"/>
      <c r="C2880" s="82"/>
      <c r="D2880" s="80"/>
      <c r="E2880" s="81"/>
      <c r="F2880" s="82"/>
      <c r="G2880" s="83"/>
      <c r="H2880" s="89"/>
      <c r="I2880" s="76"/>
      <c r="J2880" s="84"/>
      <c r="K2880" s="78"/>
      <c r="L2880" s="88"/>
    </row>
    <row r="2881" ht="22.5" customHeight="1">
      <c r="A2881" s="80"/>
      <c r="B2881" s="81"/>
      <c r="C2881" s="82"/>
      <c r="D2881" s="80"/>
      <c r="E2881" s="81"/>
      <c r="F2881" s="82"/>
      <c r="G2881" s="83"/>
      <c r="H2881" s="89"/>
      <c r="I2881" s="76"/>
      <c r="J2881" s="84"/>
      <c r="K2881" s="78"/>
      <c r="L2881" s="88"/>
    </row>
    <row r="2882" ht="22.5" customHeight="1">
      <c r="A2882" s="80"/>
      <c r="B2882" s="81"/>
      <c r="C2882" s="82"/>
      <c r="D2882" s="80"/>
      <c r="E2882" s="81"/>
      <c r="F2882" s="82"/>
      <c r="G2882" s="83"/>
      <c r="H2882" s="89"/>
      <c r="I2882" s="76"/>
      <c r="J2882" s="84"/>
      <c r="K2882" s="78"/>
      <c r="L2882" s="88"/>
    </row>
    <row r="2883" ht="22.5" customHeight="1">
      <c r="A2883" s="80"/>
      <c r="B2883" s="81"/>
      <c r="C2883" s="82"/>
      <c r="D2883" s="80"/>
      <c r="E2883" s="81"/>
      <c r="F2883" s="82"/>
      <c r="G2883" s="83"/>
      <c r="H2883" s="89"/>
      <c r="I2883" s="76"/>
      <c r="J2883" s="84"/>
      <c r="K2883" s="78"/>
      <c r="L2883" s="88"/>
    </row>
    <row r="2884" ht="22.5" customHeight="1">
      <c r="A2884" s="80"/>
      <c r="B2884" s="81"/>
      <c r="C2884" s="82"/>
      <c r="D2884" s="80"/>
      <c r="E2884" s="81"/>
      <c r="F2884" s="82"/>
      <c r="G2884" s="83"/>
      <c r="H2884" s="89"/>
      <c r="I2884" s="76"/>
      <c r="J2884" s="84"/>
      <c r="K2884" s="78"/>
      <c r="L2884" s="88"/>
    </row>
    <row r="2885" ht="22.5" customHeight="1">
      <c r="A2885" s="80"/>
      <c r="B2885" s="81"/>
      <c r="C2885" s="82"/>
      <c r="D2885" s="80"/>
      <c r="E2885" s="81"/>
      <c r="F2885" s="82"/>
      <c r="G2885" s="83"/>
      <c r="H2885" s="89"/>
      <c r="I2885" s="76"/>
      <c r="J2885" s="84"/>
      <c r="K2885" s="78"/>
      <c r="L2885" s="88"/>
    </row>
    <row r="2886" ht="22.5" customHeight="1">
      <c r="A2886" s="80"/>
      <c r="B2886" s="81"/>
      <c r="C2886" s="82"/>
      <c r="D2886" s="80"/>
      <c r="E2886" s="81"/>
      <c r="F2886" s="82"/>
      <c r="G2886" s="83"/>
      <c r="H2886" s="89"/>
      <c r="I2886" s="76"/>
      <c r="J2886" s="84"/>
      <c r="K2886" s="78"/>
      <c r="L2886" s="88"/>
    </row>
    <row r="2887" ht="22.5" customHeight="1">
      <c r="A2887" s="80"/>
      <c r="B2887" s="81"/>
      <c r="C2887" s="82"/>
      <c r="D2887" s="80"/>
      <c r="E2887" s="81"/>
      <c r="F2887" s="82"/>
      <c r="G2887" s="83"/>
      <c r="H2887" s="89"/>
      <c r="I2887" s="76"/>
      <c r="J2887" s="84"/>
      <c r="K2887" s="78"/>
      <c r="L2887" s="88"/>
    </row>
    <row r="2888" ht="22.5" customHeight="1">
      <c r="A2888" s="80"/>
      <c r="B2888" s="81"/>
      <c r="C2888" s="82"/>
      <c r="D2888" s="80"/>
      <c r="E2888" s="81"/>
      <c r="F2888" s="82"/>
      <c r="G2888" s="83"/>
      <c r="H2888" s="89"/>
      <c r="I2888" s="76"/>
      <c r="J2888" s="84"/>
      <c r="K2888" s="78"/>
      <c r="L2888" s="88"/>
    </row>
    <row r="2889" ht="22.5" customHeight="1">
      <c r="A2889" s="80"/>
      <c r="B2889" s="81"/>
      <c r="C2889" s="82"/>
      <c r="D2889" s="80"/>
      <c r="E2889" s="81"/>
      <c r="F2889" s="82"/>
      <c r="G2889" s="83"/>
      <c r="H2889" s="89"/>
      <c r="I2889" s="76"/>
      <c r="J2889" s="84"/>
      <c r="K2889" s="78"/>
      <c r="L2889" s="88"/>
    </row>
  </sheetData>
  <dataValidations>
    <dataValidation type="list" allowBlank="1" sqref="G3:G2889">
      <formula1>"Rahul Adhikary,Jui Ray"</formula1>
    </dataValidation>
    <dataValidation type="list" allowBlank="1" sqref="K3:K2889">
      <formula1>"Calude AI,Meta Lead"</formula1>
    </dataValidation>
    <dataValidation type="list" allowBlank="1" showErrorMessage="1" sqref="I3:I2889">
      <formula1>"Intersted,Follow up Required,Not Internsted,Not Reachable,Campus Visit,Wrong Number,Not Called"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63"/>
    <col customWidth="1" min="4" max="4" width="17.5"/>
    <col customWidth="1" min="7" max="8" width="36.25"/>
    <col customWidth="1" min="9" max="9" width="14.38"/>
    <col customWidth="1" min="10" max="10" width="13.0"/>
  </cols>
  <sheetData>
    <row r="2" ht="22.5" customHeight="1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40" t="s">
        <v>901</v>
      </c>
      <c r="I2" s="4" t="s">
        <v>7</v>
      </c>
      <c r="J2" s="3" t="s">
        <v>8</v>
      </c>
      <c r="K2" s="5" t="s">
        <v>9</v>
      </c>
    </row>
    <row r="3" ht="22.5" customHeight="1">
      <c r="B3" s="27" t="s">
        <v>3290</v>
      </c>
      <c r="C3" s="27" t="s">
        <v>3291</v>
      </c>
      <c r="D3" s="66">
        <v>9.19932919573E11</v>
      </c>
      <c r="E3" s="27" t="s">
        <v>211</v>
      </c>
      <c r="G3" s="11" t="s">
        <v>908</v>
      </c>
      <c r="H3" s="42"/>
      <c r="I3" s="11" t="s">
        <v>161</v>
      </c>
      <c r="K3" s="11" t="s">
        <v>16</v>
      </c>
    </row>
    <row r="4" ht="22.5" customHeight="1">
      <c r="A4" s="43"/>
      <c r="B4" s="27" t="s">
        <v>1066</v>
      </c>
      <c r="C4" s="27" t="s">
        <v>1067</v>
      </c>
      <c r="D4" s="66">
        <v>9.18260384152E11</v>
      </c>
      <c r="E4" s="27" t="s">
        <v>11</v>
      </c>
      <c r="F4" s="43"/>
      <c r="G4" s="10" t="s">
        <v>908</v>
      </c>
      <c r="H4" s="9"/>
      <c r="I4" s="10" t="s">
        <v>161</v>
      </c>
      <c r="J4" s="43"/>
      <c r="K4" s="63"/>
    </row>
    <row r="5" ht="22.5" customHeight="1">
      <c r="A5" s="43"/>
      <c r="B5" s="27" t="s">
        <v>1068</v>
      </c>
      <c r="C5" s="27" t="s">
        <v>1069</v>
      </c>
      <c r="D5" s="66">
        <v>9.19771640071E11</v>
      </c>
      <c r="E5" s="27" t="s">
        <v>229</v>
      </c>
      <c r="F5" s="43"/>
      <c r="G5" s="10" t="s">
        <v>908</v>
      </c>
      <c r="H5" s="9"/>
      <c r="I5" s="10" t="s">
        <v>161</v>
      </c>
      <c r="J5" s="43"/>
      <c r="K5" s="63"/>
    </row>
    <row r="6" ht="22.5" customHeight="1">
      <c r="A6" s="43"/>
      <c r="B6" s="27" t="s">
        <v>1070</v>
      </c>
      <c r="C6" s="27" t="s">
        <v>1071</v>
      </c>
      <c r="D6" s="66">
        <v>9.19542349076E11</v>
      </c>
      <c r="E6" s="27" t="s">
        <v>534</v>
      </c>
      <c r="F6" s="43"/>
      <c r="G6" s="10" t="s">
        <v>908</v>
      </c>
      <c r="H6" s="9"/>
      <c r="I6" s="10" t="s">
        <v>14</v>
      </c>
      <c r="J6" s="43"/>
      <c r="K6" s="63"/>
    </row>
    <row r="7" ht="22.5" customHeight="1">
      <c r="A7" s="43"/>
      <c r="B7" s="27" t="s">
        <v>1072</v>
      </c>
      <c r="C7" s="27" t="s">
        <v>1073</v>
      </c>
      <c r="D7" s="66">
        <v>9.16360262118E11</v>
      </c>
      <c r="E7" s="27" t="s">
        <v>1074</v>
      </c>
      <c r="F7" s="43"/>
      <c r="G7" s="10" t="s">
        <v>908</v>
      </c>
      <c r="H7" s="9"/>
      <c r="I7" s="10" t="s">
        <v>161</v>
      </c>
      <c r="J7" s="43"/>
      <c r="K7" s="63"/>
    </row>
    <row r="8" ht="22.5" customHeight="1">
      <c r="A8" s="43"/>
      <c r="B8" s="27" t="s">
        <v>1075</v>
      </c>
      <c r="C8" s="27" t="s">
        <v>1076</v>
      </c>
      <c r="D8" s="66">
        <v>9.19534722704E11</v>
      </c>
      <c r="E8" s="27" t="s">
        <v>145</v>
      </c>
      <c r="F8" s="43"/>
      <c r="G8" s="10" t="s">
        <v>908</v>
      </c>
      <c r="H8" s="9"/>
      <c r="I8" s="10" t="s">
        <v>161</v>
      </c>
      <c r="J8" s="43"/>
      <c r="K8" s="63"/>
    </row>
    <row r="9" ht="22.5" customHeight="1">
      <c r="A9" s="43"/>
      <c r="B9" s="27" t="s">
        <v>1077</v>
      </c>
      <c r="C9" s="27" t="s">
        <v>1078</v>
      </c>
      <c r="D9" s="66">
        <v>9.17978462678E11</v>
      </c>
      <c r="E9" s="27" t="s">
        <v>11</v>
      </c>
      <c r="F9" s="43"/>
      <c r="G9" s="10" t="s">
        <v>908</v>
      </c>
      <c r="H9" s="90"/>
      <c r="I9" s="10" t="s">
        <v>161</v>
      </c>
      <c r="J9" s="43"/>
      <c r="K9" s="63"/>
    </row>
    <row r="10" ht="22.5" customHeight="1">
      <c r="A10" s="43"/>
      <c r="B10" s="27" t="s">
        <v>1079</v>
      </c>
      <c r="C10" s="27" t="s">
        <v>1080</v>
      </c>
      <c r="D10" s="66">
        <v>9.18250213897E11</v>
      </c>
      <c r="E10" s="27" t="s">
        <v>473</v>
      </c>
      <c r="F10" s="43"/>
      <c r="G10" s="10" t="s">
        <v>908</v>
      </c>
      <c r="H10" s="90"/>
      <c r="I10" s="10" t="s">
        <v>161</v>
      </c>
      <c r="J10" s="43"/>
      <c r="K10" s="63"/>
    </row>
    <row r="11" ht="22.5" customHeight="1">
      <c r="A11" s="43"/>
      <c r="B11" s="27" t="s">
        <v>1081</v>
      </c>
      <c r="C11" s="27" t="s">
        <v>1082</v>
      </c>
      <c r="D11" s="66">
        <v>9.17572800009E11</v>
      </c>
      <c r="E11" s="27" t="s">
        <v>579</v>
      </c>
      <c r="F11" s="43"/>
      <c r="G11" s="10" t="s">
        <v>908</v>
      </c>
      <c r="H11" s="90"/>
      <c r="I11" s="10" t="s">
        <v>176</v>
      </c>
      <c r="J11" s="43"/>
      <c r="K11" s="63"/>
    </row>
    <row r="12" ht="22.5" customHeight="1">
      <c r="A12" s="43"/>
      <c r="B12" s="27" t="s">
        <v>1083</v>
      </c>
      <c r="C12" s="27" t="s">
        <v>1084</v>
      </c>
      <c r="D12" s="66">
        <v>9.19508287984E11</v>
      </c>
      <c r="E12" s="27" t="s">
        <v>1085</v>
      </c>
      <c r="F12" s="43"/>
      <c r="G12" s="10" t="s">
        <v>908</v>
      </c>
      <c r="H12" s="90"/>
      <c r="I12" s="10" t="s">
        <v>176</v>
      </c>
      <c r="J12" s="43"/>
      <c r="K12" s="63"/>
    </row>
    <row r="13" ht="22.5" customHeight="1">
      <c r="A13" s="43"/>
      <c r="B13" s="27" t="s">
        <v>1086</v>
      </c>
      <c r="C13" s="27" t="s">
        <v>1087</v>
      </c>
      <c r="D13" s="66">
        <v>9.18249088784E11</v>
      </c>
      <c r="E13" s="27" t="s">
        <v>11</v>
      </c>
      <c r="F13" s="43"/>
      <c r="G13" s="10" t="s">
        <v>908</v>
      </c>
      <c r="H13" s="90"/>
      <c r="I13" s="10" t="s">
        <v>161</v>
      </c>
      <c r="J13" s="43"/>
      <c r="K13" s="63"/>
    </row>
    <row r="14" ht="22.5" customHeight="1">
      <c r="A14" s="43"/>
      <c r="B14" s="27" t="s">
        <v>1088</v>
      </c>
      <c r="C14" s="27" t="s">
        <v>1089</v>
      </c>
      <c r="D14" s="66">
        <v>9.16381521354E11</v>
      </c>
      <c r="E14" s="27" t="s">
        <v>453</v>
      </c>
      <c r="F14" s="43"/>
      <c r="G14" s="10" t="s">
        <v>908</v>
      </c>
      <c r="H14" s="90"/>
      <c r="I14" s="10" t="s">
        <v>161</v>
      </c>
      <c r="J14" s="43"/>
      <c r="K14" s="63"/>
    </row>
    <row r="15" ht="22.5" customHeight="1">
      <c r="A15" s="43"/>
      <c r="B15" s="27" t="s">
        <v>1090</v>
      </c>
      <c r="C15" s="27" t="s">
        <v>1091</v>
      </c>
      <c r="D15" s="66">
        <v>9.190147759356E12</v>
      </c>
      <c r="E15" s="27" t="s">
        <v>486</v>
      </c>
      <c r="F15" s="43"/>
      <c r="G15" s="10" t="s">
        <v>908</v>
      </c>
      <c r="H15" s="90"/>
      <c r="I15" s="10" t="s">
        <v>161</v>
      </c>
      <c r="J15" s="43"/>
      <c r="K15" s="63"/>
    </row>
    <row r="16" ht="22.5" customHeight="1">
      <c r="A16" s="43"/>
      <c r="B16" s="27" t="s">
        <v>1092</v>
      </c>
      <c r="C16" s="27" t="s">
        <v>1093</v>
      </c>
      <c r="D16" s="66">
        <v>9.19107779797E11</v>
      </c>
      <c r="E16" s="27" t="s">
        <v>369</v>
      </c>
      <c r="F16" s="43"/>
      <c r="G16" s="10" t="s">
        <v>908</v>
      </c>
      <c r="H16" s="90"/>
      <c r="I16" s="10" t="s">
        <v>161</v>
      </c>
      <c r="J16" s="43"/>
      <c r="K16" s="63"/>
    </row>
    <row r="17" ht="22.5" customHeight="1">
      <c r="A17" s="43"/>
      <c r="B17" s="27" t="s">
        <v>1094</v>
      </c>
      <c r="C17" s="27" t="s">
        <v>1095</v>
      </c>
      <c r="D17" s="66">
        <v>9.19998609992E11</v>
      </c>
      <c r="E17" s="27" t="s">
        <v>579</v>
      </c>
      <c r="F17" s="43"/>
      <c r="G17" s="10" t="s">
        <v>908</v>
      </c>
      <c r="H17" s="90"/>
      <c r="I17" s="10" t="s">
        <v>161</v>
      </c>
      <c r="J17" s="43"/>
      <c r="K17" s="63"/>
    </row>
    <row r="18" ht="22.5" customHeight="1">
      <c r="A18" s="43"/>
      <c r="B18" s="27" t="s">
        <v>1096</v>
      </c>
      <c r="C18" s="27" t="s">
        <v>1097</v>
      </c>
      <c r="D18" s="66">
        <v>9.19866132474E11</v>
      </c>
      <c r="E18" s="27" t="s">
        <v>1098</v>
      </c>
      <c r="F18" s="43"/>
      <c r="G18" s="10" t="s">
        <v>908</v>
      </c>
      <c r="H18" s="9"/>
      <c r="I18" s="10" t="s">
        <v>14</v>
      </c>
      <c r="J18" s="43"/>
      <c r="K18" s="63"/>
    </row>
    <row r="19" ht="22.5" customHeight="1">
      <c r="A19" s="43"/>
      <c r="B19" s="27" t="s">
        <v>1099</v>
      </c>
      <c r="C19" s="27" t="s">
        <v>1100</v>
      </c>
      <c r="D19" s="66">
        <v>9.18760236484E11</v>
      </c>
      <c r="E19" s="27" t="s">
        <v>1101</v>
      </c>
      <c r="F19" s="43"/>
      <c r="G19" s="10" t="s">
        <v>908</v>
      </c>
      <c r="H19" s="90"/>
      <c r="I19" s="10" t="s">
        <v>161</v>
      </c>
      <c r="J19" s="43"/>
      <c r="K19" s="63"/>
    </row>
    <row r="20" ht="22.5" customHeight="1">
      <c r="A20" s="43"/>
      <c r="B20" s="27" t="s">
        <v>1102</v>
      </c>
      <c r="C20" s="27" t="s">
        <v>1103</v>
      </c>
      <c r="D20" s="66">
        <v>9.194479895E11</v>
      </c>
      <c r="E20" s="27" t="s">
        <v>1104</v>
      </c>
      <c r="F20" s="43"/>
      <c r="G20" s="10" t="s">
        <v>908</v>
      </c>
      <c r="H20" s="90"/>
      <c r="I20" s="10" t="s">
        <v>161</v>
      </c>
      <c r="J20" s="43"/>
      <c r="K20" s="63"/>
    </row>
    <row r="21" ht="22.5" customHeight="1">
      <c r="A21" s="43"/>
      <c r="B21" s="27" t="s">
        <v>1105</v>
      </c>
      <c r="C21" s="27" t="s">
        <v>1106</v>
      </c>
      <c r="D21" s="66">
        <v>9.19158908429E11</v>
      </c>
      <c r="E21" s="27" t="s">
        <v>1107</v>
      </c>
      <c r="F21" s="43"/>
      <c r="G21" s="10" t="s">
        <v>908</v>
      </c>
      <c r="H21" s="90"/>
      <c r="I21" s="10" t="s">
        <v>161</v>
      </c>
      <c r="J21" s="43"/>
      <c r="K21" s="63"/>
    </row>
    <row r="22" ht="22.5" customHeight="1">
      <c r="A22" s="43"/>
      <c r="B22" s="27" t="s">
        <v>1108</v>
      </c>
      <c r="C22" s="27" t="s">
        <v>1109</v>
      </c>
      <c r="D22" s="66">
        <v>9.19449581063E11</v>
      </c>
      <c r="E22" s="27" t="s">
        <v>958</v>
      </c>
      <c r="F22" s="43"/>
      <c r="G22" s="10" t="s">
        <v>908</v>
      </c>
      <c r="H22" s="90"/>
      <c r="I22" s="10" t="s">
        <v>176</v>
      </c>
      <c r="J22" s="43"/>
      <c r="K22" s="63"/>
    </row>
    <row r="23" ht="22.5" customHeight="1">
      <c r="A23" s="43"/>
      <c r="B23" s="27" t="s">
        <v>1110</v>
      </c>
      <c r="C23" s="27" t="s">
        <v>1111</v>
      </c>
      <c r="D23" s="66">
        <v>9.16305788116E11</v>
      </c>
      <c r="E23" s="27" t="s">
        <v>11</v>
      </c>
      <c r="F23" s="43"/>
      <c r="G23" s="10" t="s">
        <v>908</v>
      </c>
      <c r="H23" s="90"/>
      <c r="I23" s="10" t="s">
        <v>176</v>
      </c>
      <c r="J23" s="43"/>
      <c r="K23" s="63"/>
    </row>
    <row r="24" ht="22.5" customHeight="1">
      <c r="A24" s="43"/>
      <c r="B24" s="27" t="s">
        <v>1112</v>
      </c>
      <c r="C24" s="27" t="s">
        <v>1113</v>
      </c>
      <c r="D24" s="66">
        <v>9.19064615732E11</v>
      </c>
      <c r="E24" s="27" t="s">
        <v>211</v>
      </c>
      <c r="F24" s="43"/>
      <c r="G24" s="10" t="s">
        <v>908</v>
      </c>
      <c r="H24" s="90"/>
      <c r="I24" s="10" t="s">
        <v>176</v>
      </c>
      <c r="J24" s="43"/>
      <c r="K24" s="63"/>
    </row>
    <row r="25" ht="22.5" customHeight="1">
      <c r="A25" s="43"/>
      <c r="B25" s="27" t="s">
        <v>1114</v>
      </c>
      <c r="C25" s="27" t="s">
        <v>1115</v>
      </c>
      <c r="D25" s="66">
        <v>9.18327255667E11</v>
      </c>
      <c r="E25" s="27" t="s">
        <v>211</v>
      </c>
      <c r="F25" s="43"/>
      <c r="G25" s="10" t="s">
        <v>908</v>
      </c>
      <c r="H25" s="90"/>
      <c r="I25" s="10" t="s">
        <v>161</v>
      </c>
      <c r="J25" s="43"/>
      <c r="K25" s="63"/>
    </row>
    <row r="26" ht="22.5" customHeight="1">
      <c r="A26" s="43"/>
      <c r="B26" s="27" t="s">
        <v>1116</v>
      </c>
      <c r="C26" s="27" t="s">
        <v>1117</v>
      </c>
      <c r="D26" s="66">
        <v>9.19437440342E11</v>
      </c>
      <c r="E26" s="27" t="s">
        <v>216</v>
      </c>
      <c r="F26" s="43"/>
      <c r="G26" s="10" t="s">
        <v>908</v>
      </c>
      <c r="H26" s="90"/>
      <c r="I26" s="10" t="s">
        <v>161</v>
      </c>
      <c r="J26" s="43"/>
      <c r="K26" s="63"/>
    </row>
    <row r="27" ht="22.5" customHeight="1">
      <c r="A27" s="43"/>
      <c r="B27" s="27" t="s">
        <v>1118</v>
      </c>
      <c r="C27" s="27" t="s">
        <v>1119</v>
      </c>
      <c r="D27" s="66">
        <v>9.18759998011E11</v>
      </c>
      <c r="E27" s="27" t="s">
        <v>922</v>
      </c>
      <c r="F27" s="43"/>
      <c r="G27" s="10" t="s">
        <v>908</v>
      </c>
      <c r="H27" s="90"/>
      <c r="I27" s="10" t="s">
        <v>161</v>
      </c>
      <c r="J27" s="43"/>
      <c r="K27" s="63"/>
    </row>
    <row r="28" ht="22.5" customHeight="1">
      <c r="A28" s="43"/>
      <c r="B28" s="27" t="s">
        <v>1120</v>
      </c>
      <c r="C28" s="27" t="s">
        <v>1121</v>
      </c>
      <c r="D28" s="66">
        <v>9.17008648376E11</v>
      </c>
      <c r="E28" s="27" t="s">
        <v>11</v>
      </c>
      <c r="F28" s="43"/>
      <c r="G28" s="10" t="s">
        <v>908</v>
      </c>
      <c r="H28" s="90"/>
      <c r="I28" s="10" t="s">
        <v>161</v>
      </c>
      <c r="J28" s="43"/>
      <c r="K28" s="63"/>
    </row>
    <row r="29" ht="22.5" customHeight="1">
      <c r="A29" s="43"/>
      <c r="B29" s="27" t="s">
        <v>1122</v>
      </c>
      <c r="C29" s="27" t="s">
        <v>1123</v>
      </c>
      <c r="D29" s="66">
        <v>9.19494709339E11</v>
      </c>
      <c r="E29" s="27" t="s">
        <v>1098</v>
      </c>
      <c r="F29" s="43"/>
      <c r="G29" s="10" t="s">
        <v>908</v>
      </c>
      <c r="H29" s="90"/>
      <c r="I29" s="10" t="s">
        <v>161</v>
      </c>
      <c r="J29" s="43"/>
      <c r="K29" s="63"/>
    </row>
    <row r="30" ht="22.5" customHeight="1">
      <c r="A30" s="43"/>
      <c r="B30" s="27" t="s">
        <v>1124</v>
      </c>
      <c r="C30" s="27" t="s">
        <v>1125</v>
      </c>
      <c r="D30" s="66">
        <v>9.18260769673E11</v>
      </c>
      <c r="E30" s="27" t="s">
        <v>216</v>
      </c>
      <c r="F30" s="43"/>
      <c r="G30" s="10" t="s">
        <v>908</v>
      </c>
      <c r="H30" s="90"/>
      <c r="I30" s="10" t="s">
        <v>161</v>
      </c>
      <c r="J30" s="43"/>
      <c r="K30" s="63"/>
    </row>
    <row r="31" ht="22.5" customHeight="1">
      <c r="A31" s="43"/>
      <c r="B31" s="27" t="s">
        <v>1126</v>
      </c>
      <c r="C31" s="27" t="s">
        <v>1127</v>
      </c>
      <c r="D31" s="66">
        <v>9.19198998032E11</v>
      </c>
      <c r="E31" s="27" t="s">
        <v>1128</v>
      </c>
      <c r="F31" s="43"/>
      <c r="G31" s="10" t="s">
        <v>908</v>
      </c>
      <c r="H31" s="90"/>
      <c r="I31" s="10" t="s">
        <v>14</v>
      </c>
      <c r="J31" s="43"/>
      <c r="K31" s="63"/>
    </row>
    <row r="32" ht="22.5" customHeight="1">
      <c r="A32" s="43"/>
      <c r="B32" s="27" t="s">
        <v>1129</v>
      </c>
      <c r="C32" s="27" t="s">
        <v>1130</v>
      </c>
      <c r="D32" s="66">
        <v>9.19673135511E11</v>
      </c>
      <c r="E32" s="27" t="s">
        <v>369</v>
      </c>
      <c r="F32" s="43"/>
      <c r="G32" s="10" t="s">
        <v>908</v>
      </c>
      <c r="H32" s="90"/>
      <c r="I32" s="10" t="s">
        <v>161</v>
      </c>
      <c r="J32" s="43"/>
      <c r="K32" s="63"/>
    </row>
    <row r="33" ht="22.5" customHeight="1">
      <c r="A33" s="43"/>
      <c r="B33" s="27" t="s">
        <v>1131</v>
      </c>
      <c r="C33" s="27" t="s">
        <v>1132</v>
      </c>
      <c r="D33" s="66">
        <v>9.17382916361E11</v>
      </c>
      <c r="E33" s="27" t="s">
        <v>1133</v>
      </c>
      <c r="F33" s="43"/>
      <c r="G33" s="10" t="s">
        <v>908</v>
      </c>
      <c r="H33" s="90"/>
      <c r="I33" s="10" t="s">
        <v>176</v>
      </c>
      <c r="J33" s="43"/>
      <c r="K33" s="63"/>
    </row>
    <row r="34" ht="22.5" customHeight="1">
      <c r="A34" s="43"/>
      <c r="B34" s="27" t="s">
        <v>1134</v>
      </c>
      <c r="C34" s="27" t="s">
        <v>1135</v>
      </c>
      <c r="D34" s="66">
        <v>9.1981155447E11</v>
      </c>
      <c r="E34" s="27" t="s">
        <v>1136</v>
      </c>
      <c r="F34" s="43"/>
      <c r="G34" s="10" t="s">
        <v>908</v>
      </c>
      <c r="H34" s="90"/>
      <c r="I34" s="10" t="s">
        <v>161</v>
      </c>
      <c r="J34" s="43"/>
      <c r="K34" s="63"/>
    </row>
    <row r="35" ht="22.5" customHeight="1">
      <c r="A35" s="43"/>
      <c r="B35" s="27" t="s">
        <v>1137</v>
      </c>
      <c r="C35" s="27" t="s">
        <v>1138</v>
      </c>
      <c r="D35" s="66">
        <v>9.18051622795E11</v>
      </c>
      <c r="E35" s="27" t="s">
        <v>1139</v>
      </c>
      <c r="F35" s="43"/>
      <c r="G35" s="10" t="s">
        <v>908</v>
      </c>
      <c r="H35" s="90"/>
      <c r="I35" s="10" t="s">
        <v>161</v>
      </c>
      <c r="J35" s="43"/>
      <c r="K35" s="63"/>
    </row>
    <row r="36" ht="22.5" customHeight="1">
      <c r="A36" s="43"/>
      <c r="B36" s="27" t="s">
        <v>1140</v>
      </c>
      <c r="C36" s="27" t="s">
        <v>1141</v>
      </c>
      <c r="D36" s="66">
        <v>9.17576078081E11</v>
      </c>
      <c r="E36" s="27" t="s">
        <v>335</v>
      </c>
      <c r="F36" s="43"/>
      <c r="G36" s="10" t="s">
        <v>908</v>
      </c>
      <c r="H36" s="90"/>
      <c r="I36" s="10" t="s">
        <v>161</v>
      </c>
      <c r="J36" s="43"/>
      <c r="K36" s="63"/>
    </row>
    <row r="37" ht="22.5" customHeight="1">
      <c r="A37" s="43"/>
      <c r="B37" s="27" t="s">
        <v>1142</v>
      </c>
      <c r="C37" s="27" t="s">
        <v>1143</v>
      </c>
      <c r="D37" s="66">
        <v>1.8658609416E10</v>
      </c>
      <c r="E37" s="27" t="s">
        <v>1144</v>
      </c>
      <c r="F37" s="43"/>
      <c r="G37" s="10" t="s">
        <v>908</v>
      </c>
      <c r="H37" s="90"/>
      <c r="I37" s="10" t="s">
        <v>176</v>
      </c>
      <c r="J37" s="43"/>
      <c r="K37" s="63"/>
    </row>
    <row r="38" ht="22.5" customHeight="1">
      <c r="A38" s="43"/>
      <c r="B38" s="27" t="s">
        <v>1145</v>
      </c>
      <c r="C38" s="27" t="s">
        <v>1146</v>
      </c>
      <c r="D38" s="66">
        <v>9.16260495362E11</v>
      </c>
      <c r="E38" s="27" t="s">
        <v>1147</v>
      </c>
      <c r="F38" s="43"/>
      <c r="G38" s="10" t="s">
        <v>908</v>
      </c>
      <c r="H38" s="90"/>
      <c r="I38" s="10" t="s">
        <v>176</v>
      </c>
      <c r="J38" s="43"/>
      <c r="K38" s="63"/>
    </row>
    <row r="39" ht="22.5" customHeight="1">
      <c r="A39" s="43"/>
      <c r="B39" s="27" t="s">
        <v>1148</v>
      </c>
      <c r="C39" s="27" t="s">
        <v>1149</v>
      </c>
      <c r="D39" s="66">
        <v>9.1906544023E11</v>
      </c>
      <c r="E39" s="27" t="s">
        <v>145</v>
      </c>
      <c r="F39" s="43"/>
      <c r="G39" s="10" t="s">
        <v>908</v>
      </c>
      <c r="H39" s="90"/>
      <c r="I39" s="10" t="s">
        <v>161</v>
      </c>
      <c r="J39" s="43"/>
      <c r="K39" s="63"/>
    </row>
    <row r="40" ht="22.5" customHeight="1">
      <c r="A40" s="43"/>
      <c r="B40" s="27" t="s">
        <v>1150</v>
      </c>
      <c r="C40" s="27" t="s">
        <v>1151</v>
      </c>
      <c r="D40" s="66">
        <v>9.17363038918E11</v>
      </c>
      <c r="E40" s="27" t="s">
        <v>1152</v>
      </c>
      <c r="F40" s="43"/>
      <c r="G40" s="10" t="s">
        <v>908</v>
      </c>
      <c r="H40" s="90"/>
      <c r="I40" s="10" t="s">
        <v>161</v>
      </c>
      <c r="J40" s="43"/>
      <c r="K40" s="63"/>
    </row>
    <row r="41" ht="22.5" customHeight="1">
      <c r="A41" s="43"/>
      <c r="B41" s="27" t="s">
        <v>1153</v>
      </c>
      <c r="C41" s="27" t="s">
        <v>1154</v>
      </c>
      <c r="D41" s="66">
        <v>9.18001080758E11</v>
      </c>
      <c r="E41" s="27" t="s">
        <v>1155</v>
      </c>
      <c r="F41" s="43"/>
      <c r="G41" s="10" t="s">
        <v>908</v>
      </c>
      <c r="H41" s="90"/>
      <c r="I41" s="10" t="s">
        <v>161</v>
      </c>
      <c r="J41" s="43"/>
      <c r="K41" s="63"/>
    </row>
    <row r="42" ht="22.5" customHeight="1">
      <c r="A42" s="43"/>
      <c r="B42" s="27" t="s">
        <v>1156</v>
      </c>
      <c r="C42" s="27" t="s">
        <v>1157</v>
      </c>
      <c r="D42" s="66">
        <v>9.18016529484E11</v>
      </c>
      <c r="E42" s="27" t="s">
        <v>175</v>
      </c>
      <c r="F42" s="43"/>
      <c r="G42" s="10" t="s">
        <v>908</v>
      </c>
      <c r="H42" s="90"/>
      <c r="I42" s="10" t="s">
        <v>161</v>
      </c>
      <c r="J42" s="43"/>
      <c r="K42" s="63"/>
    </row>
    <row r="43" ht="22.5" customHeight="1">
      <c r="A43" s="43"/>
      <c r="B43" s="27" t="s">
        <v>1158</v>
      </c>
      <c r="C43" s="27" t="s">
        <v>1159</v>
      </c>
      <c r="D43" s="66">
        <v>9.19366658255E11</v>
      </c>
      <c r="E43" s="27" t="s">
        <v>1160</v>
      </c>
      <c r="F43" s="43"/>
      <c r="G43" s="10" t="s">
        <v>908</v>
      </c>
      <c r="H43" s="90"/>
      <c r="I43" s="10" t="s">
        <v>161</v>
      </c>
      <c r="J43" s="43"/>
      <c r="K43" s="63"/>
    </row>
    <row r="44" ht="22.5" customHeight="1">
      <c r="A44" s="43"/>
      <c r="B44" s="27" t="s">
        <v>1161</v>
      </c>
      <c r="C44" s="27" t="s">
        <v>1162</v>
      </c>
      <c r="D44" s="66">
        <v>9.19955441943E11</v>
      </c>
      <c r="E44" s="27" t="s">
        <v>145</v>
      </c>
      <c r="F44" s="43"/>
      <c r="G44" s="10" t="s">
        <v>908</v>
      </c>
      <c r="H44" s="90"/>
      <c r="I44" s="10" t="s">
        <v>161</v>
      </c>
      <c r="J44" s="43"/>
      <c r="K44" s="63"/>
    </row>
    <row r="45" ht="22.5" customHeight="1">
      <c r="A45" s="43"/>
      <c r="B45" s="27" t="s">
        <v>1163</v>
      </c>
      <c r="C45" s="27" t="s">
        <v>1164</v>
      </c>
      <c r="D45" s="66">
        <v>9.19609048732E11</v>
      </c>
      <c r="E45" s="27" t="s">
        <v>1165</v>
      </c>
      <c r="F45" s="43"/>
      <c r="G45" s="10" t="s">
        <v>908</v>
      </c>
      <c r="H45" s="90"/>
      <c r="I45" s="10" t="s">
        <v>161</v>
      </c>
      <c r="J45" s="43"/>
      <c r="K45" s="63"/>
    </row>
    <row r="46" ht="22.5" customHeight="1">
      <c r="A46" s="43"/>
      <c r="B46" s="27" t="s">
        <v>1166</v>
      </c>
      <c r="C46" s="27" t="s">
        <v>1167</v>
      </c>
      <c r="D46" s="66">
        <v>9.19937761133E11</v>
      </c>
      <c r="E46" s="27" t="s">
        <v>11</v>
      </c>
      <c r="F46" s="43"/>
      <c r="G46" s="10" t="s">
        <v>908</v>
      </c>
      <c r="H46" s="90"/>
      <c r="I46" s="10" t="s">
        <v>161</v>
      </c>
      <c r="J46" s="43"/>
      <c r="K46" s="63"/>
    </row>
    <row r="47" ht="22.5" customHeight="1">
      <c r="A47" s="43"/>
      <c r="B47" s="27" t="s">
        <v>1168</v>
      </c>
      <c r="C47" s="27" t="s">
        <v>1169</v>
      </c>
      <c r="D47" s="66">
        <v>9.16295935584E11</v>
      </c>
      <c r="E47" s="27" t="s">
        <v>486</v>
      </c>
      <c r="F47" s="43"/>
      <c r="G47" s="10" t="s">
        <v>908</v>
      </c>
      <c r="H47" s="90"/>
      <c r="I47" s="10" t="s">
        <v>161</v>
      </c>
      <c r="J47" s="43"/>
      <c r="K47" s="63"/>
    </row>
    <row r="48" ht="22.5" customHeight="1">
      <c r="A48" s="43"/>
      <c r="B48" s="27" t="s">
        <v>1170</v>
      </c>
      <c r="C48" s="27" t="s">
        <v>1171</v>
      </c>
      <c r="D48" s="66">
        <v>9.19083551298E11</v>
      </c>
      <c r="E48" s="27" t="s">
        <v>922</v>
      </c>
      <c r="F48" s="43"/>
      <c r="G48" s="10" t="s">
        <v>908</v>
      </c>
      <c r="H48" s="90"/>
      <c r="I48" s="10" t="s">
        <v>161</v>
      </c>
      <c r="J48" s="43"/>
      <c r="K48" s="63"/>
    </row>
    <row r="49" ht="22.5" customHeight="1">
      <c r="A49" s="43"/>
      <c r="B49" s="27" t="s">
        <v>1172</v>
      </c>
      <c r="C49" s="27" t="s">
        <v>1173</v>
      </c>
      <c r="D49" s="66">
        <v>1.8018775143E10</v>
      </c>
      <c r="E49" s="27" t="s">
        <v>238</v>
      </c>
      <c r="F49" s="43"/>
      <c r="G49" s="10" t="s">
        <v>908</v>
      </c>
      <c r="H49" s="90"/>
      <c r="I49" s="10" t="s">
        <v>161</v>
      </c>
      <c r="J49" s="43"/>
      <c r="K49" s="63"/>
    </row>
    <row r="50" ht="22.5" customHeight="1">
      <c r="A50" s="43"/>
      <c r="B50" s="27" t="s">
        <v>1174</v>
      </c>
      <c r="C50" s="27" t="s">
        <v>1175</v>
      </c>
      <c r="D50" s="66">
        <v>1.8768173312E10</v>
      </c>
      <c r="E50" s="27" t="s">
        <v>1176</v>
      </c>
      <c r="F50" s="43"/>
      <c r="G50" s="10" t="s">
        <v>908</v>
      </c>
      <c r="H50" s="90"/>
      <c r="I50" s="10" t="s">
        <v>161</v>
      </c>
      <c r="J50" s="43"/>
      <c r="K50" s="63"/>
    </row>
    <row r="51" ht="22.5" customHeight="1">
      <c r="A51" s="43"/>
      <c r="B51" s="27" t="s">
        <v>1177</v>
      </c>
      <c r="C51" s="27" t="s">
        <v>1178</v>
      </c>
      <c r="D51" s="66">
        <v>9.19793239323E11</v>
      </c>
      <c r="E51" s="27" t="s">
        <v>344</v>
      </c>
      <c r="F51" s="43"/>
      <c r="G51" s="10" t="s">
        <v>908</v>
      </c>
      <c r="H51" s="90"/>
      <c r="I51" s="10" t="s">
        <v>161</v>
      </c>
      <c r="J51" s="43"/>
      <c r="K51" s="63"/>
    </row>
    <row r="52" ht="22.5" customHeight="1">
      <c r="A52" s="43"/>
      <c r="B52" s="27" t="s">
        <v>1179</v>
      </c>
      <c r="C52" s="27" t="s">
        <v>1180</v>
      </c>
      <c r="D52" s="66">
        <v>9.19572966347E11</v>
      </c>
      <c r="E52" s="27" t="s">
        <v>228</v>
      </c>
      <c r="F52" s="43"/>
      <c r="G52" s="10" t="s">
        <v>908</v>
      </c>
      <c r="H52" s="90"/>
      <c r="I52" s="10" t="s">
        <v>176</v>
      </c>
      <c r="J52" s="43"/>
      <c r="K52" s="63"/>
    </row>
    <row r="53" ht="22.5" customHeight="1">
      <c r="A53" s="43"/>
      <c r="B53" s="27" t="s">
        <v>1181</v>
      </c>
      <c r="C53" s="27" t="s">
        <v>1182</v>
      </c>
      <c r="D53" s="66">
        <v>9.18809953749E11</v>
      </c>
      <c r="E53" s="27" t="s">
        <v>229</v>
      </c>
      <c r="F53" s="43"/>
      <c r="G53" s="10" t="s">
        <v>908</v>
      </c>
      <c r="H53" s="90"/>
      <c r="I53" s="10" t="s">
        <v>161</v>
      </c>
      <c r="J53" s="43"/>
      <c r="K53" s="63"/>
    </row>
    <row r="54" ht="22.5" customHeight="1">
      <c r="A54" s="43"/>
      <c r="B54" s="27" t="s">
        <v>1183</v>
      </c>
      <c r="C54" s="27" t="s">
        <v>1184</v>
      </c>
      <c r="D54" s="66">
        <v>9.19474905831E11</v>
      </c>
      <c r="E54" s="27" t="s">
        <v>175</v>
      </c>
      <c r="F54" s="43"/>
      <c r="G54" s="10" t="s">
        <v>908</v>
      </c>
      <c r="H54" s="90"/>
      <c r="I54" s="10" t="s">
        <v>161</v>
      </c>
      <c r="J54" s="43"/>
      <c r="K54" s="63"/>
    </row>
    <row r="55" ht="22.5" customHeight="1">
      <c r="A55" s="43"/>
      <c r="B55" s="27" t="s">
        <v>1185</v>
      </c>
      <c r="C55" s="27" t="s">
        <v>1186</v>
      </c>
      <c r="D55" s="66">
        <v>9.17908220729E11</v>
      </c>
      <c r="E55" s="27" t="s">
        <v>486</v>
      </c>
      <c r="F55" s="43"/>
      <c r="G55" s="10" t="s">
        <v>908</v>
      </c>
      <c r="H55" s="90"/>
      <c r="I55" s="10" t="s">
        <v>161</v>
      </c>
      <c r="J55" s="43"/>
      <c r="K55" s="63"/>
    </row>
    <row r="56" ht="22.5" customHeight="1">
      <c r="A56" s="43"/>
      <c r="B56" s="27" t="s">
        <v>1187</v>
      </c>
      <c r="C56" s="27" t="s">
        <v>1188</v>
      </c>
      <c r="D56" s="66">
        <v>9.17061965301E11</v>
      </c>
      <c r="E56" s="27" t="s">
        <v>1189</v>
      </c>
      <c r="F56" s="43"/>
      <c r="G56" s="10" t="s">
        <v>908</v>
      </c>
      <c r="H56" s="90"/>
      <c r="I56" s="10" t="s">
        <v>161</v>
      </c>
      <c r="J56" s="43"/>
      <c r="K56" s="63"/>
    </row>
    <row r="57" ht="22.5" customHeight="1">
      <c r="A57" s="43"/>
      <c r="B57" s="27" t="s">
        <v>1190</v>
      </c>
      <c r="C57" s="27" t="s">
        <v>1191</v>
      </c>
      <c r="D57" s="66">
        <v>9.19175697175E11</v>
      </c>
      <c r="E57" s="27" t="s">
        <v>369</v>
      </c>
      <c r="F57" s="43"/>
      <c r="G57" s="10" t="s">
        <v>908</v>
      </c>
      <c r="H57" s="90"/>
      <c r="I57" s="10" t="s">
        <v>161</v>
      </c>
      <c r="J57" s="43"/>
      <c r="K57" s="63"/>
    </row>
    <row r="58" ht="22.5" customHeight="1">
      <c r="A58" s="43"/>
      <c r="B58" s="27" t="s">
        <v>1192</v>
      </c>
      <c r="C58" s="27" t="s">
        <v>1193</v>
      </c>
      <c r="D58" s="66">
        <v>9.19534087172E11</v>
      </c>
      <c r="E58" s="27" t="s">
        <v>1194</v>
      </c>
      <c r="F58" s="43"/>
      <c r="G58" s="10" t="s">
        <v>908</v>
      </c>
      <c r="H58" s="90"/>
      <c r="I58" s="10" t="s">
        <v>176</v>
      </c>
      <c r="J58" s="43"/>
      <c r="K58" s="63"/>
    </row>
    <row r="59" ht="22.5" customHeight="1">
      <c r="A59" s="43"/>
      <c r="B59" s="27" t="s">
        <v>1195</v>
      </c>
      <c r="C59" s="27" t="s">
        <v>1196</v>
      </c>
      <c r="D59" s="66">
        <v>9.19383292464E11</v>
      </c>
      <c r="E59" s="27" t="s">
        <v>1197</v>
      </c>
      <c r="F59" s="43"/>
      <c r="G59" s="10" t="s">
        <v>908</v>
      </c>
      <c r="H59" s="90"/>
      <c r="I59" s="10" t="s">
        <v>176</v>
      </c>
      <c r="J59" s="43"/>
      <c r="K59" s="63"/>
    </row>
    <row r="60" ht="22.5" customHeight="1">
      <c r="A60" s="43"/>
      <c r="B60" s="27" t="s">
        <v>1198</v>
      </c>
      <c r="C60" s="27" t="s">
        <v>1199</v>
      </c>
      <c r="D60" s="66">
        <v>9.18595193022E11</v>
      </c>
      <c r="E60" s="29"/>
      <c r="F60" s="43"/>
      <c r="G60" s="10" t="s">
        <v>908</v>
      </c>
      <c r="H60" s="90"/>
      <c r="I60" s="10" t="s">
        <v>176</v>
      </c>
      <c r="J60" s="43"/>
      <c r="K60" s="63"/>
    </row>
    <row r="61" ht="22.5" customHeight="1">
      <c r="A61" s="43"/>
      <c r="B61" s="27" t="s">
        <v>1200</v>
      </c>
      <c r="C61" s="27" t="s">
        <v>1201</v>
      </c>
      <c r="D61" s="66">
        <v>9.19322477841E11</v>
      </c>
      <c r="E61" s="27" t="s">
        <v>1202</v>
      </c>
      <c r="F61" s="43"/>
      <c r="G61" s="10" t="s">
        <v>908</v>
      </c>
      <c r="H61" s="90"/>
      <c r="I61" s="10" t="s">
        <v>161</v>
      </c>
      <c r="J61" s="43"/>
      <c r="K61" s="63"/>
    </row>
    <row r="62" ht="22.5" customHeight="1">
      <c r="A62" s="43"/>
      <c r="B62" s="27" t="s">
        <v>1203</v>
      </c>
      <c r="C62" s="27" t="s">
        <v>1204</v>
      </c>
      <c r="D62" s="66">
        <v>9.19692500982E11</v>
      </c>
      <c r="E62" s="27" t="s">
        <v>11</v>
      </c>
      <c r="F62" s="43"/>
      <c r="G62" s="10" t="s">
        <v>908</v>
      </c>
      <c r="H62" s="90"/>
      <c r="I62" s="10" t="s">
        <v>161</v>
      </c>
      <c r="J62" s="43"/>
      <c r="K62" s="63"/>
    </row>
    <row r="63" ht="22.5" customHeight="1">
      <c r="A63" s="43"/>
      <c r="B63" s="27" t="s">
        <v>1205</v>
      </c>
      <c r="C63" s="27" t="s">
        <v>1206</v>
      </c>
      <c r="D63" s="66">
        <v>9.17679613119E11</v>
      </c>
      <c r="E63" s="27" t="s">
        <v>211</v>
      </c>
      <c r="F63" s="43"/>
      <c r="G63" s="10" t="s">
        <v>908</v>
      </c>
      <c r="H63" s="90"/>
      <c r="I63" s="10" t="s">
        <v>161</v>
      </c>
      <c r="J63" s="43"/>
      <c r="K63" s="63"/>
    </row>
    <row r="64" ht="22.5" customHeight="1">
      <c r="A64" s="43"/>
      <c r="B64" s="27" t="s">
        <v>1207</v>
      </c>
      <c r="C64" s="27" t="s">
        <v>1208</v>
      </c>
      <c r="D64" s="66">
        <v>9.17782042881E11</v>
      </c>
      <c r="E64" s="27" t="s">
        <v>1209</v>
      </c>
      <c r="F64" s="43"/>
      <c r="G64" s="10" t="s">
        <v>908</v>
      </c>
      <c r="H64" s="90"/>
      <c r="I64" s="10" t="s">
        <v>161</v>
      </c>
      <c r="J64" s="43"/>
      <c r="K64" s="63"/>
    </row>
    <row r="65" ht="22.5" customHeight="1">
      <c r="A65" s="43"/>
      <c r="B65" s="27" t="s">
        <v>1210</v>
      </c>
      <c r="C65" s="27" t="s">
        <v>1211</v>
      </c>
      <c r="D65" s="66">
        <v>9.17304623863E11</v>
      </c>
      <c r="E65" s="27" t="s">
        <v>1212</v>
      </c>
      <c r="F65" s="43"/>
      <c r="G65" s="10" t="s">
        <v>908</v>
      </c>
      <c r="H65" s="90"/>
      <c r="I65" s="10" t="s">
        <v>176</v>
      </c>
      <c r="J65" s="43"/>
      <c r="K65" s="63"/>
    </row>
  </sheetData>
  <dataValidations>
    <dataValidation type="list" allowBlank="1" sqref="G3:G65">
      <formula1>"Rahul Adhikary,Faculty 2"</formula1>
    </dataValidation>
    <dataValidation type="list" allowBlank="1" sqref="K3:K65">
      <formula1>"Calude AI,Meta Lead"</formula1>
    </dataValidation>
    <dataValidation type="list" allowBlank="1" showErrorMessage="1" sqref="I3:I65">
      <formula1>"Intersted,Follow up Required,Not Internsted,Not Reachable,Campus Visit,Wrong Number,Not Called"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75"/>
    <col customWidth="1" min="3" max="3" width="30.25"/>
    <col customWidth="1" min="4" max="4" width="17.5"/>
    <col customWidth="1" min="7" max="8" width="36.25"/>
    <col customWidth="1" min="9" max="9" width="14.38"/>
    <col customWidth="1" min="10" max="10" width="40.63"/>
    <col customWidth="1" min="11" max="11" width="15.63"/>
  </cols>
  <sheetData>
    <row r="2" ht="22.5" customHeight="1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40" t="s">
        <v>901</v>
      </c>
      <c r="I2" s="4" t="s">
        <v>7</v>
      </c>
      <c r="J2" s="3" t="s">
        <v>8</v>
      </c>
      <c r="K2" s="5" t="s">
        <v>9</v>
      </c>
    </row>
    <row r="3" ht="22.5" customHeight="1">
      <c r="A3" s="91">
        <v>1.0</v>
      </c>
      <c r="B3" s="92" t="s">
        <v>3292</v>
      </c>
      <c r="C3" s="93" t="s">
        <v>3293</v>
      </c>
      <c r="D3" s="94">
        <f>+917600015050</f>
        <v>917600015050</v>
      </c>
      <c r="E3" s="93" t="s">
        <v>3294</v>
      </c>
      <c r="F3" s="93" t="s">
        <v>3295</v>
      </c>
      <c r="G3" s="93" t="s">
        <v>3296</v>
      </c>
      <c r="H3" s="95" t="s">
        <v>3297</v>
      </c>
      <c r="I3" s="93" t="s">
        <v>1731</v>
      </c>
      <c r="J3" s="93" t="s">
        <v>1731</v>
      </c>
      <c r="K3" s="42" t="s">
        <v>37</v>
      </c>
    </row>
    <row r="4" ht="22.5" customHeight="1">
      <c r="A4" s="91">
        <v>2.0</v>
      </c>
      <c r="B4" s="92" t="s">
        <v>3298</v>
      </c>
      <c r="C4" s="93" t="s">
        <v>3299</v>
      </c>
      <c r="D4" s="94">
        <f>+919573490039</f>
        <v>919573490039</v>
      </c>
      <c r="E4" s="93" t="s">
        <v>534</v>
      </c>
      <c r="F4" s="93" t="s">
        <v>3300</v>
      </c>
      <c r="G4" s="93" t="s">
        <v>3296</v>
      </c>
      <c r="H4" s="95" t="s">
        <v>3301</v>
      </c>
      <c r="I4" s="93" t="s">
        <v>176</v>
      </c>
      <c r="J4" s="93" t="s">
        <v>3302</v>
      </c>
      <c r="K4" s="42" t="s">
        <v>37</v>
      </c>
    </row>
    <row r="5" ht="22.5" customHeight="1">
      <c r="A5" s="91">
        <v>3.0</v>
      </c>
      <c r="B5" s="92" t="s">
        <v>3303</v>
      </c>
      <c r="C5" s="93" t="s">
        <v>3304</v>
      </c>
      <c r="D5" s="94">
        <f>+917095566775</f>
        <v>917095566775</v>
      </c>
      <c r="E5" s="93" t="s">
        <v>393</v>
      </c>
      <c r="F5" s="93" t="s">
        <v>2924</v>
      </c>
      <c r="G5" s="93" t="s">
        <v>3296</v>
      </c>
      <c r="H5" s="95" t="s">
        <v>3305</v>
      </c>
      <c r="I5" s="93" t="s">
        <v>3306</v>
      </c>
      <c r="J5" s="93" t="s">
        <v>3307</v>
      </c>
      <c r="K5" s="42" t="s">
        <v>37</v>
      </c>
    </row>
    <row r="6" ht="22.5" customHeight="1">
      <c r="A6" s="91">
        <v>4.0</v>
      </c>
      <c r="B6" s="92" t="s">
        <v>3308</v>
      </c>
      <c r="C6" s="93" t="s">
        <v>3309</v>
      </c>
      <c r="D6" s="94">
        <f>+917079556768</f>
        <v>917079556768</v>
      </c>
      <c r="E6" s="93" t="s">
        <v>229</v>
      </c>
      <c r="F6" s="93" t="s">
        <v>3310</v>
      </c>
      <c r="G6" s="93" t="s">
        <v>3296</v>
      </c>
      <c r="H6" s="95" t="s">
        <v>3311</v>
      </c>
      <c r="I6" s="93" t="s">
        <v>176</v>
      </c>
      <c r="J6" s="93" t="s">
        <v>3302</v>
      </c>
      <c r="K6" s="42" t="s">
        <v>37</v>
      </c>
    </row>
    <row r="7" ht="22.5" customHeight="1">
      <c r="A7" s="91">
        <v>5.0</v>
      </c>
      <c r="B7" s="92" t="s">
        <v>3312</v>
      </c>
      <c r="C7" s="93" t="s">
        <v>3313</v>
      </c>
      <c r="D7" s="94">
        <f>+917398541638</f>
        <v>917398541638</v>
      </c>
      <c r="E7" s="93" t="s">
        <v>344</v>
      </c>
      <c r="F7" s="93" t="s">
        <v>3314</v>
      </c>
      <c r="G7" s="93" t="s">
        <v>3296</v>
      </c>
      <c r="H7" s="95" t="s">
        <v>3315</v>
      </c>
      <c r="I7" s="93" t="s">
        <v>1731</v>
      </c>
      <c r="J7" s="93" t="s">
        <v>3316</v>
      </c>
      <c r="K7" s="42" t="s">
        <v>37</v>
      </c>
    </row>
    <row r="8" ht="22.5" customHeight="1">
      <c r="A8" s="91">
        <v>6.0</v>
      </c>
      <c r="B8" s="92" t="s">
        <v>3317</v>
      </c>
      <c r="C8" s="93" t="s">
        <v>3318</v>
      </c>
      <c r="D8" s="94">
        <f>+919691313511</f>
        <v>919691313511</v>
      </c>
      <c r="E8" s="93" t="s">
        <v>3319</v>
      </c>
      <c r="F8" s="93" t="s">
        <v>3320</v>
      </c>
      <c r="G8" s="93" t="s">
        <v>3296</v>
      </c>
      <c r="H8" s="95" t="s">
        <v>3321</v>
      </c>
      <c r="I8" s="93" t="s">
        <v>176</v>
      </c>
      <c r="J8" s="93" t="s">
        <v>3302</v>
      </c>
      <c r="K8" s="42" t="s">
        <v>37</v>
      </c>
    </row>
    <row r="9" ht="22.5" customHeight="1">
      <c r="A9" s="91">
        <v>7.0</v>
      </c>
      <c r="B9" s="92" t="s">
        <v>3322</v>
      </c>
      <c r="C9" s="93" t="s">
        <v>3323</v>
      </c>
      <c r="D9" s="94">
        <f>+918085702020</f>
        <v>918085702020</v>
      </c>
      <c r="E9" s="93" t="s">
        <v>590</v>
      </c>
      <c r="F9" s="93" t="s">
        <v>3324</v>
      </c>
      <c r="G9" s="93" t="s">
        <v>3296</v>
      </c>
      <c r="H9" s="95" t="s">
        <v>3325</v>
      </c>
      <c r="I9" s="93" t="s">
        <v>1731</v>
      </c>
      <c r="J9" s="93" t="s">
        <v>3326</v>
      </c>
      <c r="K9" s="42" t="s">
        <v>37</v>
      </c>
    </row>
    <row r="10" ht="22.5" customHeight="1">
      <c r="A10" s="91">
        <v>8.0</v>
      </c>
      <c r="B10" s="92" t="s">
        <v>3327</v>
      </c>
      <c r="C10" s="93" t="s">
        <v>3328</v>
      </c>
      <c r="D10" s="94">
        <f>+919346482949</f>
        <v>919346482949</v>
      </c>
      <c r="E10" s="93" t="s">
        <v>205</v>
      </c>
      <c r="F10" s="93" t="s">
        <v>3329</v>
      </c>
      <c r="G10" s="93" t="s">
        <v>3296</v>
      </c>
      <c r="H10" s="95" t="s">
        <v>3330</v>
      </c>
      <c r="I10" s="93" t="s">
        <v>1731</v>
      </c>
      <c r="J10" s="93" t="s">
        <v>86</v>
      </c>
      <c r="K10" s="42" t="s">
        <v>37</v>
      </c>
    </row>
    <row r="11" ht="22.5" customHeight="1">
      <c r="A11" s="91">
        <v>9.0</v>
      </c>
      <c r="B11" s="92" t="s">
        <v>3331</v>
      </c>
      <c r="C11" s="93" t="s">
        <v>3332</v>
      </c>
      <c r="D11" s="93">
        <v>9.430057562E9</v>
      </c>
      <c r="E11" s="93" t="s">
        <v>229</v>
      </c>
      <c r="F11" s="93" t="s">
        <v>945</v>
      </c>
      <c r="G11" s="93" t="s">
        <v>3296</v>
      </c>
      <c r="H11" s="95" t="s">
        <v>3333</v>
      </c>
      <c r="I11" s="93" t="s">
        <v>176</v>
      </c>
      <c r="J11" s="93" t="s">
        <v>3302</v>
      </c>
      <c r="K11" s="42" t="s">
        <v>37</v>
      </c>
    </row>
    <row r="12" ht="22.5" customHeight="1">
      <c r="A12" s="91">
        <v>10.0</v>
      </c>
      <c r="B12" s="92" t="s">
        <v>3334</v>
      </c>
      <c r="C12" s="93" t="s">
        <v>3335</v>
      </c>
      <c r="D12" s="94">
        <f>+917489860603</f>
        <v>917489860603</v>
      </c>
      <c r="E12" s="93" t="s">
        <v>3336</v>
      </c>
      <c r="F12" s="93" t="s">
        <v>3337</v>
      </c>
      <c r="G12" s="93" t="s">
        <v>3296</v>
      </c>
      <c r="H12" s="95" t="s">
        <v>3338</v>
      </c>
      <c r="I12" s="93" t="s">
        <v>1731</v>
      </c>
      <c r="J12" s="93" t="s">
        <v>1731</v>
      </c>
      <c r="K12" s="42" t="s">
        <v>37</v>
      </c>
    </row>
    <row r="13" ht="22.5" customHeight="1">
      <c r="A13" s="91">
        <v>11.0</v>
      </c>
      <c r="B13" s="92" t="s">
        <v>3339</v>
      </c>
      <c r="C13" s="93" t="s">
        <v>3340</v>
      </c>
      <c r="D13" s="94">
        <f>+919380879206</f>
        <v>919380879206</v>
      </c>
      <c r="E13" s="93" t="s">
        <v>398</v>
      </c>
      <c r="F13" s="93" t="s">
        <v>3341</v>
      </c>
      <c r="G13" s="93" t="s">
        <v>3296</v>
      </c>
      <c r="H13" s="95" t="s">
        <v>3342</v>
      </c>
      <c r="I13" s="93" t="s">
        <v>176</v>
      </c>
      <c r="J13" s="93" t="s">
        <v>3302</v>
      </c>
      <c r="K13" s="42" t="s">
        <v>37</v>
      </c>
    </row>
    <row r="14" ht="22.5" customHeight="1">
      <c r="A14" s="91">
        <v>12.0</v>
      </c>
      <c r="B14" s="92" t="s">
        <v>3343</v>
      </c>
      <c r="C14" s="93" t="s">
        <v>3344</v>
      </c>
      <c r="D14" s="94">
        <f>+919325392822</f>
        <v>919325392822</v>
      </c>
      <c r="E14" s="93" t="s">
        <v>369</v>
      </c>
      <c r="F14" s="93" t="s">
        <v>370</v>
      </c>
      <c r="G14" s="93" t="s">
        <v>3296</v>
      </c>
      <c r="H14" s="95" t="s">
        <v>3345</v>
      </c>
      <c r="I14" s="93" t="s">
        <v>1731</v>
      </c>
      <c r="J14" s="93" t="s">
        <v>3346</v>
      </c>
      <c r="K14" s="42" t="s">
        <v>37</v>
      </c>
    </row>
    <row r="15" ht="22.5" customHeight="1">
      <c r="A15" s="91">
        <v>13.0</v>
      </c>
      <c r="B15" s="92" t="s">
        <v>3347</v>
      </c>
      <c r="C15" s="93" t="s">
        <v>3348</v>
      </c>
      <c r="D15" s="94">
        <f>+917493837433</f>
        <v>917493837433</v>
      </c>
      <c r="E15" s="93" t="s">
        <v>229</v>
      </c>
      <c r="F15" s="93" t="s">
        <v>46</v>
      </c>
      <c r="G15" s="93" t="s">
        <v>3296</v>
      </c>
      <c r="H15" s="95" t="s">
        <v>3349</v>
      </c>
      <c r="I15" s="93" t="s">
        <v>3306</v>
      </c>
      <c r="J15" s="93" t="s">
        <v>3307</v>
      </c>
      <c r="K15" s="42" t="s">
        <v>37</v>
      </c>
    </row>
    <row r="16" ht="22.5" customHeight="1">
      <c r="A16" s="91">
        <v>14.0</v>
      </c>
      <c r="B16" s="92" t="s">
        <v>3350</v>
      </c>
      <c r="C16" s="93" t="s">
        <v>3351</v>
      </c>
      <c r="D16" s="94">
        <f>+917797066202</f>
        <v>917797066202</v>
      </c>
      <c r="E16" s="93" t="s">
        <v>211</v>
      </c>
      <c r="F16" s="93" t="s">
        <v>3352</v>
      </c>
      <c r="G16" s="93" t="s">
        <v>3296</v>
      </c>
      <c r="H16" s="95" t="s">
        <v>3353</v>
      </c>
      <c r="I16" s="93" t="s">
        <v>176</v>
      </c>
      <c r="J16" s="93" t="s">
        <v>3302</v>
      </c>
      <c r="K16" s="42" t="s">
        <v>37</v>
      </c>
    </row>
    <row r="17" ht="22.5" customHeight="1">
      <c r="A17" s="91">
        <v>15.0</v>
      </c>
      <c r="B17" s="92" t="s">
        <v>3354</v>
      </c>
      <c r="C17" s="93" t="s">
        <v>3355</v>
      </c>
      <c r="D17" s="94">
        <f>+917440903663</f>
        <v>917440903663</v>
      </c>
      <c r="E17" s="93" t="s">
        <v>3356</v>
      </c>
      <c r="F17" s="93" t="s">
        <v>3357</v>
      </c>
      <c r="G17" s="93" t="s">
        <v>3296</v>
      </c>
      <c r="H17" s="95" t="s">
        <v>3358</v>
      </c>
      <c r="I17" s="93" t="s">
        <v>176</v>
      </c>
      <c r="J17" s="93" t="s">
        <v>3302</v>
      </c>
      <c r="K17" s="42" t="s">
        <v>37</v>
      </c>
    </row>
    <row r="18" ht="22.5" customHeight="1">
      <c r="A18" s="91">
        <v>16.0</v>
      </c>
      <c r="B18" s="92" t="s">
        <v>3359</v>
      </c>
      <c r="C18" s="93" t="s">
        <v>3360</v>
      </c>
      <c r="D18" s="93">
        <v>8.989672571E9</v>
      </c>
      <c r="E18" s="93" t="s">
        <v>3319</v>
      </c>
      <c r="F18" s="93" t="s">
        <v>3361</v>
      </c>
      <c r="G18" s="93" t="s">
        <v>3296</v>
      </c>
      <c r="H18" s="95" t="s">
        <v>3362</v>
      </c>
      <c r="I18" s="93" t="s">
        <v>1731</v>
      </c>
      <c r="J18" s="93" t="s">
        <v>3363</v>
      </c>
      <c r="K18" s="42" t="s">
        <v>37</v>
      </c>
    </row>
    <row r="19" ht="22.5" customHeight="1">
      <c r="A19" s="91">
        <v>17.0</v>
      </c>
      <c r="B19" s="92" t="s">
        <v>3364</v>
      </c>
      <c r="C19" s="93" t="s">
        <v>3365</v>
      </c>
      <c r="D19" s="94">
        <f>+919307190524</f>
        <v>919307190524</v>
      </c>
      <c r="E19" s="93" t="s">
        <v>369</v>
      </c>
      <c r="F19" s="93" t="s">
        <v>3366</v>
      </c>
      <c r="G19" s="93" t="s">
        <v>3296</v>
      </c>
      <c r="H19" s="95" t="s">
        <v>3367</v>
      </c>
      <c r="I19" s="93" t="s">
        <v>1731</v>
      </c>
      <c r="J19" s="93" t="s">
        <v>3363</v>
      </c>
      <c r="K19" s="42" t="s">
        <v>37</v>
      </c>
    </row>
    <row r="20" ht="22.5" customHeight="1">
      <c r="A20" s="91">
        <v>18.0</v>
      </c>
      <c r="B20" s="92" t="s">
        <v>3368</v>
      </c>
      <c r="C20" s="93" t="s">
        <v>3369</v>
      </c>
      <c r="D20" s="94">
        <f>+916266715693</f>
        <v>916266715693</v>
      </c>
      <c r="E20" s="93" t="s">
        <v>3370</v>
      </c>
      <c r="F20" s="93" t="s">
        <v>3371</v>
      </c>
      <c r="G20" s="93" t="s">
        <v>3296</v>
      </c>
      <c r="H20" s="95" t="s">
        <v>3372</v>
      </c>
      <c r="I20" s="93" t="s">
        <v>176</v>
      </c>
      <c r="J20" s="93" t="s">
        <v>3302</v>
      </c>
      <c r="K20" s="42" t="s">
        <v>37</v>
      </c>
    </row>
    <row r="21" ht="22.5" customHeight="1">
      <c r="A21" s="91">
        <v>19.0</v>
      </c>
      <c r="B21" s="92" t="s">
        <v>3373</v>
      </c>
      <c r="C21" s="93" t="s">
        <v>3374</v>
      </c>
      <c r="D21" s="94">
        <f>+919550510974</f>
        <v>919550510974</v>
      </c>
      <c r="E21" s="93" t="s">
        <v>205</v>
      </c>
      <c r="F21" s="93" t="s">
        <v>313</v>
      </c>
      <c r="G21" s="93" t="s">
        <v>3296</v>
      </c>
      <c r="H21" s="95" t="s">
        <v>3375</v>
      </c>
      <c r="I21" s="93" t="s">
        <v>1731</v>
      </c>
      <c r="J21" s="93" t="s">
        <v>3363</v>
      </c>
      <c r="K21" s="42" t="s">
        <v>37</v>
      </c>
    </row>
    <row r="22" ht="22.5" customHeight="1">
      <c r="A22" s="91">
        <v>20.0</v>
      </c>
      <c r="B22" s="92" t="s">
        <v>3376</v>
      </c>
      <c r="C22" s="93" t="s">
        <v>3377</v>
      </c>
      <c r="D22" s="94">
        <f>+918249595672</f>
        <v>918249595672</v>
      </c>
      <c r="E22" s="93" t="s">
        <v>11</v>
      </c>
      <c r="F22" s="93" t="s">
        <v>3378</v>
      </c>
      <c r="G22" s="93" t="s">
        <v>3296</v>
      </c>
      <c r="H22" s="95" t="s">
        <v>3379</v>
      </c>
      <c r="I22" s="93" t="s">
        <v>1731</v>
      </c>
      <c r="J22" s="93" t="s">
        <v>3363</v>
      </c>
      <c r="K22" s="42" t="s">
        <v>37</v>
      </c>
    </row>
    <row r="23" ht="22.5" customHeight="1">
      <c r="A23" s="91">
        <v>21.0</v>
      </c>
      <c r="B23" s="92" t="s">
        <v>3380</v>
      </c>
      <c r="C23" s="93" t="s">
        <v>3381</v>
      </c>
      <c r="D23" s="94">
        <f>+916305496874</f>
        <v>916305496874</v>
      </c>
      <c r="E23" s="93" t="s">
        <v>205</v>
      </c>
      <c r="F23" s="93" t="s">
        <v>3382</v>
      </c>
      <c r="G23" s="93" t="s">
        <v>3296</v>
      </c>
      <c r="H23" s="95" t="s">
        <v>3383</v>
      </c>
      <c r="I23" s="93" t="s">
        <v>1731</v>
      </c>
      <c r="J23" s="93" t="s">
        <v>1731</v>
      </c>
      <c r="K23" s="42" t="s">
        <v>37</v>
      </c>
    </row>
    <row r="24" ht="22.5" customHeight="1">
      <c r="A24" s="91">
        <v>22.0</v>
      </c>
      <c r="B24" s="92" t="s">
        <v>3384</v>
      </c>
      <c r="C24" s="93" t="s">
        <v>3385</v>
      </c>
      <c r="D24" s="94">
        <f>+917020089523</f>
        <v>917020089523</v>
      </c>
      <c r="E24" s="93" t="s">
        <v>369</v>
      </c>
      <c r="F24" s="93" t="s">
        <v>3386</v>
      </c>
      <c r="G24" s="93" t="s">
        <v>3296</v>
      </c>
      <c r="H24" s="95" t="s">
        <v>3387</v>
      </c>
      <c r="I24" s="93" t="s">
        <v>176</v>
      </c>
      <c r="J24" s="93" t="s">
        <v>3302</v>
      </c>
      <c r="K24" s="42" t="s">
        <v>37</v>
      </c>
    </row>
    <row r="25" ht="22.5" customHeight="1">
      <c r="A25" s="91">
        <v>23.0</v>
      </c>
      <c r="B25" s="92" t="s">
        <v>3388</v>
      </c>
      <c r="C25" s="93" t="s">
        <v>3389</v>
      </c>
      <c r="D25" s="94">
        <f>+919437890456</f>
        <v>919437890456</v>
      </c>
      <c r="E25" s="93" t="s">
        <v>11</v>
      </c>
      <c r="F25" s="93" t="s">
        <v>3390</v>
      </c>
      <c r="G25" s="93" t="s">
        <v>3296</v>
      </c>
      <c r="H25" s="95" t="s">
        <v>3391</v>
      </c>
      <c r="I25" s="93" t="s">
        <v>1731</v>
      </c>
      <c r="J25" s="93" t="s">
        <v>1731</v>
      </c>
      <c r="K25" s="42" t="s">
        <v>37</v>
      </c>
    </row>
    <row r="26" ht="22.5" customHeight="1">
      <c r="A26" s="91">
        <v>24.0</v>
      </c>
      <c r="B26" s="92" t="s">
        <v>3392</v>
      </c>
      <c r="C26" s="93" t="s">
        <v>3393</v>
      </c>
      <c r="D26" s="94">
        <f>+919992952819</f>
        <v>919992952819</v>
      </c>
      <c r="E26" s="93" t="s">
        <v>222</v>
      </c>
      <c r="F26" s="93" t="s">
        <v>3394</v>
      </c>
      <c r="G26" s="93" t="s">
        <v>3296</v>
      </c>
      <c r="H26" s="95" t="s">
        <v>3395</v>
      </c>
      <c r="I26" s="93" t="s">
        <v>1967</v>
      </c>
      <c r="J26" s="93" t="s">
        <v>3396</v>
      </c>
      <c r="K26" s="42" t="s">
        <v>37</v>
      </c>
    </row>
    <row r="27" ht="22.5" customHeight="1">
      <c r="A27" s="91">
        <v>25.0</v>
      </c>
      <c r="B27" s="92" t="s">
        <v>3397</v>
      </c>
      <c r="C27" s="93" t="s">
        <v>3398</v>
      </c>
      <c r="D27" s="94">
        <f>+917067595361</f>
        <v>917067595361</v>
      </c>
      <c r="E27" s="93" t="s">
        <v>993</v>
      </c>
      <c r="F27" s="93" t="s">
        <v>3399</v>
      </c>
      <c r="G27" s="93" t="s">
        <v>3296</v>
      </c>
      <c r="H27" s="95" t="s">
        <v>3400</v>
      </c>
      <c r="I27" s="93" t="s">
        <v>1731</v>
      </c>
      <c r="J27" s="93" t="s">
        <v>86</v>
      </c>
      <c r="K27" s="42" t="s">
        <v>37</v>
      </c>
    </row>
    <row r="28" ht="22.5" customHeight="1">
      <c r="A28" s="91">
        <v>26.0</v>
      </c>
      <c r="B28" s="92" t="s">
        <v>3401</v>
      </c>
      <c r="C28" s="93" t="s">
        <v>3402</v>
      </c>
      <c r="D28" s="94">
        <f>+919125054259</f>
        <v>919125054259</v>
      </c>
      <c r="E28" s="93" t="s">
        <v>3403</v>
      </c>
      <c r="F28" s="93" t="s">
        <v>3404</v>
      </c>
      <c r="G28" s="93" t="s">
        <v>3296</v>
      </c>
      <c r="H28" s="95" t="s">
        <v>3405</v>
      </c>
      <c r="I28" s="93" t="s">
        <v>1731</v>
      </c>
      <c r="J28" s="93" t="s">
        <v>1731</v>
      </c>
      <c r="K28" s="42" t="s">
        <v>37</v>
      </c>
    </row>
    <row r="29" ht="22.5" customHeight="1">
      <c r="A29" s="91">
        <v>27.0</v>
      </c>
      <c r="B29" s="92" t="s">
        <v>3406</v>
      </c>
      <c r="C29" s="93" t="s">
        <v>3407</v>
      </c>
      <c r="D29" s="94">
        <f>+919491524632</f>
        <v>919491524632</v>
      </c>
      <c r="E29" s="93" t="s">
        <v>205</v>
      </c>
      <c r="F29" s="93" t="s">
        <v>206</v>
      </c>
      <c r="G29" s="93" t="s">
        <v>3296</v>
      </c>
      <c r="H29" s="95" t="s">
        <v>3408</v>
      </c>
      <c r="I29" s="93" t="s">
        <v>3306</v>
      </c>
      <c r="J29" s="93" t="s">
        <v>3409</v>
      </c>
      <c r="K29" s="42" t="s">
        <v>37</v>
      </c>
    </row>
    <row r="30" ht="22.5" customHeight="1">
      <c r="A30" s="91">
        <v>28.0</v>
      </c>
      <c r="B30" s="92" t="s">
        <v>3410</v>
      </c>
      <c r="C30" s="93" t="s">
        <v>3411</v>
      </c>
      <c r="D30" s="94">
        <f>+919135971019</f>
        <v>919135971019</v>
      </c>
      <c r="E30" s="93" t="s">
        <v>229</v>
      </c>
      <c r="F30" s="93" t="s">
        <v>727</v>
      </c>
      <c r="G30" s="93" t="s">
        <v>3296</v>
      </c>
      <c r="H30" s="95" t="s">
        <v>3412</v>
      </c>
      <c r="I30" s="93" t="s">
        <v>1731</v>
      </c>
      <c r="J30" s="93" t="s">
        <v>86</v>
      </c>
      <c r="K30" s="42" t="s">
        <v>37</v>
      </c>
    </row>
    <row r="31" ht="22.5" customHeight="1">
      <c r="A31" s="91">
        <v>29.0</v>
      </c>
      <c r="B31" s="92" t="s">
        <v>3413</v>
      </c>
      <c r="C31" s="93" t="s">
        <v>3414</v>
      </c>
      <c r="D31" s="94">
        <f>+916207048887</f>
        <v>916207048887</v>
      </c>
      <c r="E31" s="93" t="s">
        <v>229</v>
      </c>
      <c r="F31" s="93" t="s">
        <v>3415</v>
      </c>
      <c r="G31" s="93" t="s">
        <v>3296</v>
      </c>
      <c r="H31" s="95" t="s">
        <v>3416</v>
      </c>
      <c r="I31" s="93" t="s">
        <v>1967</v>
      </c>
      <c r="J31" s="93" t="s">
        <v>3396</v>
      </c>
      <c r="K31" s="42" t="s">
        <v>37</v>
      </c>
    </row>
    <row r="32" ht="22.5" customHeight="1">
      <c r="A32" s="91">
        <v>30.0</v>
      </c>
      <c r="B32" s="92" t="s">
        <v>3417</v>
      </c>
      <c r="C32" s="93" t="s">
        <v>3418</v>
      </c>
      <c r="D32" s="94">
        <f>+919439040755</f>
        <v>919439040755</v>
      </c>
      <c r="E32" s="93" t="s">
        <v>11</v>
      </c>
      <c r="F32" s="93" t="s">
        <v>3419</v>
      </c>
      <c r="G32" s="93" t="s">
        <v>3296</v>
      </c>
      <c r="H32" s="95" t="s">
        <v>3420</v>
      </c>
      <c r="I32" s="93" t="s">
        <v>176</v>
      </c>
      <c r="J32" s="93" t="s">
        <v>3302</v>
      </c>
      <c r="K32" s="42" t="s">
        <v>37</v>
      </c>
    </row>
    <row r="33" ht="22.5" customHeight="1">
      <c r="A33" s="91">
        <v>31.0</v>
      </c>
      <c r="B33" s="92" t="s">
        <v>3421</v>
      </c>
      <c r="C33" s="93" t="s">
        <v>3422</v>
      </c>
      <c r="D33" s="94">
        <f>+918378928958</f>
        <v>918378928958</v>
      </c>
      <c r="E33" s="93" t="s">
        <v>369</v>
      </c>
      <c r="F33" s="93" t="s">
        <v>3423</v>
      </c>
      <c r="G33" s="93" t="s">
        <v>3296</v>
      </c>
      <c r="H33" s="95" t="s">
        <v>3424</v>
      </c>
      <c r="I33" s="93" t="s">
        <v>1731</v>
      </c>
      <c r="J33" s="93" t="s">
        <v>86</v>
      </c>
      <c r="K33" s="42" t="s">
        <v>37</v>
      </c>
    </row>
    <row r="34" ht="22.5" customHeight="1">
      <c r="A34" s="91">
        <v>32.0</v>
      </c>
      <c r="B34" s="92" t="s">
        <v>3425</v>
      </c>
      <c r="C34" s="93" t="s">
        <v>3426</v>
      </c>
      <c r="D34" s="94">
        <f>+917008621276</f>
        <v>917008621276</v>
      </c>
      <c r="E34" s="93" t="s">
        <v>11</v>
      </c>
      <c r="F34" s="93" t="s">
        <v>3427</v>
      </c>
      <c r="G34" s="93" t="s">
        <v>3296</v>
      </c>
      <c r="H34" s="95" t="s">
        <v>3428</v>
      </c>
      <c r="I34" s="93" t="s">
        <v>1731</v>
      </c>
      <c r="J34" s="93" t="s">
        <v>1731</v>
      </c>
      <c r="K34" s="42" t="s">
        <v>37</v>
      </c>
    </row>
    <row r="35" ht="22.5" customHeight="1">
      <c r="A35" s="91">
        <v>33.0</v>
      </c>
      <c r="B35" s="92" t="s">
        <v>3429</v>
      </c>
      <c r="C35" s="93" t="s">
        <v>3430</v>
      </c>
      <c r="D35" s="94">
        <f>+919297538808</f>
        <v>919297538808</v>
      </c>
      <c r="E35" s="93" t="s">
        <v>229</v>
      </c>
      <c r="F35" s="93" t="s">
        <v>317</v>
      </c>
      <c r="G35" s="93" t="s">
        <v>3296</v>
      </c>
      <c r="H35" s="95" t="s">
        <v>3431</v>
      </c>
      <c r="I35" s="93" t="s">
        <v>1731</v>
      </c>
      <c r="J35" s="93" t="s">
        <v>86</v>
      </c>
      <c r="K35" s="42" t="s">
        <v>37</v>
      </c>
    </row>
    <row r="36" ht="22.5" customHeight="1">
      <c r="A36" s="91">
        <v>34.0</v>
      </c>
      <c r="B36" s="92" t="s">
        <v>3432</v>
      </c>
      <c r="C36" s="93" t="s">
        <v>3433</v>
      </c>
      <c r="D36" s="94">
        <f>+919923447450</f>
        <v>919923447450</v>
      </c>
      <c r="E36" s="93" t="s">
        <v>3434</v>
      </c>
      <c r="F36" s="93" t="s">
        <v>3434</v>
      </c>
      <c r="G36" s="93" t="s">
        <v>3296</v>
      </c>
      <c r="H36" s="95" t="s">
        <v>3435</v>
      </c>
      <c r="I36" s="93" t="s">
        <v>1967</v>
      </c>
      <c r="J36" s="93" t="s">
        <v>3396</v>
      </c>
      <c r="K36" s="42" t="s">
        <v>37</v>
      </c>
    </row>
    <row r="37" ht="22.5" customHeight="1">
      <c r="A37" s="91">
        <v>35.0</v>
      </c>
      <c r="B37" s="92" t="s">
        <v>3436</v>
      </c>
      <c r="C37" s="93" t="s">
        <v>3437</v>
      </c>
      <c r="D37" s="94">
        <f>+919381833838</f>
        <v>919381833838</v>
      </c>
      <c r="E37" s="93" t="s">
        <v>3438</v>
      </c>
      <c r="F37" s="93" t="s">
        <v>3439</v>
      </c>
      <c r="G37" s="93" t="s">
        <v>3296</v>
      </c>
      <c r="H37" s="95" t="s">
        <v>3440</v>
      </c>
      <c r="I37" s="93" t="s">
        <v>176</v>
      </c>
      <c r="J37" s="93" t="s">
        <v>3441</v>
      </c>
      <c r="K37" s="42" t="s">
        <v>37</v>
      </c>
    </row>
    <row r="38" ht="22.5" customHeight="1">
      <c r="A38" s="91">
        <v>36.0</v>
      </c>
      <c r="B38" s="92" t="s">
        <v>3442</v>
      </c>
      <c r="C38" s="93" t="s">
        <v>3443</v>
      </c>
      <c r="D38" s="94">
        <f>+9880973929</f>
        <v>9880973929</v>
      </c>
      <c r="E38" s="93" t="s">
        <v>398</v>
      </c>
      <c r="F38" s="93" t="s">
        <v>3444</v>
      </c>
      <c r="G38" s="93" t="s">
        <v>3296</v>
      </c>
      <c r="H38" s="95" t="s">
        <v>3445</v>
      </c>
      <c r="I38" s="93" t="s">
        <v>1731</v>
      </c>
      <c r="J38" s="93" t="s">
        <v>3446</v>
      </c>
      <c r="K38" s="42" t="s">
        <v>37</v>
      </c>
    </row>
    <row r="39" ht="22.5" customHeight="1">
      <c r="A39" s="91">
        <v>37.0</v>
      </c>
      <c r="B39" s="92" t="s">
        <v>3447</v>
      </c>
      <c r="C39" s="93" t="s">
        <v>3448</v>
      </c>
      <c r="D39" s="94">
        <f>+918008040231</f>
        <v>918008040231</v>
      </c>
      <c r="E39" s="93" t="s">
        <v>393</v>
      </c>
      <c r="F39" s="93" t="s">
        <v>3449</v>
      </c>
      <c r="G39" s="93" t="s">
        <v>3296</v>
      </c>
      <c r="H39" s="95" t="s">
        <v>3450</v>
      </c>
      <c r="I39" s="93" t="s">
        <v>176</v>
      </c>
      <c r="J39" s="93" t="s">
        <v>3302</v>
      </c>
      <c r="K39" s="42" t="s">
        <v>37</v>
      </c>
    </row>
    <row r="40" ht="22.5" customHeight="1">
      <c r="A40" s="91">
        <v>38.0</v>
      </c>
      <c r="B40" s="92" t="s">
        <v>3451</v>
      </c>
      <c r="C40" s="93" t="s">
        <v>3452</v>
      </c>
      <c r="D40" s="94">
        <f>+916309036304</f>
        <v>916309036304</v>
      </c>
      <c r="E40" s="93" t="s">
        <v>205</v>
      </c>
      <c r="F40" s="93" t="s">
        <v>206</v>
      </c>
      <c r="G40" s="93" t="s">
        <v>3296</v>
      </c>
      <c r="H40" s="95" t="s">
        <v>3453</v>
      </c>
      <c r="I40" s="93" t="s">
        <v>176</v>
      </c>
      <c r="J40" s="93" t="s">
        <v>3302</v>
      </c>
      <c r="K40" s="42" t="s">
        <v>37</v>
      </c>
    </row>
    <row r="41" ht="22.5" customHeight="1">
      <c r="A41" s="91">
        <v>39.0</v>
      </c>
      <c r="B41" s="92" t="s">
        <v>3454</v>
      </c>
      <c r="C41" s="93" t="s">
        <v>3455</v>
      </c>
      <c r="D41" s="94">
        <f>+918112857436</f>
        <v>918112857436</v>
      </c>
      <c r="E41" s="93" t="s">
        <v>222</v>
      </c>
      <c r="F41" s="93" t="s">
        <v>3456</v>
      </c>
      <c r="G41" s="93" t="s">
        <v>3296</v>
      </c>
      <c r="H41" s="95" t="s">
        <v>3457</v>
      </c>
      <c r="I41" s="93" t="s">
        <v>1967</v>
      </c>
      <c r="J41" s="93" t="s">
        <v>3458</v>
      </c>
      <c r="K41" s="42" t="s">
        <v>37</v>
      </c>
    </row>
    <row r="42" ht="22.5" customHeight="1">
      <c r="A42" s="91">
        <v>40.0</v>
      </c>
      <c r="B42" s="92" t="s">
        <v>3459</v>
      </c>
      <c r="C42" s="93" t="s">
        <v>3460</v>
      </c>
      <c r="D42" s="94">
        <f>+919940736736</f>
        <v>919940736736</v>
      </c>
      <c r="E42" s="93" t="s">
        <v>453</v>
      </c>
      <c r="F42" s="93" t="s">
        <v>3461</v>
      </c>
      <c r="G42" s="93" t="s">
        <v>3296</v>
      </c>
      <c r="H42" s="95" t="s">
        <v>3462</v>
      </c>
      <c r="I42" s="93" t="s">
        <v>1967</v>
      </c>
      <c r="J42" s="93" t="s">
        <v>3463</v>
      </c>
      <c r="K42" s="42" t="s">
        <v>37</v>
      </c>
    </row>
    <row r="43" ht="22.5" customHeight="1">
      <c r="A43" s="91">
        <v>41.0</v>
      </c>
      <c r="B43" s="92" t="s">
        <v>3464</v>
      </c>
      <c r="C43" s="93" t="s">
        <v>3465</v>
      </c>
      <c r="D43" s="94">
        <f>+917330706127</f>
        <v>917330706127</v>
      </c>
      <c r="E43" s="93" t="s">
        <v>3466</v>
      </c>
      <c r="F43" s="93" t="s">
        <v>599</v>
      </c>
      <c r="G43" s="93" t="s">
        <v>3296</v>
      </c>
      <c r="H43" s="95" t="s">
        <v>3467</v>
      </c>
      <c r="I43" s="93" t="s">
        <v>1731</v>
      </c>
      <c r="J43" s="93" t="s">
        <v>86</v>
      </c>
      <c r="K43" s="42" t="s">
        <v>37</v>
      </c>
    </row>
    <row r="44" ht="22.5" customHeight="1">
      <c r="A44" s="91">
        <v>42.0</v>
      </c>
      <c r="B44" s="92" t="s">
        <v>3468</v>
      </c>
      <c r="C44" s="93" t="s">
        <v>3469</v>
      </c>
      <c r="D44" s="94">
        <f>+919691774804</f>
        <v>919691774804</v>
      </c>
      <c r="E44" s="93" t="s">
        <v>3470</v>
      </c>
      <c r="F44" s="96" t="s">
        <v>3471</v>
      </c>
      <c r="G44" s="93" t="s">
        <v>3296</v>
      </c>
      <c r="H44" s="95" t="s">
        <v>3472</v>
      </c>
      <c r="I44" s="93" t="s">
        <v>1967</v>
      </c>
      <c r="J44" s="93" t="s">
        <v>3458</v>
      </c>
      <c r="K44" s="42" t="s">
        <v>37</v>
      </c>
    </row>
    <row r="45" ht="22.5" customHeight="1">
      <c r="A45" s="91">
        <v>43.0</v>
      </c>
      <c r="B45" s="92" t="s">
        <v>3473</v>
      </c>
      <c r="C45" s="93" t="s">
        <v>3474</v>
      </c>
      <c r="D45" s="94">
        <f>+918142403272</f>
        <v>918142403272</v>
      </c>
      <c r="E45" s="93" t="s">
        <v>205</v>
      </c>
      <c r="F45" s="93" t="s">
        <v>3475</v>
      </c>
      <c r="G45" s="93" t="s">
        <v>3296</v>
      </c>
      <c r="H45" s="95" t="s">
        <v>3476</v>
      </c>
      <c r="I45" s="93" t="s">
        <v>3306</v>
      </c>
      <c r="J45" s="93" t="s">
        <v>3409</v>
      </c>
      <c r="K45" s="42" t="s">
        <v>37</v>
      </c>
    </row>
    <row r="46" ht="22.5" customHeight="1">
      <c r="A46" s="91">
        <v>44.0</v>
      </c>
      <c r="B46" s="92" t="s">
        <v>3477</v>
      </c>
      <c r="C46" s="93" t="s">
        <v>3478</v>
      </c>
      <c r="D46" s="94">
        <f>+919692861139</f>
        <v>919692861139</v>
      </c>
      <c r="E46" s="93" t="s">
        <v>3479</v>
      </c>
      <c r="F46" s="93" t="s">
        <v>3480</v>
      </c>
      <c r="G46" s="93" t="s">
        <v>3296</v>
      </c>
      <c r="H46" s="95" t="s">
        <v>3481</v>
      </c>
      <c r="I46" s="93" t="s">
        <v>3306</v>
      </c>
      <c r="J46" s="93" t="s">
        <v>3482</v>
      </c>
      <c r="K46" s="42" t="s">
        <v>37</v>
      </c>
    </row>
    <row r="47" ht="22.5" customHeight="1">
      <c r="A47" s="91">
        <v>45.0</v>
      </c>
      <c r="B47" s="92" t="s">
        <v>3483</v>
      </c>
      <c r="C47" s="93" t="s">
        <v>3484</v>
      </c>
      <c r="D47" s="94">
        <f>+923347310805</f>
        <v>923347310805</v>
      </c>
      <c r="E47" s="93" t="s">
        <v>3485</v>
      </c>
      <c r="F47" s="93" t="s">
        <v>3486</v>
      </c>
      <c r="G47" s="93" t="s">
        <v>3296</v>
      </c>
      <c r="H47" s="95" t="s">
        <v>3487</v>
      </c>
      <c r="I47" s="93" t="s">
        <v>1967</v>
      </c>
      <c r="J47" s="93" t="s">
        <v>3488</v>
      </c>
      <c r="K47" s="42" t="s">
        <v>37</v>
      </c>
    </row>
    <row r="48" ht="22.5" customHeight="1">
      <c r="A48" s="91">
        <v>46.0</v>
      </c>
      <c r="B48" s="92" t="s">
        <v>3489</v>
      </c>
      <c r="C48" s="93" t="s">
        <v>3490</v>
      </c>
      <c r="D48" s="94">
        <f>+919601555698</f>
        <v>919601555698</v>
      </c>
      <c r="E48" s="93" t="s">
        <v>3491</v>
      </c>
      <c r="F48" s="93" t="s">
        <v>510</v>
      </c>
      <c r="G48" s="93" t="s">
        <v>3296</v>
      </c>
      <c r="H48" s="95" t="s">
        <v>3492</v>
      </c>
      <c r="I48" s="93" t="s">
        <v>1967</v>
      </c>
      <c r="J48" s="93" t="s">
        <v>3493</v>
      </c>
      <c r="K48" s="42" t="s">
        <v>37</v>
      </c>
    </row>
    <row r="49" ht="22.5" customHeight="1">
      <c r="A49" s="91">
        <v>47.0</v>
      </c>
      <c r="B49" s="92" t="s">
        <v>3494</v>
      </c>
      <c r="C49" s="93" t="s">
        <v>3495</v>
      </c>
      <c r="D49" s="94">
        <f>+918917265530</f>
        <v>918917265530</v>
      </c>
      <c r="E49" s="93" t="s">
        <v>11</v>
      </c>
      <c r="F49" s="93" t="s">
        <v>155</v>
      </c>
      <c r="G49" s="93" t="s">
        <v>3296</v>
      </c>
      <c r="H49" s="95" t="s">
        <v>3496</v>
      </c>
      <c r="I49" s="93" t="s">
        <v>1731</v>
      </c>
      <c r="J49" s="93" t="s">
        <v>3497</v>
      </c>
      <c r="K49" s="42" t="s">
        <v>37</v>
      </c>
    </row>
    <row r="50" ht="22.5" customHeight="1">
      <c r="A50" s="91">
        <v>48.0</v>
      </c>
      <c r="B50" s="92" t="s">
        <v>3498</v>
      </c>
      <c r="C50" s="93" t="s">
        <v>3499</v>
      </c>
      <c r="D50" s="94">
        <f>+919059933682</f>
        <v>919059933682</v>
      </c>
      <c r="E50" s="93" t="s">
        <v>534</v>
      </c>
      <c r="F50" s="93" t="s">
        <v>3500</v>
      </c>
      <c r="G50" s="93" t="s">
        <v>3296</v>
      </c>
      <c r="H50" s="95" t="s">
        <v>3501</v>
      </c>
      <c r="I50" s="93" t="s">
        <v>1731</v>
      </c>
      <c r="J50" s="93" t="s">
        <v>1731</v>
      </c>
      <c r="K50" s="42" t="s">
        <v>37</v>
      </c>
    </row>
    <row r="51" ht="22.5" customHeight="1">
      <c r="A51" s="91">
        <v>49.0</v>
      </c>
      <c r="B51" s="92" t="s">
        <v>3502</v>
      </c>
      <c r="C51" s="93" t="s">
        <v>3503</v>
      </c>
      <c r="D51" s="94">
        <f>+919348403029</f>
        <v>919348403029</v>
      </c>
      <c r="E51" s="93" t="s">
        <v>3504</v>
      </c>
      <c r="F51" s="93" t="s">
        <v>3427</v>
      </c>
      <c r="G51" s="93" t="s">
        <v>3296</v>
      </c>
      <c r="H51" s="95" t="s">
        <v>3505</v>
      </c>
      <c r="I51" s="93" t="s">
        <v>1731</v>
      </c>
      <c r="J51" s="93" t="s">
        <v>3506</v>
      </c>
      <c r="K51" s="42" t="s">
        <v>37</v>
      </c>
    </row>
    <row r="52" ht="22.5" customHeight="1">
      <c r="A52" s="91">
        <v>50.0</v>
      </c>
      <c r="B52" s="92" t="s">
        <v>3507</v>
      </c>
      <c r="C52" s="93" t="s">
        <v>3508</v>
      </c>
      <c r="D52" s="94">
        <f>+919603507646</f>
        <v>919603507646</v>
      </c>
      <c r="E52" s="93" t="s">
        <v>205</v>
      </c>
      <c r="F52" s="93" t="s">
        <v>3329</v>
      </c>
      <c r="G52" s="93" t="s">
        <v>3296</v>
      </c>
      <c r="H52" s="95" t="s">
        <v>3509</v>
      </c>
      <c r="I52" s="93" t="s">
        <v>1967</v>
      </c>
      <c r="J52" s="93" t="s">
        <v>3510</v>
      </c>
      <c r="K52" s="42" t="s">
        <v>37</v>
      </c>
    </row>
    <row r="53" ht="22.5" customHeight="1">
      <c r="A53" s="91">
        <v>51.0</v>
      </c>
      <c r="B53" s="92" t="s">
        <v>3511</v>
      </c>
      <c r="C53" s="93" t="s">
        <v>3512</v>
      </c>
      <c r="D53" s="94">
        <f>+919572726364</f>
        <v>919572726364</v>
      </c>
      <c r="E53" s="93" t="s">
        <v>229</v>
      </c>
      <c r="F53" s="93" t="s">
        <v>90</v>
      </c>
      <c r="G53" s="93" t="s">
        <v>3296</v>
      </c>
      <c r="H53" s="95" t="s">
        <v>3513</v>
      </c>
      <c r="I53" s="93" t="s">
        <v>1731</v>
      </c>
      <c r="J53" s="93" t="s">
        <v>3506</v>
      </c>
      <c r="K53" s="42" t="s">
        <v>37</v>
      </c>
    </row>
    <row r="54" ht="22.5" customHeight="1">
      <c r="A54" s="91">
        <v>52.0</v>
      </c>
      <c r="B54" s="92" t="s">
        <v>3514</v>
      </c>
      <c r="C54" s="93" t="s">
        <v>3515</v>
      </c>
      <c r="D54" s="94">
        <f>+917764966434</f>
        <v>917764966434</v>
      </c>
      <c r="E54" s="93" t="s">
        <v>229</v>
      </c>
      <c r="F54" s="93" t="s">
        <v>3415</v>
      </c>
      <c r="G54" s="93" t="s">
        <v>3296</v>
      </c>
      <c r="H54" s="95" t="s">
        <v>3516</v>
      </c>
      <c r="I54" s="93" t="s">
        <v>1731</v>
      </c>
      <c r="J54" s="93" t="s">
        <v>1731</v>
      </c>
      <c r="K54" s="42" t="s">
        <v>37</v>
      </c>
    </row>
    <row r="55" ht="22.5" customHeight="1">
      <c r="A55" s="91">
        <v>53.0</v>
      </c>
      <c r="B55" s="92" t="s">
        <v>3517</v>
      </c>
      <c r="C55" s="93" t="s">
        <v>3518</v>
      </c>
      <c r="D55" s="93">
        <v>9.5618503015E10</v>
      </c>
      <c r="E55" s="93" t="s">
        <v>3519</v>
      </c>
      <c r="F55" s="93" t="s">
        <v>3520</v>
      </c>
      <c r="G55" s="93" t="s">
        <v>3296</v>
      </c>
      <c r="H55" s="95" t="s">
        <v>3521</v>
      </c>
      <c r="I55" s="93" t="s">
        <v>1967</v>
      </c>
      <c r="J55" s="93" t="s">
        <v>3522</v>
      </c>
      <c r="K55" s="42" t="s">
        <v>37</v>
      </c>
    </row>
    <row r="56" ht="22.5" customHeight="1">
      <c r="A56" s="91">
        <v>54.0</v>
      </c>
      <c r="B56" s="92" t="s">
        <v>3523</v>
      </c>
      <c r="C56" s="93" t="s">
        <v>3524</v>
      </c>
      <c r="D56" s="94">
        <f>+916372778573</f>
        <v>916372778573</v>
      </c>
      <c r="E56" s="93" t="s">
        <v>11</v>
      </c>
      <c r="F56" s="93" t="s">
        <v>3525</v>
      </c>
      <c r="G56" s="93" t="s">
        <v>3296</v>
      </c>
      <c r="H56" s="95" t="s">
        <v>3526</v>
      </c>
      <c r="I56" s="93" t="s">
        <v>1967</v>
      </c>
      <c r="J56" s="93" t="s">
        <v>3510</v>
      </c>
      <c r="K56" s="42" t="s">
        <v>37</v>
      </c>
    </row>
    <row r="57" ht="22.5" customHeight="1">
      <c r="A57" s="91">
        <v>55.0</v>
      </c>
      <c r="B57" s="92" t="s">
        <v>3527</v>
      </c>
      <c r="C57" s="93" t="s">
        <v>3528</v>
      </c>
      <c r="D57" s="94">
        <f>+918959131804</f>
        <v>918959131804</v>
      </c>
      <c r="E57" s="93" t="s">
        <v>3529</v>
      </c>
      <c r="F57" s="93" t="s">
        <v>3530</v>
      </c>
      <c r="G57" s="93" t="s">
        <v>3296</v>
      </c>
      <c r="H57" s="95" t="s">
        <v>3531</v>
      </c>
      <c r="I57" s="93" t="s">
        <v>1731</v>
      </c>
      <c r="J57" s="93" t="s">
        <v>86</v>
      </c>
      <c r="K57" s="42" t="s">
        <v>37</v>
      </c>
    </row>
    <row r="58" ht="22.5" customHeight="1">
      <c r="A58" s="91">
        <v>56.0</v>
      </c>
      <c r="B58" s="92" t="s">
        <v>3532</v>
      </c>
      <c r="C58" s="93" t="s">
        <v>3533</v>
      </c>
      <c r="D58" s="94">
        <f>+917972286583</f>
        <v>917972286583</v>
      </c>
      <c r="E58" s="93" t="s">
        <v>369</v>
      </c>
      <c r="F58" s="93" t="s">
        <v>3534</v>
      </c>
      <c r="G58" s="93" t="s">
        <v>3296</v>
      </c>
      <c r="H58" s="95" t="s">
        <v>3535</v>
      </c>
      <c r="I58" s="93" t="s">
        <v>1967</v>
      </c>
      <c r="J58" s="93" t="s">
        <v>3510</v>
      </c>
      <c r="K58" s="42" t="s">
        <v>37</v>
      </c>
    </row>
    <row r="59" ht="22.5" customHeight="1">
      <c r="A59" s="91">
        <v>57.0</v>
      </c>
      <c r="B59" s="92" t="s">
        <v>3536</v>
      </c>
      <c r="C59" s="93" t="s">
        <v>3537</v>
      </c>
      <c r="D59" s="94">
        <f>+917639083008</f>
        <v>917639083008</v>
      </c>
      <c r="E59" s="93" t="s">
        <v>1104</v>
      </c>
      <c r="F59" s="93" t="s">
        <v>3538</v>
      </c>
      <c r="G59" s="93" t="s">
        <v>3296</v>
      </c>
      <c r="H59" s="95" t="s">
        <v>3539</v>
      </c>
      <c r="I59" s="93" t="s">
        <v>1967</v>
      </c>
      <c r="J59" s="93" t="s">
        <v>3540</v>
      </c>
      <c r="K59" s="42" t="s">
        <v>37</v>
      </c>
    </row>
    <row r="60" ht="22.5" customHeight="1">
      <c r="A60" s="91">
        <v>58.0</v>
      </c>
      <c r="B60" s="92" t="s">
        <v>3541</v>
      </c>
      <c r="C60" s="93" t="s">
        <v>3542</v>
      </c>
      <c r="D60" s="94">
        <f>+919866256439</f>
        <v>919866256439</v>
      </c>
      <c r="E60" s="93" t="s">
        <v>3543</v>
      </c>
      <c r="F60" s="93" t="s">
        <v>3543</v>
      </c>
      <c r="G60" s="93" t="s">
        <v>3296</v>
      </c>
      <c r="H60" s="95" t="s">
        <v>3544</v>
      </c>
      <c r="I60" s="93" t="s">
        <v>427</v>
      </c>
      <c r="J60" s="93" t="s">
        <v>3545</v>
      </c>
      <c r="K60" s="42" t="s">
        <v>37</v>
      </c>
    </row>
    <row r="61" ht="22.5" customHeight="1">
      <c r="A61" s="91">
        <v>59.0</v>
      </c>
      <c r="B61" s="92" t="s">
        <v>3546</v>
      </c>
      <c r="C61" s="93" t="s">
        <v>3547</v>
      </c>
      <c r="D61" s="94">
        <f>+919525538930</f>
        <v>919525538930</v>
      </c>
      <c r="E61" s="93" t="s">
        <v>3543</v>
      </c>
      <c r="F61" s="93" t="s">
        <v>727</v>
      </c>
      <c r="G61" s="93" t="s">
        <v>3296</v>
      </c>
      <c r="H61" s="95" t="s">
        <v>3548</v>
      </c>
      <c r="I61" s="93" t="s">
        <v>1967</v>
      </c>
      <c r="J61" s="93" t="s">
        <v>3510</v>
      </c>
      <c r="K61" s="42" t="s">
        <v>37</v>
      </c>
    </row>
    <row r="62" ht="22.5" customHeight="1">
      <c r="A62" s="91">
        <v>60.0</v>
      </c>
      <c r="B62" s="92" t="s">
        <v>3549</v>
      </c>
      <c r="C62" s="93" t="s">
        <v>3550</v>
      </c>
      <c r="D62" s="94">
        <f>+919060705033</f>
        <v>919060705033</v>
      </c>
      <c r="E62" s="93" t="s">
        <v>398</v>
      </c>
      <c r="F62" s="93" t="s">
        <v>331</v>
      </c>
      <c r="G62" s="93" t="s">
        <v>3296</v>
      </c>
      <c r="H62" s="95" t="s">
        <v>3551</v>
      </c>
      <c r="I62" s="93" t="s">
        <v>1967</v>
      </c>
      <c r="J62" s="93" t="s">
        <v>3510</v>
      </c>
      <c r="K62" s="42" t="s">
        <v>37</v>
      </c>
    </row>
    <row r="63" ht="22.5" customHeight="1">
      <c r="A63" s="91">
        <v>61.0</v>
      </c>
      <c r="B63" s="92" t="s">
        <v>3552</v>
      </c>
      <c r="C63" s="93" t="s">
        <v>3553</v>
      </c>
      <c r="D63" s="94">
        <f>+918839141907</f>
        <v>918839141907</v>
      </c>
      <c r="E63" s="93" t="s">
        <v>3554</v>
      </c>
      <c r="F63" s="93" t="s">
        <v>3555</v>
      </c>
      <c r="G63" s="93" t="s">
        <v>3296</v>
      </c>
      <c r="H63" s="95" t="s">
        <v>3556</v>
      </c>
      <c r="I63" s="93" t="s">
        <v>1967</v>
      </c>
      <c r="J63" s="93" t="s">
        <v>3510</v>
      </c>
      <c r="K63" s="42" t="s">
        <v>37</v>
      </c>
    </row>
    <row r="64" ht="22.5" customHeight="1">
      <c r="A64" s="91">
        <v>62.0</v>
      </c>
      <c r="B64" s="92" t="s">
        <v>3557</v>
      </c>
      <c r="C64" s="93" t="s">
        <v>3558</v>
      </c>
      <c r="D64" s="94">
        <f>+919514149893</f>
        <v>919514149893</v>
      </c>
      <c r="E64" s="93" t="s">
        <v>453</v>
      </c>
      <c r="F64" s="93" t="s">
        <v>3559</v>
      </c>
      <c r="G64" s="93" t="s">
        <v>3296</v>
      </c>
      <c r="H64" s="95" t="s">
        <v>3560</v>
      </c>
      <c r="I64" s="93" t="s">
        <v>1967</v>
      </c>
      <c r="J64" s="93" t="s">
        <v>3510</v>
      </c>
      <c r="K64" s="42" t="s">
        <v>37</v>
      </c>
    </row>
    <row r="65" ht="22.5" customHeight="1">
      <c r="A65" s="91">
        <v>63.0</v>
      </c>
      <c r="B65" s="92" t="s">
        <v>3561</v>
      </c>
      <c r="C65" s="93" t="s">
        <v>3562</v>
      </c>
      <c r="D65" s="94">
        <f>+918174888331</f>
        <v>918174888331</v>
      </c>
      <c r="E65" s="93" t="s">
        <v>1136</v>
      </c>
      <c r="F65" s="93" t="s">
        <v>501</v>
      </c>
      <c r="G65" s="93" t="s">
        <v>3296</v>
      </c>
      <c r="H65" s="95" t="s">
        <v>3563</v>
      </c>
      <c r="I65" s="93" t="s">
        <v>1731</v>
      </c>
      <c r="J65" s="93" t="s">
        <v>86</v>
      </c>
      <c r="K65" s="42" t="s">
        <v>37</v>
      </c>
    </row>
    <row r="66" ht="22.5" customHeight="1">
      <c r="A66" s="91">
        <v>64.0</v>
      </c>
      <c r="B66" s="92" t="s">
        <v>3564</v>
      </c>
      <c r="C66" s="93" t="s">
        <v>3565</v>
      </c>
      <c r="D66" s="94">
        <f>+919666099088</f>
        <v>919666099088</v>
      </c>
      <c r="E66" s="93" t="s">
        <v>205</v>
      </c>
      <c r="F66" s="93" t="s">
        <v>206</v>
      </c>
      <c r="G66" s="93" t="s">
        <v>3296</v>
      </c>
      <c r="H66" s="95" t="s">
        <v>3566</v>
      </c>
      <c r="I66" s="93" t="s">
        <v>1967</v>
      </c>
      <c r="J66" s="93" t="s">
        <v>3510</v>
      </c>
      <c r="K66" s="42" t="s">
        <v>37</v>
      </c>
    </row>
    <row r="67" ht="22.5" customHeight="1">
      <c r="A67" s="91">
        <v>65.0</v>
      </c>
      <c r="B67" s="92" t="s">
        <v>3567</v>
      </c>
      <c r="C67" s="93" t="s">
        <v>3568</v>
      </c>
      <c r="D67" s="94">
        <f>+919177606447</f>
        <v>919177606447</v>
      </c>
      <c r="E67" s="93" t="s">
        <v>205</v>
      </c>
      <c r="F67" s="93" t="s">
        <v>3569</v>
      </c>
      <c r="G67" s="93" t="s">
        <v>3296</v>
      </c>
      <c r="H67" s="95" t="s">
        <v>3570</v>
      </c>
      <c r="I67" s="93" t="s">
        <v>1967</v>
      </c>
      <c r="J67" s="93" t="s">
        <v>3522</v>
      </c>
      <c r="K67" s="42" t="s">
        <v>37</v>
      </c>
    </row>
    <row r="68" ht="22.5" customHeight="1">
      <c r="A68" s="91">
        <v>66.0</v>
      </c>
      <c r="B68" s="92" t="s">
        <v>3571</v>
      </c>
      <c r="C68" s="93" t="s">
        <v>3572</v>
      </c>
      <c r="D68" s="94">
        <f>+918142043850</f>
        <v>918142043850</v>
      </c>
      <c r="E68" s="93" t="s">
        <v>205</v>
      </c>
      <c r="F68" s="93" t="s">
        <v>3573</v>
      </c>
      <c r="G68" s="93" t="s">
        <v>3296</v>
      </c>
      <c r="H68" s="95" t="s">
        <v>3574</v>
      </c>
      <c r="I68" s="93" t="s">
        <v>1967</v>
      </c>
      <c r="J68" s="93" t="s">
        <v>3510</v>
      </c>
      <c r="K68" s="42" t="s">
        <v>37</v>
      </c>
    </row>
    <row r="69" ht="22.5" customHeight="1">
      <c r="A69" s="91">
        <v>67.0</v>
      </c>
      <c r="B69" s="92" t="s">
        <v>3575</v>
      </c>
      <c r="C69" s="93" t="s">
        <v>3576</v>
      </c>
      <c r="D69" s="94">
        <f>+919986254116</f>
        <v>919986254116</v>
      </c>
      <c r="E69" s="93" t="s">
        <v>3577</v>
      </c>
      <c r="F69" s="93" t="s">
        <v>3578</v>
      </c>
      <c r="G69" s="93" t="s">
        <v>3296</v>
      </c>
      <c r="H69" s="95" t="s">
        <v>3579</v>
      </c>
      <c r="I69" s="93" t="s">
        <v>1967</v>
      </c>
      <c r="J69" s="93" t="s">
        <v>3580</v>
      </c>
      <c r="K69" s="42" t="s">
        <v>37</v>
      </c>
    </row>
    <row r="70" ht="22.5" customHeight="1">
      <c r="A70" s="91">
        <v>68.0</v>
      </c>
      <c r="B70" s="92" t="s">
        <v>3581</v>
      </c>
      <c r="C70" s="93" t="s">
        <v>3582</v>
      </c>
      <c r="D70" s="94">
        <f>+919642125059</f>
        <v>919642125059</v>
      </c>
      <c r="E70" s="93" t="s">
        <v>205</v>
      </c>
      <c r="F70" s="93" t="s">
        <v>3583</v>
      </c>
      <c r="G70" s="93" t="s">
        <v>3296</v>
      </c>
      <c r="H70" s="95" t="s">
        <v>3584</v>
      </c>
      <c r="I70" s="93" t="s">
        <v>1731</v>
      </c>
      <c r="J70" s="93" t="s">
        <v>86</v>
      </c>
      <c r="K70" s="42" t="s">
        <v>37</v>
      </c>
    </row>
    <row r="71" ht="22.5" customHeight="1">
      <c r="A71" s="91">
        <v>69.0</v>
      </c>
      <c r="B71" s="92" t="s">
        <v>3585</v>
      </c>
      <c r="C71" s="93" t="s">
        <v>3586</v>
      </c>
      <c r="D71" s="94">
        <f>+918874320834</f>
        <v>918874320834</v>
      </c>
      <c r="E71" s="93" t="s">
        <v>1128</v>
      </c>
      <c r="F71" s="93" t="s">
        <v>3587</v>
      </c>
      <c r="G71" s="93" t="s">
        <v>3296</v>
      </c>
      <c r="H71" s="95" t="s">
        <v>3588</v>
      </c>
      <c r="I71" s="93" t="s">
        <v>3306</v>
      </c>
      <c r="J71" s="93" t="s">
        <v>3482</v>
      </c>
      <c r="K71" s="42" t="s">
        <v>37</v>
      </c>
    </row>
    <row r="72" ht="22.5" customHeight="1">
      <c r="A72" s="91">
        <v>70.0</v>
      </c>
      <c r="B72" s="92" t="s">
        <v>3589</v>
      </c>
      <c r="C72" s="93" t="s">
        <v>3590</v>
      </c>
      <c r="D72" s="94">
        <f>+918252831505</f>
        <v>918252831505</v>
      </c>
      <c r="E72" s="93" t="s">
        <v>1085</v>
      </c>
      <c r="F72" s="93" t="s">
        <v>3591</v>
      </c>
      <c r="G72" s="93" t="s">
        <v>3296</v>
      </c>
      <c r="H72" s="95" t="s">
        <v>3592</v>
      </c>
      <c r="I72" s="93" t="s">
        <v>1731</v>
      </c>
      <c r="J72" s="93" t="s">
        <v>86</v>
      </c>
      <c r="K72" s="42" t="s">
        <v>37</v>
      </c>
    </row>
    <row r="73" ht="22.5" customHeight="1">
      <c r="A73" s="91">
        <v>71.0</v>
      </c>
      <c r="B73" s="92" t="s">
        <v>3593</v>
      </c>
      <c r="C73" s="93" t="s">
        <v>3594</v>
      </c>
      <c r="D73" s="93">
        <v>8.123202525E9</v>
      </c>
      <c r="E73" s="93" t="s">
        <v>1085</v>
      </c>
      <c r="F73" s="93" t="s">
        <v>3595</v>
      </c>
      <c r="G73" s="93" t="s">
        <v>3296</v>
      </c>
      <c r="H73" s="95" t="s">
        <v>3596</v>
      </c>
      <c r="I73" s="93" t="s">
        <v>1967</v>
      </c>
      <c r="J73" s="93" t="s">
        <v>3510</v>
      </c>
      <c r="K73" s="42" t="s">
        <v>37</v>
      </c>
    </row>
    <row r="74" ht="22.5" customHeight="1">
      <c r="A74" s="91">
        <v>72.0</v>
      </c>
      <c r="B74" s="92" t="s">
        <v>3597</v>
      </c>
      <c r="C74" s="93" t="s">
        <v>3598</v>
      </c>
      <c r="D74" s="94">
        <f>+917386823963</f>
        <v>917386823963</v>
      </c>
      <c r="E74" s="93" t="s">
        <v>205</v>
      </c>
      <c r="F74" s="93" t="s">
        <v>3599</v>
      </c>
      <c r="G74" s="93" t="s">
        <v>3296</v>
      </c>
      <c r="H74" s="95" t="s">
        <v>3600</v>
      </c>
      <c r="I74" s="93" t="s">
        <v>1731</v>
      </c>
      <c r="J74" s="93" t="s">
        <v>1731</v>
      </c>
      <c r="K74" s="42" t="s">
        <v>37</v>
      </c>
    </row>
    <row r="75" ht="22.5" customHeight="1">
      <c r="A75" s="91">
        <v>73.0</v>
      </c>
      <c r="B75" s="92" t="s">
        <v>3601</v>
      </c>
      <c r="C75" s="93" t="s">
        <v>3602</v>
      </c>
      <c r="D75" s="94">
        <f>+919102210660</f>
        <v>919102210660</v>
      </c>
      <c r="E75" s="93" t="s">
        <v>3603</v>
      </c>
      <c r="F75" s="93" t="s">
        <v>3603</v>
      </c>
      <c r="G75" s="93" t="s">
        <v>3296</v>
      </c>
      <c r="H75" s="95" t="s">
        <v>3604</v>
      </c>
      <c r="I75" s="93" t="s">
        <v>3306</v>
      </c>
      <c r="J75" s="93" t="s">
        <v>3482</v>
      </c>
      <c r="K75" s="42" t="s">
        <v>37</v>
      </c>
    </row>
    <row r="76" ht="22.5" customHeight="1">
      <c r="A76" s="91">
        <v>74.0</v>
      </c>
      <c r="B76" s="92" t="s">
        <v>3605</v>
      </c>
      <c r="C76" s="93" t="s">
        <v>3606</v>
      </c>
      <c r="D76" s="94">
        <f>+919030409395</f>
        <v>919030409395</v>
      </c>
      <c r="E76" s="93" t="s">
        <v>205</v>
      </c>
      <c r="F76" s="93" t="s">
        <v>3607</v>
      </c>
      <c r="G76" s="93" t="s">
        <v>3296</v>
      </c>
      <c r="H76" s="95" t="s">
        <v>3608</v>
      </c>
      <c r="I76" s="93" t="s">
        <v>1731</v>
      </c>
      <c r="J76" s="93" t="s">
        <v>86</v>
      </c>
      <c r="K76" s="42" t="s">
        <v>37</v>
      </c>
    </row>
    <row r="77" ht="22.5" customHeight="1">
      <c r="A77" s="91">
        <v>75.0</v>
      </c>
      <c r="B77" s="92" t="s">
        <v>3609</v>
      </c>
      <c r="C77" s="93" t="s">
        <v>3610</v>
      </c>
      <c r="D77" s="94">
        <f>+919617938691</f>
        <v>919617938691</v>
      </c>
      <c r="E77" s="93" t="s">
        <v>3319</v>
      </c>
      <c r="F77" s="93" t="s">
        <v>3371</v>
      </c>
      <c r="G77" s="93" t="s">
        <v>3296</v>
      </c>
      <c r="H77" s="95" t="s">
        <v>3611</v>
      </c>
      <c r="I77" s="93" t="s">
        <v>1967</v>
      </c>
      <c r="J77" s="93" t="s">
        <v>3612</v>
      </c>
      <c r="K77" s="42" t="s">
        <v>37</v>
      </c>
    </row>
    <row r="78" ht="22.5" customHeight="1">
      <c r="A78" s="91">
        <v>76.0</v>
      </c>
      <c r="B78" s="92" t="s">
        <v>3613</v>
      </c>
      <c r="C78" s="93" t="s">
        <v>3614</v>
      </c>
      <c r="D78" s="94">
        <f>+917776007972</f>
        <v>917776007972</v>
      </c>
      <c r="E78" s="93" t="s">
        <v>3615</v>
      </c>
      <c r="F78" s="93" t="s">
        <v>1063</v>
      </c>
      <c r="G78" s="93" t="s">
        <v>3296</v>
      </c>
      <c r="H78" s="95" t="s">
        <v>3616</v>
      </c>
      <c r="I78" s="93" t="s">
        <v>3306</v>
      </c>
      <c r="J78" s="93" t="s">
        <v>3482</v>
      </c>
      <c r="K78" s="42" t="s">
        <v>37</v>
      </c>
    </row>
    <row r="79" ht="22.5" customHeight="1">
      <c r="A79" s="91">
        <v>77.0</v>
      </c>
      <c r="B79" s="92" t="s">
        <v>3617</v>
      </c>
      <c r="C79" s="93" t="s">
        <v>3618</v>
      </c>
      <c r="D79" s="94">
        <f>+918109780953</f>
        <v>918109780953</v>
      </c>
      <c r="E79" s="93" t="s">
        <v>993</v>
      </c>
      <c r="F79" s="93" t="s">
        <v>3619</v>
      </c>
      <c r="G79" s="93" t="s">
        <v>3296</v>
      </c>
      <c r="H79" s="95" t="s">
        <v>3620</v>
      </c>
      <c r="I79" s="93" t="s">
        <v>1731</v>
      </c>
      <c r="J79" s="93" t="s">
        <v>86</v>
      </c>
      <c r="K79" s="42" t="s">
        <v>37</v>
      </c>
    </row>
    <row r="80" ht="22.5" customHeight="1">
      <c r="A80" s="91">
        <v>78.0</v>
      </c>
      <c r="B80" s="92" t="s">
        <v>3621</v>
      </c>
      <c r="C80" s="93" t="s">
        <v>3622</v>
      </c>
      <c r="D80" s="94">
        <f>+919121810817</f>
        <v>919121810817</v>
      </c>
      <c r="E80" s="93" t="s">
        <v>205</v>
      </c>
      <c r="F80" s="93" t="s">
        <v>3623</v>
      </c>
      <c r="G80" s="93" t="s">
        <v>3296</v>
      </c>
      <c r="H80" s="95" t="s">
        <v>3624</v>
      </c>
      <c r="I80" s="93" t="s">
        <v>1967</v>
      </c>
      <c r="J80" s="93" t="s">
        <v>3510</v>
      </c>
      <c r="K80" s="42" t="s">
        <v>37</v>
      </c>
    </row>
    <row r="81" ht="22.5" customHeight="1">
      <c r="A81" s="91">
        <v>79.0</v>
      </c>
      <c r="B81" s="92" t="s">
        <v>3625</v>
      </c>
      <c r="C81" s="93" t="s">
        <v>3626</v>
      </c>
      <c r="D81" s="93">
        <v>8.960063038E9</v>
      </c>
      <c r="E81" s="93" t="s">
        <v>344</v>
      </c>
      <c r="F81" s="93" t="s">
        <v>3627</v>
      </c>
      <c r="G81" s="93" t="s">
        <v>3296</v>
      </c>
      <c r="H81" s="95" t="s">
        <v>3628</v>
      </c>
      <c r="I81" s="93" t="s">
        <v>1967</v>
      </c>
      <c r="J81" s="93" t="s">
        <v>3629</v>
      </c>
      <c r="K81" s="42" t="s">
        <v>37</v>
      </c>
    </row>
    <row r="82" ht="22.5" customHeight="1">
      <c r="A82" s="91">
        <v>80.0</v>
      </c>
      <c r="B82" s="92" t="s">
        <v>3630</v>
      </c>
      <c r="C82" s="93" t="s">
        <v>3631</v>
      </c>
      <c r="D82" s="94">
        <f>+919794627135</f>
        <v>919794627135</v>
      </c>
      <c r="E82" s="93" t="s">
        <v>344</v>
      </c>
      <c r="F82" s="93" t="s">
        <v>3632</v>
      </c>
      <c r="G82" s="93" t="s">
        <v>3296</v>
      </c>
      <c r="H82" s="95" t="s">
        <v>3633</v>
      </c>
      <c r="I82" s="93" t="s">
        <v>1731</v>
      </c>
      <c r="J82" s="93" t="s">
        <v>86</v>
      </c>
      <c r="K82" s="42" t="s">
        <v>37</v>
      </c>
    </row>
    <row r="83" ht="22.5" customHeight="1">
      <c r="A83" s="91">
        <v>81.0</v>
      </c>
      <c r="B83" s="92" t="s">
        <v>3634</v>
      </c>
      <c r="C83" s="93" t="s">
        <v>3635</v>
      </c>
      <c r="D83" s="94">
        <f>+918218322509</f>
        <v>918218322509</v>
      </c>
      <c r="E83" s="93" t="s">
        <v>3636</v>
      </c>
      <c r="F83" s="93" t="s">
        <v>3637</v>
      </c>
      <c r="G83" s="93" t="s">
        <v>3296</v>
      </c>
      <c r="H83" s="95" t="s">
        <v>3638</v>
      </c>
      <c r="I83" s="93" t="s">
        <v>1967</v>
      </c>
      <c r="J83" s="93" t="s">
        <v>3639</v>
      </c>
      <c r="K83" s="42" t="s">
        <v>37</v>
      </c>
    </row>
    <row r="84" ht="22.5" customHeight="1">
      <c r="A84" s="91">
        <v>82.0</v>
      </c>
      <c r="B84" s="92" t="s">
        <v>3640</v>
      </c>
      <c r="C84" s="93" t="s">
        <v>3641</v>
      </c>
      <c r="D84" s="94">
        <f>+919618992716</f>
        <v>919618992716</v>
      </c>
      <c r="E84" s="93" t="s">
        <v>393</v>
      </c>
      <c r="F84" s="93" t="s">
        <v>3642</v>
      </c>
      <c r="G84" s="93" t="s">
        <v>3296</v>
      </c>
      <c r="H84" s="95" t="s">
        <v>3643</v>
      </c>
      <c r="I84" s="93" t="s">
        <v>1731</v>
      </c>
      <c r="J84" s="93" t="s">
        <v>1731</v>
      </c>
      <c r="K84" s="42" t="s">
        <v>37</v>
      </c>
    </row>
    <row r="85" ht="22.5" customHeight="1">
      <c r="A85" s="91">
        <v>83.0</v>
      </c>
      <c r="B85" s="92" t="s">
        <v>3644</v>
      </c>
      <c r="C85" s="93" t="s">
        <v>3645</v>
      </c>
      <c r="D85" s="93">
        <v>0.0</v>
      </c>
      <c r="E85" s="93" t="s">
        <v>369</v>
      </c>
      <c r="F85" s="93" t="s">
        <v>3646</v>
      </c>
      <c r="G85" s="93" t="s">
        <v>3296</v>
      </c>
      <c r="H85" s="95" t="s">
        <v>3647</v>
      </c>
      <c r="I85" s="93" t="s">
        <v>1967</v>
      </c>
      <c r="J85" s="93" t="s">
        <v>3648</v>
      </c>
      <c r="K85" s="42" t="s">
        <v>37</v>
      </c>
    </row>
    <row r="86" ht="22.5" customHeight="1">
      <c r="A86" s="91">
        <v>84.0</v>
      </c>
      <c r="B86" s="92" t="s">
        <v>3649</v>
      </c>
      <c r="C86" s="93" t="s">
        <v>3650</v>
      </c>
      <c r="D86" s="94">
        <f>+918390660296</f>
        <v>918390660296</v>
      </c>
      <c r="E86" s="93" t="s">
        <v>369</v>
      </c>
      <c r="F86" s="93" t="s">
        <v>3651</v>
      </c>
      <c r="G86" s="93" t="s">
        <v>3296</v>
      </c>
      <c r="H86" s="95" t="s">
        <v>3652</v>
      </c>
      <c r="I86" s="93" t="s">
        <v>1967</v>
      </c>
      <c r="J86" s="93" t="s">
        <v>3510</v>
      </c>
      <c r="K86" s="42" t="s">
        <v>37</v>
      </c>
    </row>
    <row r="87" ht="22.5" customHeight="1">
      <c r="A87" s="91">
        <v>85.0</v>
      </c>
      <c r="B87" s="92" t="s">
        <v>3653</v>
      </c>
      <c r="C87" s="93" t="s">
        <v>3654</v>
      </c>
      <c r="D87" s="94">
        <f>+918456838975</f>
        <v>918456838975</v>
      </c>
      <c r="E87" s="93" t="s">
        <v>11</v>
      </c>
      <c r="F87" s="93" t="s">
        <v>155</v>
      </c>
      <c r="G87" s="93" t="s">
        <v>3296</v>
      </c>
      <c r="H87" s="95" t="s">
        <v>3655</v>
      </c>
      <c r="I87" s="93" t="s">
        <v>1967</v>
      </c>
      <c r="J87" s="93" t="s">
        <v>3510</v>
      </c>
      <c r="K87" s="42" t="s">
        <v>37</v>
      </c>
    </row>
    <row r="88" ht="22.5" customHeight="1">
      <c r="A88" s="91">
        <v>86.0</v>
      </c>
      <c r="B88" s="92" t="s">
        <v>3656</v>
      </c>
      <c r="C88" s="93" t="s">
        <v>3657</v>
      </c>
      <c r="D88" s="94">
        <f>+919353938782</f>
        <v>919353938782</v>
      </c>
      <c r="E88" s="93" t="s">
        <v>398</v>
      </c>
      <c r="F88" s="93" t="s">
        <v>3658</v>
      </c>
      <c r="G88" s="93" t="s">
        <v>3296</v>
      </c>
      <c r="H88" s="95" t="s">
        <v>3659</v>
      </c>
      <c r="I88" s="93" t="s">
        <v>3306</v>
      </c>
      <c r="J88" s="93" t="s">
        <v>3482</v>
      </c>
      <c r="K88" s="42" t="s">
        <v>37</v>
      </c>
    </row>
    <row r="89" ht="22.5" customHeight="1">
      <c r="A89" s="91">
        <v>87.0</v>
      </c>
      <c r="B89" s="92" t="s">
        <v>3660</v>
      </c>
      <c r="C89" s="93" t="s">
        <v>3661</v>
      </c>
      <c r="D89" s="94">
        <f>+918269301565</f>
        <v>918269301565</v>
      </c>
      <c r="E89" s="93" t="s">
        <v>3662</v>
      </c>
      <c r="F89" s="93" t="s">
        <v>3663</v>
      </c>
      <c r="G89" s="93" t="s">
        <v>3296</v>
      </c>
      <c r="H89" s="95" t="s">
        <v>3664</v>
      </c>
      <c r="I89" s="93" t="s">
        <v>3306</v>
      </c>
      <c r="J89" s="93" t="s">
        <v>3482</v>
      </c>
      <c r="K89" s="42" t="s">
        <v>37</v>
      </c>
    </row>
    <row r="90" ht="22.5" customHeight="1">
      <c r="A90" s="91">
        <v>88.0</v>
      </c>
      <c r="B90" s="92" t="s">
        <v>3665</v>
      </c>
      <c r="C90" s="93" t="s">
        <v>3666</v>
      </c>
      <c r="D90" s="94">
        <f>+919666872692</f>
        <v>919666872692</v>
      </c>
      <c r="E90" s="93" t="s">
        <v>534</v>
      </c>
      <c r="F90" s="93" t="s">
        <v>3667</v>
      </c>
      <c r="G90" s="93" t="s">
        <v>3296</v>
      </c>
      <c r="H90" s="95" t="s">
        <v>3668</v>
      </c>
      <c r="I90" s="93" t="s">
        <v>1731</v>
      </c>
      <c r="J90" s="93" t="s">
        <v>1731</v>
      </c>
      <c r="K90" s="42" t="s">
        <v>37</v>
      </c>
    </row>
    <row r="91" ht="22.5" customHeight="1">
      <c r="A91" s="91">
        <v>89.0</v>
      </c>
      <c r="B91" s="92" t="s">
        <v>3669</v>
      </c>
      <c r="C91" s="93" t="s">
        <v>3670</v>
      </c>
      <c r="D91" s="94">
        <f>+917558732101</f>
        <v>917558732101</v>
      </c>
      <c r="E91" s="93" t="s">
        <v>369</v>
      </c>
      <c r="F91" s="93" t="s">
        <v>3671</v>
      </c>
      <c r="G91" s="93" t="s">
        <v>3296</v>
      </c>
      <c r="H91" s="95" t="s">
        <v>3672</v>
      </c>
      <c r="I91" s="93" t="s">
        <v>3306</v>
      </c>
      <c r="J91" s="93" t="s">
        <v>3482</v>
      </c>
      <c r="K91" s="42" t="s">
        <v>37</v>
      </c>
    </row>
    <row r="92" ht="22.5" customHeight="1">
      <c r="A92" s="91">
        <v>90.0</v>
      </c>
      <c r="B92" s="92" t="s">
        <v>3673</v>
      </c>
      <c r="C92" s="93" t="s">
        <v>3674</v>
      </c>
      <c r="D92" s="93">
        <v>7.093635862E9</v>
      </c>
      <c r="E92" s="93" t="s">
        <v>3675</v>
      </c>
      <c r="F92" s="93" t="s">
        <v>206</v>
      </c>
      <c r="G92" s="93" t="s">
        <v>3296</v>
      </c>
      <c r="H92" s="95" t="s">
        <v>3676</v>
      </c>
      <c r="I92" s="93" t="s">
        <v>1967</v>
      </c>
      <c r="J92" s="93" t="s">
        <v>3510</v>
      </c>
      <c r="K92" s="42" t="s">
        <v>37</v>
      </c>
    </row>
    <row r="93" ht="22.5" customHeight="1">
      <c r="A93" s="91">
        <v>91.0</v>
      </c>
      <c r="B93" s="92" t="s">
        <v>3677</v>
      </c>
      <c r="C93" s="93" t="s">
        <v>3678</v>
      </c>
      <c r="D93" s="94">
        <f>+918827827172</f>
        <v>918827827172</v>
      </c>
      <c r="E93" s="93" t="s">
        <v>993</v>
      </c>
      <c r="F93" s="93" t="s">
        <v>3679</v>
      </c>
      <c r="G93" s="93" t="s">
        <v>3296</v>
      </c>
      <c r="H93" s="95" t="s">
        <v>3680</v>
      </c>
      <c r="I93" s="93" t="s">
        <v>1967</v>
      </c>
      <c r="J93" s="93" t="s">
        <v>3510</v>
      </c>
      <c r="K93" s="42" t="s">
        <v>37</v>
      </c>
    </row>
    <row r="94" ht="22.5" customHeight="1">
      <c r="A94" s="91">
        <v>92.0</v>
      </c>
      <c r="B94" s="92" t="s">
        <v>3681</v>
      </c>
      <c r="C94" s="93" t="s">
        <v>3682</v>
      </c>
      <c r="D94" s="94">
        <f>+919949575415</f>
        <v>919949575415</v>
      </c>
      <c r="E94" s="93" t="s">
        <v>534</v>
      </c>
      <c r="F94" s="93" t="s">
        <v>3683</v>
      </c>
      <c r="G94" s="93" t="s">
        <v>3296</v>
      </c>
      <c r="H94" s="95" t="s">
        <v>3684</v>
      </c>
      <c r="I94" s="93" t="s">
        <v>1731</v>
      </c>
      <c r="J94" s="93" t="s">
        <v>86</v>
      </c>
      <c r="K94" s="42" t="s">
        <v>37</v>
      </c>
    </row>
    <row r="95" ht="22.5" customHeight="1">
      <c r="A95" s="91">
        <v>93.0</v>
      </c>
      <c r="B95" s="92" t="s">
        <v>3685</v>
      </c>
      <c r="C95" s="93" t="s">
        <v>3686</v>
      </c>
      <c r="D95" s="94">
        <f>+919966167135</f>
        <v>919966167135</v>
      </c>
      <c r="E95" s="93" t="s">
        <v>3687</v>
      </c>
      <c r="F95" s="93" t="s">
        <v>3300</v>
      </c>
      <c r="G95" s="93" t="s">
        <v>3296</v>
      </c>
      <c r="H95" s="95" t="s">
        <v>3688</v>
      </c>
      <c r="I95" s="93" t="s">
        <v>1967</v>
      </c>
      <c r="J95" s="93" t="s">
        <v>3689</v>
      </c>
      <c r="K95" s="42" t="s">
        <v>37</v>
      </c>
    </row>
    <row r="96" ht="22.5" customHeight="1">
      <c r="A96" s="91">
        <v>94.0</v>
      </c>
      <c r="B96" s="92" t="s">
        <v>3690</v>
      </c>
      <c r="C96" s="93" t="s">
        <v>3691</v>
      </c>
      <c r="D96" s="94">
        <f>+916303157027</f>
        <v>916303157027</v>
      </c>
      <c r="E96" s="93" t="s">
        <v>205</v>
      </c>
      <c r="F96" s="93" t="s">
        <v>3329</v>
      </c>
      <c r="G96" s="93" t="s">
        <v>3296</v>
      </c>
      <c r="H96" s="95" t="s">
        <v>3692</v>
      </c>
      <c r="I96" s="93" t="s">
        <v>1731</v>
      </c>
      <c r="J96" s="93" t="s">
        <v>86</v>
      </c>
      <c r="K96" s="42" t="s">
        <v>37</v>
      </c>
    </row>
    <row r="97" ht="22.5" customHeight="1">
      <c r="A97" s="91">
        <v>95.0</v>
      </c>
      <c r="B97" s="92" t="s">
        <v>3693</v>
      </c>
      <c r="C97" s="93" t="s">
        <v>3694</v>
      </c>
      <c r="D97" s="94">
        <f>+917061905658</f>
        <v>917061905658</v>
      </c>
      <c r="E97" s="93" t="s">
        <v>1085</v>
      </c>
      <c r="F97" s="93" t="s">
        <v>133</v>
      </c>
      <c r="G97" s="93" t="s">
        <v>3296</v>
      </c>
      <c r="H97" s="95" t="s">
        <v>3695</v>
      </c>
      <c r="I97" s="93" t="s">
        <v>1967</v>
      </c>
      <c r="J97" s="93" t="s">
        <v>3510</v>
      </c>
      <c r="K97" s="42" t="s">
        <v>37</v>
      </c>
    </row>
    <row r="98" ht="22.5" customHeight="1">
      <c r="A98" s="91">
        <v>96.0</v>
      </c>
      <c r="B98" s="92" t="s">
        <v>3696</v>
      </c>
      <c r="C98" s="93" t="s">
        <v>3697</v>
      </c>
      <c r="D98" s="94">
        <f>+919505776246</f>
        <v>919505776246</v>
      </c>
      <c r="E98" s="93" t="s">
        <v>205</v>
      </c>
      <c r="F98" s="93" t="s">
        <v>313</v>
      </c>
      <c r="G98" s="93" t="s">
        <v>3296</v>
      </c>
      <c r="H98" s="95" t="s">
        <v>3698</v>
      </c>
      <c r="I98" s="93" t="s">
        <v>1731</v>
      </c>
      <c r="J98" s="93" t="s">
        <v>86</v>
      </c>
      <c r="K98" s="42" t="s">
        <v>37</v>
      </c>
    </row>
    <row r="99" ht="22.5" customHeight="1">
      <c r="A99" s="91">
        <v>97.0</v>
      </c>
      <c r="B99" s="92" t="s">
        <v>3429</v>
      </c>
      <c r="C99" s="93" t="s">
        <v>3430</v>
      </c>
      <c r="D99" s="94">
        <f>+919297538808</f>
        <v>919297538808</v>
      </c>
      <c r="E99" s="93" t="s">
        <v>229</v>
      </c>
      <c r="F99" s="93" t="s">
        <v>317</v>
      </c>
      <c r="G99" s="93" t="s">
        <v>3296</v>
      </c>
      <c r="H99" s="95" t="s">
        <v>3699</v>
      </c>
      <c r="I99" s="93" t="s">
        <v>1967</v>
      </c>
      <c r="J99" s="93" t="s">
        <v>3700</v>
      </c>
      <c r="K99" s="42" t="s">
        <v>37</v>
      </c>
    </row>
    <row r="100" ht="22.5" customHeight="1">
      <c r="A100" s="91">
        <v>98.0</v>
      </c>
      <c r="B100" s="92" t="s">
        <v>3436</v>
      </c>
      <c r="C100" s="93" t="s">
        <v>3437</v>
      </c>
      <c r="D100" s="94">
        <f>+919381833838</f>
        <v>919381833838</v>
      </c>
      <c r="E100" s="93" t="s">
        <v>3438</v>
      </c>
      <c r="F100" s="93" t="s">
        <v>3439</v>
      </c>
      <c r="G100" s="93" t="s">
        <v>3296</v>
      </c>
      <c r="H100" s="95" t="s">
        <v>3701</v>
      </c>
      <c r="I100" s="93" t="s">
        <v>1731</v>
      </c>
      <c r="J100" s="93" t="s">
        <v>1731</v>
      </c>
      <c r="K100" s="42" t="s">
        <v>37</v>
      </c>
    </row>
    <row r="101" ht="22.5" customHeight="1">
      <c r="A101" s="91">
        <v>99.0</v>
      </c>
      <c r="B101" s="92" t="s">
        <v>3447</v>
      </c>
      <c r="C101" s="93" t="s">
        <v>3448</v>
      </c>
      <c r="D101" s="94">
        <f>+918008040231</f>
        <v>918008040231</v>
      </c>
      <c r="E101" s="93" t="s">
        <v>393</v>
      </c>
      <c r="F101" s="93" t="s">
        <v>3449</v>
      </c>
      <c r="G101" s="93" t="s">
        <v>3296</v>
      </c>
      <c r="H101" s="95" t="s">
        <v>3702</v>
      </c>
      <c r="I101" s="93" t="s">
        <v>176</v>
      </c>
      <c r="J101" s="93" t="s">
        <v>3302</v>
      </c>
      <c r="K101" s="42" t="s">
        <v>37</v>
      </c>
    </row>
    <row r="102" ht="22.5" customHeight="1">
      <c r="A102" s="91">
        <v>100.0</v>
      </c>
      <c r="B102" s="92" t="s">
        <v>3454</v>
      </c>
      <c r="C102" s="93" t="s">
        <v>3455</v>
      </c>
      <c r="D102" s="94">
        <f>+918112857436</f>
        <v>918112857436</v>
      </c>
      <c r="E102" s="93" t="s">
        <v>222</v>
      </c>
      <c r="F102" s="93" t="s">
        <v>3456</v>
      </c>
      <c r="G102" s="93" t="s">
        <v>3296</v>
      </c>
      <c r="H102" s="95" t="s">
        <v>3703</v>
      </c>
      <c r="I102" s="93" t="s">
        <v>1967</v>
      </c>
      <c r="J102" s="93" t="s">
        <v>3458</v>
      </c>
      <c r="K102" s="42" t="s">
        <v>37</v>
      </c>
    </row>
    <row r="103" ht="22.5" customHeight="1">
      <c r="A103" s="91">
        <v>101.0</v>
      </c>
      <c r="B103" s="92" t="s">
        <v>3459</v>
      </c>
      <c r="C103" s="93" t="s">
        <v>3460</v>
      </c>
      <c r="D103" s="94">
        <f>+919940736736</f>
        <v>919940736736</v>
      </c>
      <c r="E103" s="93" t="s">
        <v>453</v>
      </c>
      <c r="F103" s="93" t="s">
        <v>3461</v>
      </c>
      <c r="G103" s="93" t="s">
        <v>3296</v>
      </c>
      <c r="H103" s="95" t="s">
        <v>3704</v>
      </c>
      <c r="I103" s="93" t="s">
        <v>1967</v>
      </c>
      <c r="J103" s="93" t="s">
        <v>3705</v>
      </c>
      <c r="K103" s="42" t="s">
        <v>37</v>
      </c>
    </row>
    <row r="104" ht="22.5" customHeight="1">
      <c r="A104" s="91">
        <v>102.0</v>
      </c>
      <c r="B104" s="92" t="s">
        <v>3464</v>
      </c>
      <c r="C104" s="93" t="s">
        <v>3465</v>
      </c>
      <c r="D104" s="94">
        <f>+917330706127</f>
        <v>917330706127</v>
      </c>
      <c r="E104" s="93" t="s">
        <v>3466</v>
      </c>
      <c r="F104" s="93" t="s">
        <v>599</v>
      </c>
      <c r="G104" s="93" t="s">
        <v>3296</v>
      </c>
      <c r="H104" s="95" t="s">
        <v>3706</v>
      </c>
      <c r="I104" s="93" t="s">
        <v>176</v>
      </c>
      <c r="J104" s="93" t="s">
        <v>3441</v>
      </c>
      <c r="K104" s="42" t="s">
        <v>37</v>
      </c>
    </row>
    <row r="105" ht="22.5" customHeight="1">
      <c r="A105" s="91">
        <v>103.0</v>
      </c>
      <c r="B105" s="92" t="s">
        <v>3468</v>
      </c>
      <c r="C105" s="93" t="s">
        <v>3469</v>
      </c>
      <c r="D105" s="94">
        <f>+919691774804</f>
        <v>919691774804</v>
      </c>
      <c r="E105" s="93" t="s">
        <v>3470</v>
      </c>
      <c r="F105" s="96" t="s">
        <v>3471</v>
      </c>
      <c r="G105" s="93" t="s">
        <v>3296</v>
      </c>
      <c r="H105" s="95" t="s">
        <v>3707</v>
      </c>
      <c r="I105" s="93" t="s">
        <v>1967</v>
      </c>
      <c r="J105" s="93" t="s">
        <v>3708</v>
      </c>
      <c r="K105" s="42" t="s">
        <v>37</v>
      </c>
    </row>
    <row r="106" ht="22.5" customHeight="1">
      <c r="A106" s="91">
        <v>104.0</v>
      </c>
      <c r="B106" s="92" t="s">
        <v>3473</v>
      </c>
      <c r="C106" s="93" t="s">
        <v>3474</v>
      </c>
      <c r="D106" s="94">
        <f>+918142403272</f>
        <v>918142403272</v>
      </c>
      <c r="E106" s="93" t="s">
        <v>205</v>
      </c>
      <c r="F106" s="93" t="s">
        <v>3475</v>
      </c>
      <c r="G106" s="93" t="s">
        <v>3296</v>
      </c>
      <c r="H106" s="95" t="s">
        <v>3709</v>
      </c>
      <c r="I106" s="93" t="s">
        <v>1731</v>
      </c>
      <c r="J106" s="93" t="s">
        <v>86</v>
      </c>
      <c r="K106" s="42" t="s">
        <v>37</v>
      </c>
    </row>
    <row r="107" ht="22.5" customHeight="1">
      <c r="A107" s="91">
        <v>105.0</v>
      </c>
      <c r="B107" s="92" t="s">
        <v>3710</v>
      </c>
      <c r="C107" s="93" t="s">
        <v>3711</v>
      </c>
      <c r="D107" s="93" t="s">
        <v>3712</v>
      </c>
      <c r="E107" s="93" t="s">
        <v>3713</v>
      </c>
      <c r="F107" s="93" t="s">
        <v>3714</v>
      </c>
      <c r="G107" s="93" t="s">
        <v>3296</v>
      </c>
      <c r="H107" s="95" t="s">
        <v>3715</v>
      </c>
      <c r="I107" s="93" t="s">
        <v>1731</v>
      </c>
      <c r="J107" s="93" t="s">
        <v>3716</v>
      </c>
      <c r="K107" s="42" t="s">
        <v>37</v>
      </c>
    </row>
    <row r="108" ht="22.5" customHeight="1">
      <c r="A108" s="91">
        <v>106.0</v>
      </c>
      <c r="B108" s="92" t="s">
        <v>3717</v>
      </c>
      <c r="C108" s="93" t="s">
        <v>3718</v>
      </c>
      <c r="D108" s="94">
        <f>+918210510402</f>
        <v>918210510402</v>
      </c>
      <c r="E108" s="93" t="s">
        <v>1085</v>
      </c>
      <c r="F108" s="93" t="s">
        <v>3719</v>
      </c>
      <c r="G108" s="93" t="s">
        <v>3296</v>
      </c>
      <c r="H108" s="95" t="s">
        <v>3720</v>
      </c>
      <c r="I108" s="93" t="s">
        <v>176</v>
      </c>
      <c r="J108" s="93" t="s">
        <v>3302</v>
      </c>
      <c r="K108" s="42" t="s">
        <v>37</v>
      </c>
    </row>
    <row r="109" ht="22.5" customHeight="1">
      <c r="A109" s="91">
        <v>107.0</v>
      </c>
      <c r="B109" s="92" t="s">
        <v>3721</v>
      </c>
      <c r="C109" s="93" t="s">
        <v>3722</v>
      </c>
      <c r="D109" s="94">
        <f>+919934161083</f>
        <v>919934161083</v>
      </c>
      <c r="E109" s="93" t="s">
        <v>145</v>
      </c>
      <c r="F109" s="93" t="s">
        <v>3723</v>
      </c>
      <c r="G109" s="93" t="s">
        <v>3296</v>
      </c>
      <c r="H109" s="95" t="s">
        <v>3724</v>
      </c>
      <c r="I109" s="93" t="s">
        <v>1967</v>
      </c>
      <c r="J109" s="93" t="s">
        <v>3725</v>
      </c>
      <c r="K109" s="42" t="s">
        <v>37</v>
      </c>
    </row>
    <row r="110" ht="22.5" customHeight="1">
      <c r="A110" s="91">
        <v>108.0</v>
      </c>
      <c r="B110" s="97"/>
      <c r="C110" s="98"/>
      <c r="D110" s="98"/>
      <c r="E110" s="99"/>
      <c r="F110" s="99"/>
      <c r="G110" s="93" t="s">
        <v>3296</v>
      </c>
      <c r="H110" s="95" t="s">
        <v>3726</v>
      </c>
      <c r="I110" s="93" t="s">
        <v>1967</v>
      </c>
      <c r="J110" s="93" t="s">
        <v>3727</v>
      </c>
      <c r="K110" s="42" t="s">
        <v>37</v>
      </c>
    </row>
    <row r="111" ht="22.5" customHeight="1">
      <c r="A111" s="91">
        <v>109.0</v>
      </c>
      <c r="B111" s="92" t="s">
        <v>3728</v>
      </c>
      <c r="C111" s="93" t="s">
        <v>3729</v>
      </c>
      <c r="D111" s="94">
        <f>+918207080205</f>
        <v>918207080205</v>
      </c>
      <c r="E111" s="93" t="s">
        <v>211</v>
      </c>
      <c r="F111" s="93" t="s">
        <v>3730</v>
      </c>
      <c r="G111" s="93" t="s">
        <v>3296</v>
      </c>
      <c r="H111" s="95" t="s">
        <v>3731</v>
      </c>
      <c r="I111" s="93" t="s">
        <v>176</v>
      </c>
      <c r="J111" s="93" t="s">
        <v>3302</v>
      </c>
      <c r="K111" s="42" t="s">
        <v>37</v>
      </c>
    </row>
    <row r="112" ht="22.5" customHeight="1">
      <c r="A112" s="91">
        <v>110.0</v>
      </c>
      <c r="B112" s="92" t="s">
        <v>3732</v>
      </c>
      <c r="C112" s="93" t="s">
        <v>3733</v>
      </c>
      <c r="D112" s="94">
        <f>+919575009815</f>
        <v>919575009815</v>
      </c>
      <c r="E112" s="93" t="s">
        <v>993</v>
      </c>
      <c r="F112" s="93" t="s">
        <v>3734</v>
      </c>
      <c r="G112" s="93" t="s">
        <v>3296</v>
      </c>
      <c r="H112" s="95" t="s">
        <v>3735</v>
      </c>
      <c r="I112" s="93" t="s">
        <v>1731</v>
      </c>
      <c r="J112" s="93" t="s">
        <v>1731</v>
      </c>
      <c r="K112" s="42" t="s">
        <v>37</v>
      </c>
    </row>
    <row r="113" ht="22.5" customHeight="1">
      <c r="A113" s="91">
        <v>111.0</v>
      </c>
      <c r="B113" s="92" t="s">
        <v>3736</v>
      </c>
      <c r="C113" s="93" t="s">
        <v>3737</v>
      </c>
      <c r="D113" s="94">
        <f>+917584867329</f>
        <v>917584867329</v>
      </c>
      <c r="E113" s="93" t="s">
        <v>211</v>
      </c>
      <c r="F113" s="93" t="s">
        <v>3738</v>
      </c>
      <c r="G113" s="93" t="s">
        <v>3296</v>
      </c>
      <c r="H113" s="95" t="s">
        <v>3739</v>
      </c>
      <c r="I113" s="93" t="s">
        <v>176</v>
      </c>
      <c r="J113" s="93" t="s">
        <v>3302</v>
      </c>
      <c r="K113" s="42" t="s">
        <v>37</v>
      </c>
    </row>
    <row r="114" ht="22.5" customHeight="1">
      <c r="A114" s="91">
        <v>112.0</v>
      </c>
      <c r="B114" s="92" t="s">
        <v>3740</v>
      </c>
      <c r="C114" s="93" t="s">
        <v>3741</v>
      </c>
      <c r="D114" s="93">
        <v>9.60712208E9</v>
      </c>
      <c r="E114" s="93" t="s">
        <v>370</v>
      </c>
      <c r="F114" s="93" t="s">
        <v>370</v>
      </c>
      <c r="G114" s="93" t="s">
        <v>3296</v>
      </c>
      <c r="H114" s="95" t="s">
        <v>3742</v>
      </c>
      <c r="I114" s="93" t="s">
        <v>1967</v>
      </c>
      <c r="J114" s="93" t="s">
        <v>3743</v>
      </c>
      <c r="K114" s="42" t="s">
        <v>37</v>
      </c>
    </row>
    <row r="115" ht="22.5" customHeight="1">
      <c r="A115" s="91">
        <v>113.0</v>
      </c>
      <c r="B115" s="92" t="s">
        <v>3744</v>
      </c>
      <c r="C115" s="93" t="s">
        <v>3745</v>
      </c>
      <c r="D115" s="94">
        <f>+919938817795</f>
        <v>919938817795</v>
      </c>
      <c r="E115" s="93" t="s">
        <v>11</v>
      </c>
      <c r="F115" s="93" t="s">
        <v>3427</v>
      </c>
      <c r="G115" s="93" t="s">
        <v>3296</v>
      </c>
      <c r="H115" s="95" t="s">
        <v>3746</v>
      </c>
      <c r="I115" s="93" t="s">
        <v>1731</v>
      </c>
      <c r="J115" s="93" t="s">
        <v>3747</v>
      </c>
      <c r="K115" s="42" t="s">
        <v>37</v>
      </c>
    </row>
    <row r="116" ht="22.5" customHeight="1">
      <c r="A116" s="91">
        <v>115.0</v>
      </c>
      <c r="B116" s="92" t="s">
        <v>3748</v>
      </c>
      <c r="C116" s="93" t="s">
        <v>3749</v>
      </c>
      <c r="D116" s="94">
        <f>+917224905811</f>
        <v>917224905811</v>
      </c>
      <c r="E116" s="93" t="s">
        <v>993</v>
      </c>
      <c r="F116" s="93" t="s">
        <v>3750</v>
      </c>
      <c r="G116" s="93" t="s">
        <v>3296</v>
      </c>
      <c r="H116" s="95" t="s">
        <v>3751</v>
      </c>
      <c r="I116" s="93" t="s">
        <v>176</v>
      </c>
      <c r="J116" s="93" t="s">
        <v>3752</v>
      </c>
      <c r="K116" s="42" t="s">
        <v>37</v>
      </c>
    </row>
    <row r="117" ht="22.5" customHeight="1">
      <c r="A117" s="91">
        <v>116.0</v>
      </c>
      <c r="B117" s="92" t="s">
        <v>3753</v>
      </c>
      <c r="C117" s="93" t="s">
        <v>3754</v>
      </c>
      <c r="D117" s="94">
        <f>+919908880293</f>
        <v>919908880293</v>
      </c>
      <c r="E117" s="93" t="s">
        <v>205</v>
      </c>
      <c r="F117" s="93" t="s">
        <v>3755</v>
      </c>
      <c r="G117" s="93" t="s">
        <v>3296</v>
      </c>
      <c r="H117" s="95" t="s">
        <v>3756</v>
      </c>
      <c r="I117" s="93" t="s">
        <v>1967</v>
      </c>
      <c r="J117" s="93" t="s">
        <v>3757</v>
      </c>
      <c r="K117" s="42" t="s">
        <v>37</v>
      </c>
    </row>
    <row r="118" ht="22.5" customHeight="1">
      <c r="A118" s="91">
        <v>117.0</v>
      </c>
      <c r="B118" s="92" t="s">
        <v>3758</v>
      </c>
      <c r="C118" s="93" t="s">
        <v>3759</v>
      </c>
      <c r="D118" s="94">
        <f>+919701377667</f>
        <v>919701377667</v>
      </c>
      <c r="E118" s="93" t="s">
        <v>393</v>
      </c>
      <c r="F118" s="93" t="s">
        <v>3760</v>
      </c>
      <c r="G118" s="93" t="s">
        <v>3296</v>
      </c>
      <c r="H118" s="95" t="s">
        <v>3761</v>
      </c>
      <c r="I118" s="93" t="s">
        <v>176</v>
      </c>
      <c r="J118" s="93" t="s">
        <v>3752</v>
      </c>
      <c r="K118" s="42" t="s">
        <v>37</v>
      </c>
    </row>
    <row r="119" ht="22.5" customHeight="1">
      <c r="A119" s="91">
        <v>118.0</v>
      </c>
      <c r="B119" s="92" t="s">
        <v>3762</v>
      </c>
      <c r="C119" s="93" t="s">
        <v>3763</v>
      </c>
      <c r="D119" s="94">
        <f>+919335346907</f>
        <v>919335346907</v>
      </c>
      <c r="E119" s="93" t="s">
        <v>344</v>
      </c>
      <c r="F119" s="93" t="s">
        <v>3764</v>
      </c>
      <c r="G119" s="93" t="s">
        <v>3296</v>
      </c>
      <c r="H119" s="95" t="s">
        <v>3765</v>
      </c>
      <c r="I119" s="93" t="s">
        <v>1731</v>
      </c>
      <c r="J119" s="93" t="s">
        <v>86</v>
      </c>
      <c r="K119" s="42" t="s">
        <v>37</v>
      </c>
    </row>
    <row r="120" ht="22.5" customHeight="1">
      <c r="A120" s="91">
        <v>119.0</v>
      </c>
      <c r="B120" s="92" t="s">
        <v>3766</v>
      </c>
      <c r="C120" s="93" t="s">
        <v>3767</v>
      </c>
      <c r="D120" s="94">
        <f>+918121038194</f>
        <v>918121038194</v>
      </c>
      <c r="E120" s="93" t="s">
        <v>3768</v>
      </c>
      <c r="F120" s="93" t="s">
        <v>206</v>
      </c>
      <c r="G120" s="93" t="s">
        <v>3296</v>
      </c>
      <c r="H120" s="95" t="s">
        <v>3769</v>
      </c>
      <c r="I120" s="93" t="s">
        <v>176</v>
      </c>
      <c r="J120" s="93" t="s">
        <v>3302</v>
      </c>
      <c r="K120" s="42" t="s">
        <v>37</v>
      </c>
    </row>
    <row r="121" ht="22.5" customHeight="1">
      <c r="A121" s="91">
        <v>120.0</v>
      </c>
      <c r="B121" s="92" t="s">
        <v>142</v>
      </c>
      <c r="C121" s="93" t="s">
        <v>3770</v>
      </c>
      <c r="D121" s="94">
        <f>+919177865125</f>
        <v>919177865125</v>
      </c>
      <c r="E121" s="93" t="s">
        <v>3771</v>
      </c>
      <c r="F121" s="93" t="s">
        <v>3772</v>
      </c>
      <c r="G121" s="93" t="s">
        <v>3296</v>
      </c>
      <c r="H121" s="95" t="s">
        <v>3773</v>
      </c>
      <c r="I121" s="93" t="s">
        <v>1731</v>
      </c>
      <c r="J121" s="93" t="s">
        <v>86</v>
      </c>
      <c r="K121" s="42" t="s">
        <v>37</v>
      </c>
    </row>
    <row r="122" ht="22.5" customHeight="1">
      <c r="A122" s="91">
        <v>121.0</v>
      </c>
      <c r="B122" s="92" t="s">
        <v>3774</v>
      </c>
      <c r="C122" s="93" t="s">
        <v>3775</v>
      </c>
      <c r="D122" s="94">
        <f>+919714782413</f>
        <v>919714782413</v>
      </c>
      <c r="E122" s="93" t="s">
        <v>510</v>
      </c>
      <c r="F122" s="93" t="s">
        <v>3776</v>
      </c>
      <c r="G122" s="93" t="s">
        <v>3296</v>
      </c>
      <c r="H122" s="95" t="s">
        <v>3777</v>
      </c>
      <c r="I122" s="93" t="s">
        <v>1731</v>
      </c>
      <c r="J122" s="93" t="s">
        <v>3778</v>
      </c>
      <c r="K122" s="42" t="s">
        <v>37</v>
      </c>
    </row>
    <row r="123" ht="22.5" customHeight="1">
      <c r="A123" s="91">
        <v>122.0</v>
      </c>
      <c r="B123" s="92" t="s">
        <v>3779</v>
      </c>
      <c r="C123" s="93" t="s">
        <v>3780</v>
      </c>
      <c r="D123" s="94">
        <f>+917805804646</f>
        <v>917805804646</v>
      </c>
      <c r="E123" s="93" t="s">
        <v>3319</v>
      </c>
      <c r="F123" s="93" t="s">
        <v>3357</v>
      </c>
      <c r="G123" s="93" t="s">
        <v>3296</v>
      </c>
      <c r="H123" s="95" t="s">
        <v>3781</v>
      </c>
      <c r="I123" s="93" t="s">
        <v>1731</v>
      </c>
      <c r="J123" s="93" t="s">
        <v>1731</v>
      </c>
      <c r="K123" s="42" t="s">
        <v>37</v>
      </c>
    </row>
    <row r="124" ht="22.5" customHeight="1">
      <c r="A124" s="91">
        <v>123.0</v>
      </c>
      <c r="B124" s="92" t="s">
        <v>3782</v>
      </c>
      <c r="C124" s="93" t="s">
        <v>3783</v>
      </c>
      <c r="D124" s="94">
        <f>+919675147964</f>
        <v>919675147964</v>
      </c>
      <c r="E124" s="93" t="s">
        <v>344</v>
      </c>
      <c r="F124" s="93" t="s">
        <v>3784</v>
      </c>
      <c r="G124" s="93" t="s">
        <v>3296</v>
      </c>
      <c r="H124" s="95" t="s">
        <v>3785</v>
      </c>
      <c r="I124" s="93" t="s">
        <v>176</v>
      </c>
      <c r="J124" s="93" t="s">
        <v>3752</v>
      </c>
      <c r="K124" s="42" t="s">
        <v>37</v>
      </c>
    </row>
    <row r="125" ht="22.5" customHeight="1">
      <c r="A125" s="91">
        <v>124.0</v>
      </c>
      <c r="B125" s="92" t="s">
        <v>3786</v>
      </c>
      <c r="C125" s="93" t="s">
        <v>3787</v>
      </c>
      <c r="D125" s="94">
        <f>+919350597277</f>
        <v>919350597277</v>
      </c>
      <c r="E125" s="93" t="s">
        <v>3788</v>
      </c>
      <c r="F125" s="93" t="s">
        <v>3789</v>
      </c>
      <c r="G125" s="93" t="s">
        <v>3296</v>
      </c>
      <c r="H125" s="95" t="s">
        <v>3790</v>
      </c>
      <c r="I125" s="93" t="s">
        <v>1731</v>
      </c>
      <c r="J125" s="93" t="s">
        <v>3791</v>
      </c>
      <c r="K125" s="42" t="s">
        <v>37</v>
      </c>
    </row>
    <row r="126" ht="22.5" customHeight="1">
      <c r="A126" s="91">
        <v>125.0</v>
      </c>
      <c r="B126" s="92" t="s">
        <v>3792</v>
      </c>
      <c r="C126" s="93" t="s">
        <v>3793</v>
      </c>
      <c r="D126" s="94">
        <f>+917760737914</f>
        <v>917760737914</v>
      </c>
      <c r="E126" s="93">
        <v>7.760737914E9</v>
      </c>
      <c r="F126" s="93" t="s">
        <v>3794</v>
      </c>
      <c r="G126" s="93" t="s">
        <v>3296</v>
      </c>
      <c r="H126" s="95" t="s">
        <v>3795</v>
      </c>
      <c r="I126" s="93" t="s">
        <v>1731</v>
      </c>
      <c r="J126" s="93" t="s">
        <v>1731</v>
      </c>
      <c r="K126" s="42" t="s">
        <v>37</v>
      </c>
    </row>
    <row r="127" ht="22.5" customHeight="1">
      <c r="A127" s="91">
        <v>126.0</v>
      </c>
      <c r="B127" s="92" t="s">
        <v>3796</v>
      </c>
      <c r="C127" s="93" t="s">
        <v>3797</v>
      </c>
      <c r="D127" s="94">
        <f>+916264434305</f>
        <v>916264434305</v>
      </c>
      <c r="E127" s="93" t="s">
        <v>3399</v>
      </c>
      <c r="F127" s="93" t="s">
        <v>3399</v>
      </c>
      <c r="G127" s="93" t="s">
        <v>3296</v>
      </c>
      <c r="H127" s="95" t="s">
        <v>3798</v>
      </c>
      <c r="I127" s="93" t="s">
        <v>1731</v>
      </c>
      <c r="J127" s="93" t="s">
        <v>3716</v>
      </c>
      <c r="K127" s="42" t="s">
        <v>37</v>
      </c>
    </row>
    <row r="128" ht="22.5" customHeight="1">
      <c r="A128" s="91">
        <v>127.0</v>
      </c>
      <c r="B128" s="92" t="s">
        <v>3799</v>
      </c>
      <c r="C128" s="93" t="s">
        <v>3800</v>
      </c>
      <c r="D128" s="93">
        <v>9.031708185E9</v>
      </c>
      <c r="E128" s="93" t="s">
        <v>229</v>
      </c>
      <c r="F128" s="93" t="s">
        <v>3801</v>
      </c>
      <c r="G128" s="93" t="s">
        <v>3296</v>
      </c>
      <c r="H128" s="95" t="s">
        <v>3802</v>
      </c>
      <c r="I128" s="93" t="s">
        <v>176</v>
      </c>
      <c r="J128" s="93" t="s">
        <v>3752</v>
      </c>
      <c r="K128" s="42" t="s">
        <v>37</v>
      </c>
    </row>
    <row r="129" ht="22.5" customHeight="1">
      <c r="A129" s="91">
        <v>128.0</v>
      </c>
      <c r="B129" s="92" t="s">
        <v>3803</v>
      </c>
      <c r="C129" s="98"/>
      <c r="D129" s="98"/>
      <c r="E129" s="93" t="s">
        <v>205</v>
      </c>
      <c r="F129" s="93" t="s">
        <v>3573</v>
      </c>
      <c r="G129" s="93" t="s">
        <v>3296</v>
      </c>
      <c r="H129" s="95" t="s">
        <v>3804</v>
      </c>
      <c r="I129" s="93" t="s">
        <v>1967</v>
      </c>
      <c r="J129" s="93" t="s">
        <v>3805</v>
      </c>
      <c r="K129" s="42" t="s">
        <v>37</v>
      </c>
    </row>
    <row r="130" ht="22.5" customHeight="1">
      <c r="A130" s="91">
        <v>129.0</v>
      </c>
      <c r="B130" s="92" t="s">
        <v>3806</v>
      </c>
      <c r="C130" s="93" t="s">
        <v>3807</v>
      </c>
      <c r="D130" s="94">
        <f>+917569674990</f>
        <v>917569674990</v>
      </c>
      <c r="E130" s="93" t="s">
        <v>205</v>
      </c>
      <c r="F130" s="93" t="s">
        <v>3808</v>
      </c>
      <c r="G130" s="93" t="s">
        <v>3296</v>
      </c>
      <c r="H130" s="95" t="s">
        <v>3809</v>
      </c>
      <c r="I130" s="93" t="s">
        <v>176</v>
      </c>
      <c r="J130" s="93" t="s">
        <v>3302</v>
      </c>
      <c r="K130" s="42" t="s">
        <v>37</v>
      </c>
    </row>
    <row r="131" ht="22.5" customHeight="1">
      <c r="A131" s="91">
        <v>130.0</v>
      </c>
      <c r="B131" s="92" t="s">
        <v>3810</v>
      </c>
      <c r="C131" s="93" t="s">
        <v>3811</v>
      </c>
      <c r="D131" s="94">
        <f>+919515019367</f>
        <v>919515019367</v>
      </c>
      <c r="E131" s="93" t="s">
        <v>205</v>
      </c>
      <c r="F131" s="93" t="s">
        <v>3812</v>
      </c>
      <c r="G131" s="93" t="s">
        <v>3296</v>
      </c>
      <c r="H131" s="95" t="s">
        <v>3813</v>
      </c>
      <c r="I131" s="93" t="s">
        <v>1731</v>
      </c>
      <c r="J131" s="93" t="s">
        <v>1731</v>
      </c>
      <c r="K131" s="42" t="s">
        <v>37</v>
      </c>
    </row>
    <row r="132" ht="22.5" customHeight="1">
      <c r="A132" s="91">
        <v>131.0</v>
      </c>
      <c r="B132" s="92" t="s">
        <v>3511</v>
      </c>
      <c r="C132" s="93" t="s">
        <v>3512</v>
      </c>
      <c r="D132" s="94">
        <f>+919572726364</f>
        <v>919572726364</v>
      </c>
      <c r="E132" s="93" t="s">
        <v>229</v>
      </c>
      <c r="F132" s="93" t="s">
        <v>90</v>
      </c>
      <c r="G132" s="93" t="s">
        <v>3296</v>
      </c>
      <c r="H132" s="95" t="s">
        <v>3814</v>
      </c>
      <c r="I132" s="93" t="s">
        <v>176</v>
      </c>
      <c r="J132" s="93" t="s">
        <v>3302</v>
      </c>
      <c r="K132" s="42" t="s">
        <v>37</v>
      </c>
    </row>
    <row r="133" ht="22.5" customHeight="1">
      <c r="A133" s="91">
        <v>133.0</v>
      </c>
      <c r="B133" s="92" t="s">
        <v>3815</v>
      </c>
      <c r="C133" s="93" t="s">
        <v>3816</v>
      </c>
      <c r="D133" s="94">
        <f>+918250410462</f>
        <v>918250410462</v>
      </c>
      <c r="E133" s="93" t="s">
        <v>211</v>
      </c>
      <c r="F133" s="93" t="s">
        <v>3817</v>
      </c>
      <c r="G133" s="93" t="s">
        <v>3296</v>
      </c>
      <c r="H133" s="95" t="s">
        <v>3818</v>
      </c>
      <c r="I133" s="93" t="s">
        <v>176</v>
      </c>
      <c r="J133" s="93" t="s">
        <v>3510</v>
      </c>
      <c r="K133" s="42" t="s">
        <v>37</v>
      </c>
    </row>
    <row r="134" ht="22.5" customHeight="1">
      <c r="A134" s="91">
        <v>134.0</v>
      </c>
      <c r="B134" s="92" t="s">
        <v>3819</v>
      </c>
      <c r="C134" s="93" t="s">
        <v>3820</v>
      </c>
      <c r="D134" s="94">
        <f>+918056572845</f>
        <v>918056572845</v>
      </c>
      <c r="E134" s="93" t="s">
        <v>453</v>
      </c>
      <c r="F134" s="93" t="s">
        <v>3821</v>
      </c>
      <c r="G134" s="93" t="s">
        <v>3296</v>
      </c>
      <c r="H134" s="95" t="s">
        <v>3822</v>
      </c>
      <c r="I134" s="93" t="s">
        <v>3306</v>
      </c>
      <c r="J134" s="93" t="s">
        <v>3823</v>
      </c>
      <c r="K134" s="42" t="s">
        <v>37</v>
      </c>
    </row>
    <row r="135" ht="22.5" customHeight="1">
      <c r="A135" s="91">
        <v>135.0</v>
      </c>
      <c r="B135" s="92" t="s">
        <v>3824</v>
      </c>
      <c r="C135" s="93" t="s">
        <v>3825</v>
      </c>
      <c r="D135" s="94">
        <f>+919390471984</f>
        <v>919390471984</v>
      </c>
      <c r="E135" s="93" t="s">
        <v>534</v>
      </c>
      <c r="F135" s="93" t="s">
        <v>3826</v>
      </c>
      <c r="G135" s="93" t="s">
        <v>3296</v>
      </c>
      <c r="H135" s="95" t="s">
        <v>3827</v>
      </c>
      <c r="I135" s="93" t="s">
        <v>3306</v>
      </c>
      <c r="J135" s="93" t="s">
        <v>3823</v>
      </c>
      <c r="K135" s="42" t="s">
        <v>37</v>
      </c>
    </row>
    <row r="136" ht="22.5" customHeight="1">
      <c r="A136" s="91">
        <v>136.0</v>
      </c>
      <c r="B136" s="92" t="s">
        <v>3828</v>
      </c>
      <c r="C136" s="93" t="s">
        <v>3829</v>
      </c>
      <c r="D136" s="94">
        <f>+919010039441</f>
        <v>919010039441</v>
      </c>
      <c r="E136" s="93" t="s">
        <v>205</v>
      </c>
      <c r="F136" s="93" t="s">
        <v>3830</v>
      </c>
      <c r="G136" s="93" t="s">
        <v>3296</v>
      </c>
      <c r="H136" s="95" t="s">
        <v>3831</v>
      </c>
      <c r="I136" s="93" t="s">
        <v>3832</v>
      </c>
      <c r="J136" s="93" t="s">
        <v>3833</v>
      </c>
      <c r="K136" s="42" t="s">
        <v>37</v>
      </c>
    </row>
    <row r="137" ht="22.5" customHeight="1">
      <c r="A137" s="91">
        <v>137.0</v>
      </c>
      <c r="B137" s="92" t="s">
        <v>3834</v>
      </c>
      <c r="C137" s="93" t="s">
        <v>3835</v>
      </c>
      <c r="D137" s="94">
        <f>+919997153436</f>
        <v>919997153436</v>
      </c>
      <c r="E137" s="93" t="s">
        <v>1136</v>
      </c>
      <c r="F137" s="93" t="s">
        <v>3836</v>
      </c>
      <c r="G137" s="93" t="s">
        <v>3296</v>
      </c>
      <c r="H137" s="95" t="s">
        <v>3837</v>
      </c>
      <c r="I137" s="93" t="s">
        <v>3306</v>
      </c>
      <c r="J137" s="93" t="s">
        <v>3823</v>
      </c>
      <c r="K137" s="42" t="s">
        <v>37</v>
      </c>
    </row>
    <row r="138" ht="22.5" customHeight="1">
      <c r="A138" s="91">
        <v>138.0</v>
      </c>
      <c r="B138" s="92" t="s">
        <v>3838</v>
      </c>
      <c r="C138" s="93" t="s">
        <v>3839</v>
      </c>
      <c r="D138" s="94">
        <f>+919850372151</f>
        <v>919850372151</v>
      </c>
      <c r="E138" s="93" t="s">
        <v>369</v>
      </c>
      <c r="F138" s="93" t="s">
        <v>3840</v>
      </c>
      <c r="G138" s="93" t="s">
        <v>3296</v>
      </c>
      <c r="H138" s="95" t="s">
        <v>3841</v>
      </c>
      <c r="I138" s="93" t="s">
        <v>3306</v>
      </c>
      <c r="J138" s="93" t="s">
        <v>3823</v>
      </c>
      <c r="K138" s="42" t="s">
        <v>37</v>
      </c>
    </row>
    <row r="139" ht="22.5" customHeight="1">
      <c r="A139" s="91">
        <v>139.0</v>
      </c>
      <c r="B139" s="92" t="s">
        <v>3842</v>
      </c>
      <c r="C139" s="93" t="s">
        <v>3843</v>
      </c>
      <c r="D139" s="94">
        <f>+919290661234</f>
        <v>919290661234</v>
      </c>
      <c r="E139" s="93" t="s">
        <v>3844</v>
      </c>
      <c r="F139" s="93" t="s">
        <v>3845</v>
      </c>
      <c r="G139" s="93" t="s">
        <v>3296</v>
      </c>
      <c r="H139" s="95" t="s">
        <v>3846</v>
      </c>
      <c r="I139" s="93" t="s">
        <v>3306</v>
      </c>
      <c r="J139" s="93" t="s">
        <v>3823</v>
      </c>
      <c r="K139" s="42" t="s">
        <v>37</v>
      </c>
    </row>
    <row r="140" ht="22.5" customHeight="1">
      <c r="A140" s="91">
        <v>140.0</v>
      </c>
      <c r="B140" s="92" t="s">
        <v>3847</v>
      </c>
      <c r="C140" s="93" t="s">
        <v>3848</v>
      </c>
      <c r="D140" s="94">
        <f>+918317632342</f>
        <v>918317632342</v>
      </c>
      <c r="E140" s="93" t="s">
        <v>534</v>
      </c>
      <c r="F140" s="93" t="s">
        <v>3849</v>
      </c>
      <c r="G140" s="93" t="s">
        <v>3296</v>
      </c>
      <c r="H140" s="95" t="s">
        <v>3850</v>
      </c>
      <c r="I140" s="93" t="s">
        <v>3306</v>
      </c>
      <c r="J140" s="93" t="s">
        <v>3823</v>
      </c>
      <c r="K140" s="42" t="s">
        <v>37</v>
      </c>
    </row>
    <row r="141" ht="22.5" customHeight="1">
      <c r="A141" s="91">
        <v>141.0</v>
      </c>
      <c r="B141" s="92" t="s">
        <v>3851</v>
      </c>
      <c r="C141" s="93" t="s">
        <v>3852</v>
      </c>
      <c r="D141" s="94">
        <f>+919819073358</f>
        <v>919819073358</v>
      </c>
      <c r="E141" s="93" t="s">
        <v>398</v>
      </c>
      <c r="F141" s="93" t="s">
        <v>3853</v>
      </c>
      <c r="G141" s="93" t="s">
        <v>3296</v>
      </c>
      <c r="H141" s="95" t="s">
        <v>3854</v>
      </c>
      <c r="I141" s="93" t="s">
        <v>3306</v>
      </c>
      <c r="J141" s="93" t="s">
        <v>3855</v>
      </c>
      <c r="K141" s="42" t="s">
        <v>37</v>
      </c>
    </row>
    <row r="142" ht="22.5" customHeight="1">
      <c r="A142" s="91">
        <v>142.0</v>
      </c>
      <c r="B142" s="92" t="s">
        <v>3856</v>
      </c>
      <c r="C142" s="93" t="s">
        <v>3857</v>
      </c>
      <c r="D142" s="94">
        <f>+918788463822</f>
        <v>918788463822</v>
      </c>
      <c r="E142" s="93" t="s">
        <v>369</v>
      </c>
      <c r="F142" s="93" t="s">
        <v>3858</v>
      </c>
      <c r="G142" s="93" t="s">
        <v>3296</v>
      </c>
      <c r="H142" s="95" t="s">
        <v>3859</v>
      </c>
      <c r="I142" s="93" t="s">
        <v>1731</v>
      </c>
      <c r="J142" s="93" t="s">
        <v>1731</v>
      </c>
      <c r="K142" s="42" t="s">
        <v>37</v>
      </c>
    </row>
    <row r="143" ht="22.5" customHeight="1">
      <c r="A143" s="91">
        <v>143.0</v>
      </c>
      <c r="B143" s="92" t="s">
        <v>3860</v>
      </c>
      <c r="C143" s="93" t="s">
        <v>3861</v>
      </c>
      <c r="D143" s="94">
        <f>+919767731139</f>
        <v>919767731139</v>
      </c>
      <c r="E143" s="93" t="s">
        <v>11</v>
      </c>
      <c r="F143" s="93" t="s">
        <v>3862</v>
      </c>
      <c r="G143" s="93" t="s">
        <v>3296</v>
      </c>
      <c r="H143" s="95" t="s">
        <v>3863</v>
      </c>
      <c r="I143" s="93" t="s">
        <v>1731</v>
      </c>
      <c r="J143" s="93" t="s">
        <v>1731</v>
      </c>
      <c r="K143" s="42" t="s">
        <v>37</v>
      </c>
    </row>
    <row r="144" ht="22.5" customHeight="1">
      <c r="A144" s="91">
        <v>144.0</v>
      </c>
      <c r="B144" s="92" t="s">
        <v>3864</v>
      </c>
      <c r="C144" s="93" t="s">
        <v>3865</v>
      </c>
      <c r="D144" s="94">
        <f>+16363985588</f>
        <v>16363985588</v>
      </c>
      <c r="E144" s="93" t="s">
        <v>398</v>
      </c>
      <c r="F144" s="93" t="s">
        <v>3866</v>
      </c>
      <c r="G144" s="93" t="s">
        <v>3296</v>
      </c>
      <c r="H144" s="95" t="s">
        <v>3867</v>
      </c>
      <c r="I144" s="93" t="s">
        <v>3306</v>
      </c>
      <c r="J144" s="93" t="s">
        <v>3823</v>
      </c>
      <c r="K144" s="42" t="s">
        <v>37</v>
      </c>
    </row>
    <row r="145" ht="22.5" customHeight="1">
      <c r="A145" s="91">
        <v>145.0</v>
      </c>
      <c r="B145" s="92" t="s">
        <v>3868</v>
      </c>
      <c r="C145" s="93" t="s">
        <v>3869</v>
      </c>
      <c r="D145" s="93">
        <v>9.629744814E9</v>
      </c>
      <c r="E145" s="93" t="s">
        <v>453</v>
      </c>
      <c r="F145" s="93" t="s">
        <v>3870</v>
      </c>
      <c r="G145" s="93" t="s">
        <v>3296</v>
      </c>
      <c r="H145" s="95" t="s">
        <v>3871</v>
      </c>
      <c r="I145" s="93" t="s">
        <v>1729</v>
      </c>
      <c r="J145" s="93" t="s">
        <v>1729</v>
      </c>
      <c r="K145" s="42" t="s">
        <v>37</v>
      </c>
    </row>
    <row r="146" ht="22.5" customHeight="1">
      <c r="A146" s="91">
        <v>146.0</v>
      </c>
      <c r="B146" s="92" t="s">
        <v>3872</v>
      </c>
      <c r="C146" s="93" t="s">
        <v>3873</v>
      </c>
      <c r="D146" s="94">
        <f>+917010302990</f>
        <v>917010302990</v>
      </c>
      <c r="E146" s="93" t="s">
        <v>453</v>
      </c>
      <c r="F146" s="93" t="s">
        <v>3874</v>
      </c>
      <c r="G146" s="93" t="s">
        <v>3296</v>
      </c>
      <c r="H146" s="95" t="s">
        <v>3875</v>
      </c>
      <c r="I146" s="93" t="s">
        <v>1729</v>
      </c>
      <c r="J146" s="93" t="s">
        <v>1729</v>
      </c>
      <c r="K146" s="42" t="s">
        <v>37</v>
      </c>
    </row>
    <row r="147" ht="22.5" customHeight="1">
      <c r="A147" s="91">
        <v>147.0</v>
      </c>
      <c r="B147" s="92" t="s">
        <v>3876</v>
      </c>
      <c r="C147" s="93" t="s">
        <v>3877</v>
      </c>
      <c r="D147" s="94">
        <f>+918009995689</f>
        <v>918009995689</v>
      </c>
      <c r="E147" s="93" t="s">
        <v>3878</v>
      </c>
      <c r="F147" s="93" t="s">
        <v>3879</v>
      </c>
      <c r="G147" s="93" t="s">
        <v>3296</v>
      </c>
      <c r="H147" s="95" t="s">
        <v>3880</v>
      </c>
      <c r="I147" s="93" t="s">
        <v>1731</v>
      </c>
      <c r="J147" s="93" t="s">
        <v>3881</v>
      </c>
      <c r="K147" s="42" t="s">
        <v>37</v>
      </c>
    </row>
    <row r="148" ht="22.5" customHeight="1">
      <c r="A148" s="91">
        <v>148.0</v>
      </c>
      <c r="B148" s="92" t="s">
        <v>3882</v>
      </c>
      <c r="C148" s="93" t="s">
        <v>3883</v>
      </c>
      <c r="D148" s="94">
        <f>+919535053643</f>
        <v>919535053643</v>
      </c>
      <c r="E148" s="93" t="s">
        <v>453</v>
      </c>
      <c r="F148" s="93" t="s">
        <v>3870</v>
      </c>
      <c r="G148" s="93" t="s">
        <v>3296</v>
      </c>
      <c r="H148" s="95" t="s">
        <v>3884</v>
      </c>
      <c r="I148" s="93" t="s">
        <v>3752</v>
      </c>
      <c r="J148" s="93" t="s">
        <v>3510</v>
      </c>
      <c r="K148" s="42" t="s">
        <v>37</v>
      </c>
    </row>
    <row r="149" ht="22.5" customHeight="1">
      <c r="A149" s="91">
        <v>149.0</v>
      </c>
      <c r="B149" s="92" t="s">
        <v>3885</v>
      </c>
      <c r="C149" s="93" t="s">
        <v>3886</v>
      </c>
      <c r="D149" s="94">
        <f>+919057415636</f>
        <v>919057415636</v>
      </c>
      <c r="E149" s="93" t="s">
        <v>360</v>
      </c>
      <c r="F149" s="93" t="s">
        <v>3887</v>
      </c>
      <c r="G149" s="93" t="s">
        <v>3296</v>
      </c>
      <c r="H149" s="95" t="s">
        <v>3888</v>
      </c>
      <c r="I149" s="93" t="s">
        <v>1731</v>
      </c>
      <c r="J149" s="93" t="s">
        <v>3889</v>
      </c>
      <c r="K149" s="42" t="s">
        <v>37</v>
      </c>
    </row>
    <row r="150" ht="22.5" customHeight="1">
      <c r="A150" s="91">
        <v>150.0</v>
      </c>
      <c r="B150" s="92" t="s">
        <v>3890</v>
      </c>
      <c r="C150" s="93" t="s">
        <v>3891</v>
      </c>
      <c r="D150" s="94">
        <f>+919948373022</f>
        <v>919948373022</v>
      </c>
      <c r="E150" s="93" t="s">
        <v>3892</v>
      </c>
      <c r="F150" s="93" t="s">
        <v>3329</v>
      </c>
      <c r="G150" s="93" t="s">
        <v>3296</v>
      </c>
      <c r="H150" s="95" t="s">
        <v>3893</v>
      </c>
      <c r="I150" s="93" t="s">
        <v>1729</v>
      </c>
      <c r="J150" s="93" t="s">
        <v>3540</v>
      </c>
      <c r="K150" s="42" t="s">
        <v>37</v>
      </c>
    </row>
    <row r="151" ht="22.5" customHeight="1">
      <c r="A151" s="91">
        <v>151.0</v>
      </c>
      <c r="B151" s="92" t="s">
        <v>3894</v>
      </c>
      <c r="C151" s="93" t="s">
        <v>3895</v>
      </c>
      <c r="D151" s="94">
        <f>+917500176125</f>
        <v>917500176125</v>
      </c>
      <c r="E151" s="93" t="s">
        <v>1128</v>
      </c>
      <c r="F151" s="93" t="s">
        <v>3896</v>
      </c>
      <c r="G151" s="93" t="s">
        <v>3296</v>
      </c>
      <c r="H151" s="95" t="s">
        <v>3897</v>
      </c>
      <c r="I151" s="93" t="s">
        <v>3752</v>
      </c>
      <c r="J151" s="93" t="s">
        <v>3510</v>
      </c>
      <c r="K151" s="42" t="s">
        <v>37</v>
      </c>
    </row>
    <row r="152" ht="22.5" customHeight="1">
      <c r="A152" s="91">
        <v>152.0</v>
      </c>
      <c r="B152" s="92" t="s">
        <v>3898</v>
      </c>
      <c r="C152" s="93" t="s">
        <v>3899</v>
      </c>
      <c r="D152" s="94">
        <f>+917873119035</f>
        <v>917873119035</v>
      </c>
      <c r="E152" s="93" t="s">
        <v>11</v>
      </c>
      <c r="F152" s="93" t="s">
        <v>1028</v>
      </c>
      <c r="G152" s="93" t="s">
        <v>3296</v>
      </c>
      <c r="H152" s="95" t="s">
        <v>3900</v>
      </c>
      <c r="I152" s="93" t="s">
        <v>1731</v>
      </c>
      <c r="J152" s="93" t="s">
        <v>1729</v>
      </c>
      <c r="K152" s="42" t="s">
        <v>37</v>
      </c>
    </row>
    <row r="153" ht="22.5" customHeight="1">
      <c r="A153" s="91">
        <v>153.0</v>
      </c>
      <c r="B153" s="92" t="s">
        <v>3901</v>
      </c>
      <c r="C153" s="93" t="s">
        <v>3902</v>
      </c>
      <c r="D153" s="94">
        <f>+919921369497</f>
        <v>919921369497</v>
      </c>
      <c r="E153" s="93" t="s">
        <v>369</v>
      </c>
      <c r="F153" s="93" t="s">
        <v>3903</v>
      </c>
      <c r="G153" s="93" t="s">
        <v>3296</v>
      </c>
      <c r="H153" s="95" t="s">
        <v>3904</v>
      </c>
      <c r="I153" s="93" t="s">
        <v>3306</v>
      </c>
      <c r="J153" s="93" t="s">
        <v>3823</v>
      </c>
      <c r="K153" s="42" t="s">
        <v>37</v>
      </c>
    </row>
    <row r="154" ht="22.5" customHeight="1">
      <c r="A154" s="91">
        <v>154.0</v>
      </c>
      <c r="B154" s="92" t="s">
        <v>3905</v>
      </c>
      <c r="C154" s="93" t="s">
        <v>3906</v>
      </c>
      <c r="D154" s="94">
        <f>+916281989966</f>
        <v>916281989966</v>
      </c>
      <c r="E154" s="93" t="s">
        <v>3907</v>
      </c>
      <c r="F154" s="93" t="s">
        <v>3908</v>
      </c>
      <c r="G154" s="93" t="s">
        <v>3296</v>
      </c>
      <c r="H154" s="95" t="s">
        <v>3909</v>
      </c>
      <c r="I154" s="93" t="s">
        <v>3752</v>
      </c>
      <c r="J154" s="93" t="s">
        <v>3510</v>
      </c>
      <c r="K154" s="42" t="s">
        <v>37</v>
      </c>
    </row>
    <row r="155" ht="22.5" customHeight="1">
      <c r="A155" s="91">
        <v>155.0</v>
      </c>
      <c r="B155" s="92" t="s">
        <v>3910</v>
      </c>
      <c r="C155" s="93" t="s">
        <v>3911</v>
      </c>
      <c r="D155" s="94">
        <f>+919004911155</f>
        <v>919004911155</v>
      </c>
      <c r="E155" s="93" t="s">
        <v>229</v>
      </c>
      <c r="F155" s="93" t="s">
        <v>3912</v>
      </c>
      <c r="G155" s="93" t="s">
        <v>3296</v>
      </c>
      <c r="H155" s="95" t="s">
        <v>3913</v>
      </c>
      <c r="I155" s="93" t="s">
        <v>1729</v>
      </c>
      <c r="J155" s="93" t="s">
        <v>1729</v>
      </c>
      <c r="K155" s="42" t="s">
        <v>37</v>
      </c>
    </row>
    <row r="156" ht="22.5" customHeight="1">
      <c r="A156" s="91">
        <v>156.0</v>
      </c>
      <c r="B156" s="92" t="s">
        <v>3914</v>
      </c>
      <c r="C156" s="93" t="s">
        <v>3915</v>
      </c>
      <c r="D156" s="94">
        <f>+918179018817</f>
        <v>918179018817</v>
      </c>
      <c r="E156" s="93" t="s">
        <v>3916</v>
      </c>
      <c r="F156" s="93" t="s">
        <v>3917</v>
      </c>
      <c r="G156" s="93" t="s">
        <v>3296</v>
      </c>
      <c r="H156" s="95" t="s">
        <v>3918</v>
      </c>
      <c r="I156" s="93" t="s">
        <v>3306</v>
      </c>
      <c r="J156" s="93" t="s">
        <v>3855</v>
      </c>
      <c r="K156" s="42" t="s">
        <v>37</v>
      </c>
    </row>
    <row r="157" ht="22.5" customHeight="1">
      <c r="A157" s="91">
        <v>157.0</v>
      </c>
      <c r="B157" s="92" t="s">
        <v>3919</v>
      </c>
      <c r="C157" s="93" t="s">
        <v>3920</v>
      </c>
      <c r="D157" s="94">
        <f>+917893866025</f>
        <v>917893866025</v>
      </c>
      <c r="E157" s="93" t="s">
        <v>3921</v>
      </c>
      <c r="F157" s="93" t="s">
        <v>3922</v>
      </c>
      <c r="G157" s="93" t="s">
        <v>3296</v>
      </c>
      <c r="H157" s="95" t="s">
        <v>3923</v>
      </c>
      <c r="I157" s="93" t="s">
        <v>3752</v>
      </c>
      <c r="J157" s="93" t="s">
        <v>3510</v>
      </c>
      <c r="K157" s="42" t="s">
        <v>37</v>
      </c>
    </row>
    <row r="158" ht="22.5" customHeight="1">
      <c r="A158" s="91">
        <v>158.0</v>
      </c>
      <c r="B158" s="92" t="s">
        <v>3924</v>
      </c>
      <c r="C158" s="93" t="s">
        <v>3925</v>
      </c>
      <c r="D158" s="94">
        <f>+918269812080</f>
        <v>918269812080</v>
      </c>
      <c r="E158" s="93" t="s">
        <v>3356</v>
      </c>
      <c r="F158" s="93" t="s">
        <v>3926</v>
      </c>
      <c r="G158" s="93" t="s">
        <v>3296</v>
      </c>
      <c r="H158" s="95" t="s">
        <v>3927</v>
      </c>
      <c r="I158" s="93" t="s">
        <v>1731</v>
      </c>
      <c r="J158" s="93" t="s">
        <v>1731</v>
      </c>
      <c r="K158" s="42" t="s">
        <v>37</v>
      </c>
    </row>
    <row r="159" ht="22.5" customHeight="1">
      <c r="A159" s="91">
        <v>159.0</v>
      </c>
      <c r="B159" s="92" t="s">
        <v>3928</v>
      </c>
      <c r="C159" s="93" t="s">
        <v>3929</v>
      </c>
      <c r="D159" s="94">
        <f>+919912554499</f>
        <v>919912554499</v>
      </c>
      <c r="E159" s="93" t="s">
        <v>205</v>
      </c>
      <c r="F159" s="93" t="s">
        <v>3930</v>
      </c>
      <c r="G159" s="93" t="s">
        <v>3296</v>
      </c>
      <c r="H159" s="95" t="s">
        <v>3931</v>
      </c>
      <c r="I159" s="93" t="s">
        <v>3752</v>
      </c>
      <c r="J159" s="93" t="s">
        <v>3510</v>
      </c>
      <c r="K159" s="42" t="s">
        <v>37</v>
      </c>
    </row>
    <row r="160" ht="22.5" customHeight="1">
      <c r="A160" s="91">
        <v>160.0</v>
      </c>
      <c r="B160" s="92" t="s">
        <v>3932</v>
      </c>
      <c r="C160" s="93" t="s">
        <v>3933</v>
      </c>
      <c r="D160" s="94">
        <f>+918925102566</f>
        <v>918925102566</v>
      </c>
      <c r="E160" s="99"/>
      <c r="F160" s="93" t="s">
        <v>3934</v>
      </c>
      <c r="G160" s="93" t="s">
        <v>3296</v>
      </c>
      <c r="H160" s="95" t="s">
        <v>3935</v>
      </c>
      <c r="I160" s="93" t="s">
        <v>1731</v>
      </c>
      <c r="J160" s="93" t="s">
        <v>1731</v>
      </c>
      <c r="K160" s="42" t="s">
        <v>37</v>
      </c>
    </row>
    <row r="161" ht="22.5" customHeight="1">
      <c r="A161" s="91">
        <v>161.0</v>
      </c>
      <c r="B161" s="92" t="s">
        <v>3936</v>
      </c>
      <c r="C161" s="93" t="s">
        <v>3937</v>
      </c>
      <c r="D161" s="94">
        <f>+917879277945</f>
        <v>917879277945</v>
      </c>
      <c r="E161" s="93" t="s">
        <v>993</v>
      </c>
      <c r="F161" s="93" t="s">
        <v>3938</v>
      </c>
      <c r="G161" s="93" t="s">
        <v>3296</v>
      </c>
      <c r="H161" s="95" t="s">
        <v>3939</v>
      </c>
      <c r="I161" s="93" t="s">
        <v>1729</v>
      </c>
      <c r="J161" s="93" t="s">
        <v>1729</v>
      </c>
      <c r="K161" s="42" t="s">
        <v>37</v>
      </c>
    </row>
    <row r="162" ht="22.5" customHeight="1">
      <c r="A162" s="91">
        <v>162.0</v>
      </c>
      <c r="B162" s="92" t="s">
        <v>3940</v>
      </c>
      <c r="C162" s="93" t="s">
        <v>3941</v>
      </c>
      <c r="D162" s="94">
        <f>+919979373919</f>
        <v>919979373919</v>
      </c>
      <c r="E162" s="99"/>
      <c r="F162" s="93" t="s">
        <v>3942</v>
      </c>
      <c r="G162" s="93" t="s">
        <v>3296</v>
      </c>
      <c r="H162" s="95" t="s">
        <v>3943</v>
      </c>
      <c r="I162" s="93" t="s">
        <v>3752</v>
      </c>
      <c r="J162" s="93" t="s">
        <v>3510</v>
      </c>
      <c r="K162" s="42" t="s">
        <v>37</v>
      </c>
    </row>
    <row r="163" ht="22.5" customHeight="1">
      <c r="A163" s="91">
        <v>163.0</v>
      </c>
      <c r="B163" s="92" t="s">
        <v>3944</v>
      </c>
      <c r="C163" s="93" t="s">
        <v>3945</v>
      </c>
      <c r="D163" s="94">
        <f>+918017981007</f>
        <v>918017981007</v>
      </c>
      <c r="E163" s="93" t="s">
        <v>211</v>
      </c>
      <c r="F163" s="93" t="s">
        <v>66</v>
      </c>
      <c r="G163" s="93" t="s">
        <v>3296</v>
      </c>
      <c r="H163" s="95" t="s">
        <v>3946</v>
      </c>
      <c r="I163" s="93" t="s">
        <v>1729</v>
      </c>
      <c r="J163" s="93" t="s">
        <v>1729</v>
      </c>
      <c r="K163" s="42" t="s">
        <v>37</v>
      </c>
    </row>
    <row r="164" ht="22.5" customHeight="1">
      <c r="A164" s="91">
        <v>164.0</v>
      </c>
      <c r="B164" s="92" t="s">
        <v>3947</v>
      </c>
      <c r="C164" s="93" t="s">
        <v>3948</v>
      </c>
      <c r="D164" s="94">
        <f>+919912455551</f>
        <v>919912455551</v>
      </c>
      <c r="E164" s="93" t="s">
        <v>534</v>
      </c>
      <c r="F164" s="93" t="s">
        <v>3949</v>
      </c>
      <c r="G164" s="93" t="s">
        <v>3296</v>
      </c>
      <c r="H164" s="95" t="s">
        <v>3950</v>
      </c>
      <c r="I164" s="93" t="s">
        <v>1729</v>
      </c>
      <c r="J164" s="93" t="s">
        <v>3540</v>
      </c>
      <c r="K164" s="42" t="s">
        <v>37</v>
      </c>
    </row>
    <row r="165" ht="22.5" customHeight="1">
      <c r="A165" s="91">
        <v>165.0</v>
      </c>
      <c r="B165" s="92" t="s">
        <v>3951</v>
      </c>
      <c r="C165" s="93" t="s">
        <v>3952</v>
      </c>
      <c r="D165" s="94">
        <f>+919556168600</f>
        <v>919556168600</v>
      </c>
      <c r="E165" s="93" t="s">
        <v>11</v>
      </c>
      <c r="F165" s="93" t="s">
        <v>3953</v>
      </c>
      <c r="G165" s="93" t="s">
        <v>3296</v>
      </c>
      <c r="H165" s="95" t="s">
        <v>3954</v>
      </c>
      <c r="I165" s="93" t="s">
        <v>1729</v>
      </c>
      <c r="J165" s="93" t="s">
        <v>1729</v>
      </c>
      <c r="K165" s="42" t="s">
        <v>37</v>
      </c>
    </row>
    <row r="166" ht="22.5" customHeight="1">
      <c r="A166" s="91">
        <v>166.0</v>
      </c>
      <c r="B166" s="92" t="s">
        <v>3955</v>
      </c>
      <c r="C166" s="93" t="s">
        <v>3956</v>
      </c>
      <c r="D166" s="94">
        <f>+917903752268</f>
        <v>917903752268</v>
      </c>
      <c r="E166" s="93" t="s">
        <v>229</v>
      </c>
      <c r="F166" s="93" t="s">
        <v>3957</v>
      </c>
      <c r="G166" s="93" t="s">
        <v>3296</v>
      </c>
      <c r="H166" s="95" t="s">
        <v>3958</v>
      </c>
      <c r="I166" s="93" t="s">
        <v>1731</v>
      </c>
      <c r="J166" s="93" t="s">
        <v>3959</v>
      </c>
      <c r="K166" s="42" t="s">
        <v>37</v>
      </c>
    </row>
    <row r="167" ht="22.5" customHeight="1">
      <c r="A167" s="91">
        <v>167.0</v>
      </c>
      <c r="B167" s="92" t="s">
        <v>3960</v>
      </c>
      <c r="C167" s="93" t="s">
        <v>3961</v>
      </c>
      <c r="D167" s="94">
        <f>+8801754289419</f>
        <v>8801754289419</v>
      </c>
      <c r="E167" s="93" t="s">
        <v>3962</v>
      </c>
      <c r="F167" s="93" t="s">
        <v>3963</v>
      </c>
      <c r="G167" s="93" t="s">
        <v>3296</v>
      </c>
      <c r="H167" s="95" t="s">
        <v>3964</v>
      </c>
      <c r="I167" s="93" t="s">
        <v>176</v>
      </c>
      <c r="J167" s="93" t="s">
        <v>3441</v>
      </c>
      <c r="K167" s="42" t="s">
        <v>37</v>
      </c>
    </row>
    <row r="168" ht="22.5" customHeight="1">
      <c r="A168" s="91">
        <v>168.0</v>
      </c>
      <c r="B168" s="100" t="s">
        <v>3965</v>
      </c>
      <c r="C168" s="93" t="s">
        <v>3966</v>
      </c>
      <c r="D168" s="94">
        <f>+25377711375</f>
        <v>25377711375</v>
      </c>
      <c r="E168" s="101" t="s">
        <v>3967</v>
      </c>
      <c r="F168" s="93" t="s">
        <v>3968</v>
      </c>
      <c r="G168" s="93" t="s">
        <v>3296</v>
      </c>
      <c r="H168" s="95" t="s">
        <v>3969</v>
      </c>
      <c r="I168" s="93" t="s">
        <v>176</v>
      </c>
      <c r="J168" s="93" t="s">
        <v>3441</v>
      </c>
      <c r="K168" s="42" t="s">
        <v>37</v>
      </c>
    </row>
    <row r="169" ht="22.5" customHeight="1">
      <c r="A169" s="91">
        <v>169.0</v>
      </c>
      <c r="B169" s="92" t="s">
        <v>3970</v>
      </c>
      <c r="C169" s="93" t="s">
        <v>3971</v>
      </c>
      <c r="D169" s="94">
        <f>+918828088604</f>
        <v>918828088604</v>
      </c>
      <c r="E169" s="93" t="s">
        <v>3972</v>
      </c>
      <c r="F169" s="93" t="s">
        <v>3973</v>
      </c>
      <c r="G169" s="93" t="s">
        <v>3296</v>
      </c>
      <c r="H169" s="95" t="s">
        <v>3974</v>
      </c>
      <c r="I169" s="93" t="s">
        <v>176</v>
      </c>
      <c r="J169" s="93" t="s">
        <v>3975</v>
      </c>
      <c r="K169" s="42" t="s">
        <v>37</v>
      </c>
    </row>
    <row r="170" ht="22.5" customHeight="1">
      <c r="A170" s="91">
        <v>170.0</v>
      </c>
      <c r="B170" s="92" t="s">
        <v>3976</v>
      </c>
      <c r="C170" s="93" t="s">
        <v>3977</v>
      </c>
      <c r="D170" s="94">
        <f>+923008623606</f>
        <v>923008623606</v>
      </c>
      <c r="E170" s="93" t="s">
        <v>3978</v>
      </c>
      <c r="F170" s="93" t="s">
        <v>510</v>
      </c>
      <c r="G170" s="93" t="s">
        <v>3296</v>
      </c>
      <c r="H170" s="95" t="s">
        <v>3979</v>
      </c>
      <c r="I170" s="93" t="s">
        <v>427</v>
      </c>
      <c r="J170" s="93" t="s">
        <v>3488</v>
      </c>
      <c r="K170" s="42" t="s">
        <v>37</v>
      </c>
    </row>
    <row r="171" ht="22.5" customHeight="1">
      <c r="A171" s="91">
        <v>171.0</v>
      </c>
      <c r="B171" s="92" t="s">
        <v>3980</v>
      </c>
      <c r="C171" s="93" t="s">
        <v>3981</v>
      </c>
      <c r="D171" s="94">
        <f>+918867482912</f>
        <v>918867482912</v>
      </c>
      <c r="E171" s="93" t="s">
        <v>3982</v>
      </c>
      <c r="F171" s="93" t="s">
        <v>3983</v>
      </c>
      <c r="G171" s="93" t="s">
        <v>3296</v>
      </c>
      <c r="H171" s="95" t="s">
        <v>3984</v>
      </c>
      <c r="I171" s="93" t="s">
        <v>427</v>
      </c>
      <c r="J171" s="93" t="s">
        <v>3488</v>
      </c>
      <c r="K171" s="42" t="s">
        <v>37</v>
      </c>
    </row>
    <row r="172" ht="22.5" customHeight="1">
      <c r="A172" s="91">
        <v>172.0</v>
      </c>
      <c r="B172" s="92" t="s">
        <v>3985</v>
      </c>
      <c r="C172" s="93" t="s">
        <v>3986</v>
      </c>
      <c r="D172" s="94">
        <f>+923325278385</f>
        <v>923325278385</v>
      </c>
      <c r="E172" s="93" t="s">
        <v>3987</v>
      </c>
      <c r="F172" s="93" t="s">
        <v>3987</v>
      </c>
      <c r="G172" s="93" t="s">
        <v>3296</v>
      </c>
      <c r="H172" s="95" t="s">
        <v>3988</v>
      </c>
      <c r="I172" s="93" t="s">
        <v>427</v>
      </c>
      <c r="J172" s="93" t="s">
        <v>3488</v>
      </c>
      <c r="K172" s="42" t="s">
        <v>37</v>
      </c>
    </row>
    <row r="173" ht="22.5" customHeight="1">
      <c r="A173" s="91">
        <v>173.0</v>
      </c>
      <c r="B173" s="92" t="s">
        <v>3989</v>
      </c>
      <c r="C173" s="93" t="s">
        <v>3990</v>
      </c>
      <c r="D173" s="94">
        <f>+265887910054</f>
        <v>265887910054</v>
      </c>
      <c r="E173" s="93" t="s">
        <v>3991</v>
      </c>
      <c r="F173" s="93" t="s">
        <v>3992</v>
      </c>
      <c r="G173" s="93" t="s">
        <v>3296</v>
      </c>
      <c r="H173" s="95" t="s">
        <v>3993</v>
      </c>
      <c r="I173" s="93" t="s">
        <v>427</v>
      </c>
      <c r="J173" s="93" t="s">
        <v>3488</v>
      </c>
      <c r="K173" s="42" t="s">
        <v>37</v>
      </c>
    </row>
    <row r="174" ht="22.5" customHeight="1">
      <c r="A174" s="91">
        <v>174.0</v>
      </c>
      <c r="B174" s="92" t="s">
        <v>3994</v>
      </c>
      <c r="C174" s="93" t="s">
        <v>3995</v>
      </c>
      <c r="D174" s="94">
        <f>+2348031304414</f>
        <v>2348031304414</v>
      </c>
      <c r="E174" s="93" t="s">
        <v>3996</v>
      </c>
      <c r="F174" s="93" t="s">
        <v>3997</v>
      </c>
      <c r="G174" s="93" t="s">
        <v>3296</v>
      </c>
      <c r="H174" s="95" t="s">
        <v>3998</v>
      </c>
      <c r="I174" s="93" t="s">
        <v>427</v>
      </c>
      <c r="J174" s="93" t="s">
        <v>3488</v>
      </c>
      <c r="K174" s="42" t="s">
        <v>37</v>
      </c>
    </row>
    <row r="175" ht="22.5" customHeight="1">
      <c r="A175" s="91">
        <v>175.0</v>
      </c>
      <c r="B175" s="92" t="s">
        <v>3999</v>
      </c>
      <c r="C175" s="93" t="s">
        <v>4000</v>
      </c>
      <c r="D175" s="94">
        <f>+9779803610207</f>
        <v>9779803610207</v>
      </c>
      <c r="E175" s="93" t="s">
        <v>4001</v>
      </c>
      <c r="F175" s="93" t="s">
        <v>4002</v>
      </c>
      <c r="G175" s="93" t="s">
        <v>3296</v>
      </c>
      <c r="H175" s="95" t="s">
        <v>4003</v>
      </c>
      <c r="I175" s="93" t="s">
        <v>427</v>
      </c>
      <c r="J175" s="93" t="s">
        <v>3488</v>
      </c>
      <c r="K175" s="42" t="s">
        <v>37</v>
      </c>
    </row>
    <row r="176" ht="22.5" customHeight="1">
      <c r="A176" s="91">
        <v>176.0</v>
      </c>
      <c r="B176" s="92" t="s">
        <v>4004</v>
      </c>
      <c r="C176" s="93" t="s">
        <v>4005</v>
      </c>
      <c r="D176" s="94">
        <f>+213549580578</f>
        <v>213549580578</v>
      </c>
      <c r="E176" s="93" t="s">
        <v>4006</v>
      </c>
      <c r="F176" s="93" t="s">
        <v>4007</v>
      </c>
      <c r="G176" s="93" t="s">
        <v>3296</v>
      </c>
      <c r="H176" s="95" t="s">
        <v>4008</v>
      </c>
      <c r="I176" s="93" t="s">
        <v>427</v>
      </c>
      <c r="J176" s="93" t="s">
        <v>3488</v>
      </c>
      <c r="K176" s="42" t="s">
        <v>37</v>
      </c>
    </row>
    <row r="177" ht="22.5" customHeight="1">
      <c r="A177" s="91">
        <v>177.0</v>
      </c>
      <c r="B177" s="92" t="s">
        <v>4009</v>
      </c>
      <c r="C177" s="93" t="s">
        <v>4010</v>
      </c>
      <c r="D177" s="94">
        <f>+919637286362</f>
        <v>919637286362</v>
      </c>
      <c r="E177" s="93" t="s">
        <v>1107</v>
      </c>
      <c r="F177" s="93" t="s">
        <v>4011</v>
      </c>
      <c r="G177" s="93" t="s">
        <v>3296</v>
      </c>
      <c r="H177" s="95" t="s">
        <v>4012</v>
      </c>
      <c r="I177" s="93" t="s">
        <v>1731</v>
      </c>
      <c r="J177" s="93" t="s">
        <v>4013</v>
      </c>
      <c r="K177" s="42" t="s">
        <v>37</v>
      </c>
    </row>
    <row r="178" ht="22.5" customHeight="1">
      <c r="A178" s="91">
        <v>178.0</v>
      </c>
      <c r="B178" s="92" t="s">
        <v>4014</v>
      </c>
      <c r="C178" s="93" t="s">
        <v>4015</v>
      </c>
      <c r="D178" s="94">
        <f>+923003004755</f>
        <v>923003004755</v>
      </c>
      <c r="E178" s="93" t="s">
        <v>4016</v>
      </c>
      <c r="F178" s="93" t="s">
        <v>4017</v>
      </c>
      <c r="G178" s="93" t="s">
        <v>3296</v>
      </c>
      <c r="H178" s="95" t="s">
        <v>4018</v>
      </c>
      <c r="I178" s="93" t="s">
        <v>427</v>
      </c>
      <c r="J178" s="93" t="s">
        <v>427</v>
      </c>
      <c r="K178" s="42" t="s">
        <v>37</v>
      </c>
    </row>
    <row r="179" ht="22.5" customHeight="1">
      <c r="A179" s="91">
        <v>179.0</v>
      </c>
      <c r="B179" s="92" t="s">
        <v>4019</v>
      </c>
      <c r="C179" s="93" t="s">
        <v>4020</v>
      </c>
      <c r="D179" s="94">
        <f>+9779858025618</f>
        <v>9779858025618</v>
      </c>
      <c r="E179" s="93" t="s">
        <v>4021</v>
      </c>
      <c r="F179" s="93" t="s">
        <v>4022</v>
      </c>
      <c r="G179" s="93" t="s">
        <v>3296</v>
      </c>
      <c r="H179" s="95" t="s">
        <v>4023</v>
      </c>
      <c r="I179" s="93" t="s">
        <v>427</v>
      </c>
      <c r="J179" s="93" t="s">
        <v>427</v>
      </c>
      <c r="K179" s="42" t="s">
        <v>37</v>
      </c>
    </row>
    <row r="180" ht="22.5" customHeight="1">
      <c r="A180" s="91">
        <v>180.0</v>
      </c>
      <c r="B180" s="92" t="s">
        <v>4024</v>
      </c>
      <c r="C180" s="93" t="s">
        <v>4025</v>
      </c>
      <c r="D180" s="94">
        <f>+919304797808</f>
        <v>919304797808</v>
      </c>
      <c r="E180" s="93" t="s">
        <v>229</v>
      </c>
      <c r="F180" s="93" t="s">
        <v>3595</v>
      </c>
      <c r="G180" s="93" t="s">
        <v>3296</v>
      </c>
      <c r="H180" s="95" t="s">
        <v>4026</v>
      </c>
      <c r="I180" s="93" t="s">
        <v>1729</v>
      </c>
      <c r="J180" s="93" t="s">
        <v>86</v>
      </c>
      <c r="K180" s="42" t="s">
        <v>37</v>
      </c>
    </row>
    <row r="181" ht="22.5" customHeight="1">
      <c r="A181" s="91">
        <v>181.0</v>
      </c>
      <c r="B181" s="92" t="s">
        <v>4027</v>
      </c>
      <c r="C181" s="93" t="s">
        <v>4028</v>
      </c>
      <c r="D181" s="94">
        <f>+923353048341</f>
        <v>923353048341</v>
      </c>
      <c r="E181" s="93" t="s">
        <v>4029</v>
      </c>
      <c r="F181" s="93" t="s">
        <v>4030</v>
      </c>
      <c r="G181" s="93" t="s">
        <v>3296</v>
      </c>
      <c r="H181" s="95" t="s">
        <v>4031</v>
      </c>
      <c r="I181" s="93" t="s">
        <v>427</v>
      </c>
      <c r="J181" s="93" t="s">
        <v>3488</v>
      </c>
      <c r="K181" s="42" t="s">
        <v>37</v>
      </c>
    </row>
    <row r="182" ht="22.5" customHeight="1">
      <c r="A182" s="91">
        <v>182.0</v>
      </c>
      <c r="B182" s="92" t="s">
        <v>3483</v>
      </c>
      <c r="C182" s="93" t="s">
        <v>3484</v>
      </c>
      <c r="D182" s="94">
        <f>+923347310805</f>
        <v>923347310805</v>
      </c>
      <c r="E182" s="93" t="s">
        <v>3485</v>
      </c>
      <c r="F182" s="93" t="s">
        <v>3486</v>
      </c>
      <c r="G182" s="93" t="s">
        <v>3296</v>
      </c>
      <c r="H182" s="95" t="s">
        <v>4032</v>
      </c>
      <c r="I182" s="93" t="s">
        <v>427</v>
      </c>
      <c r="J182" s="93" t="s">
        <v>3488</v>
      </c>
      <c r="K182" s="42" t="s">
        <v>37</v>
      </c>
    </row>
    <row r="183" ht="22.5" customHeight="1">
      <c r="A183" s="91">
        <v>183.0</v>
      </c>
      <c r="B183" s="92" t="s">
        <v>3489</v>
      </c>
      <c r="C183" s="93" t="s">
        <v>3490</v>
      </c>
      <c r="D183" s="94">
        <f>+919601555698</f>
        <v>919601555698</v>
      </c>
      <c r="E183" s="93" t="s">
        <v>4033</v>
      </c>
      <c r="F183" s="93" t="s">
        <v>510</v>
      </c>
      <c r="G183" s="93" t="s">
        <v>3296</v>
      </c>
      <c r="H183" s="95" t="s">
        <v>4034</v>
      </c>
      <c r="I183" s="93" t="s">
        <v>1729</v>
      </c>
      <c r="J183" s="93" t="s">
        <v>3493</v>
      </c>
      <c r="K183" s="42" t="s">
        <v>37</v>
      </c>
    </row>
  </sheetData>
  <dataValidations>
    <dataValidation allowBlank="1" showDropDown="1" sqref="B3:B183"/>
  </dataValidations>
  <hyperlinks>
    <hyperlink r:id="rId1" ref="H3"/>
    <hyperlink r:id="rId2" ref="H4"/>
    <hyperlink r:id="rId3" ref="H5"/>
    <hyperlink r:id="rId4" ref="H6"/>
    <hyperlink r:id="rId5" ref="H7"/>
    <hyperlink r:id="rId6" ref="H8"/>
    <hyperlink r:id="rId7" ref="H9"/>
    <hyperlink r:id="rId8" ref="H10"/>
    <hyperlink r:id="rId9" ref="H11"/>
    <hyperlink r:id="rId10" ref="H12"/>
    <hyperlink r:id="rId11" ref="H13"/>
    <hyperlink r:id="rId12" ref="H14"/>
    <hyperlink r:id="rId13" ref="H15"/>
    <hyperlink r:id="rId14" ref="H16"/>
    <hyperlink r:id="rId15" ref="H17"/>
    <hyperlink r:id="rId16" ref="H18"/>
    <hyperlink r:id="rId17" ref="H19"/>
    <hyperlink r:id="rId18" ref="H20"/>
    <hyperlink r:id="rId19" ref="H21"/>
    <hyperlink r:id="rId20" ref="H22"/>
    <hyperlink r:id="rId21" ref="H23"/>
    <hyperlink r:id="rId22" ref="H24"/>
    <hyperlink r:id="rId23" ref="H25"/>
    <hyperlink r:id="rId24" ref="H26"/>
    <hyperlink r:id="rId25" ref="H27"/>
    <hyperlink r:id="rId26" ref="H28"/>
    <hyperlink r:id="rId27" ref="H29"/>
    <hyperlink r:id="rId28" ref="H30"/>
    <hyperlink r:id="rId29" ref="H31"/>
    <hyperlink r:id="rId30" ref="H32"/>
    <hyperlink r:id="rId31" ref="H33"/>
    <hyperlink r:id="rId32" ref="H34"/>
    <hyperlink r:id="rId33" ref="H35"/>
    <hyperlink r:id="rId34" ref="H36"/>
    <hyperlink r:id="rId35" ref="H37"/>
    <hyperlink r:id="rId36" ref="H38"/>
    <hyperlink r:id="rId37" ref="H39"/>
    <hyperlink r:id="rId38" ref="H40"/>
    <hyperlink r:id="rId39" ref="H41"/>
    <hyperlink r:id="rId40" ref="H42"/>
    <hyperlink r:id="rId41" ref="H43"/>
    <hyperlink r:id="rId42" ref="F44"/>
    <hyperlink r:id="rId43" ref="H44"/>
    <hyperlink r:id="rId44" ref="H45"/>
    <hyperlink r:id="rId45" ref="H46"/>
    <hyperlink r:id="rId46" ref="H47"/>
    <hyperlink r:id="rId47" ref="H48"/>
    <hyperlink r:id="rId48" ref="H49"/>
    <hyperlink r:id="rId49" ref="H50"/>
    <hyperlink r:id="rId50" ref="H51"/>
    <hyperlink r:id="rId51" ref="H52"/>
    <hyperlink r:id="rId52" ref="H53"/>
    <hyperlink r:id="rId53" ref="H54"/>
    <hyperlink r:id="rId54" ref="H55"/>
    <hyperlink r:id="rId55" ref="H56"/>
    <hyperlink r:id="rId56" ref="H57"/>
    <hyperlink r:id="rId57" ref="H58"/>
    <hyperlink r:id="rId58" ref="H59"/>
    <hyperlink r:id="rId59" ref="H60"/>
    <hyperlink r:id="rId60" ref="H61"/>
    <hyperlink r:id="rId61" ref="H62"/>
    <hyperlink r:id="rId62" ref="H63"/>
    <hyperlink r:id="rId63" ref="H64"/>
    <hyperlink r:id="rId64" ref="H65"/>
    <hyperlink r:id="rId65" ref="H66"/>
    <hyperlink r:id="rId66" ref="H67"/>
    <hyperlink r:id="rId67" ref="H68"/>
    <hyperlink r:id="rId68" ref="H69"/>
    <hyperlink r:id="rId69" ref="H70"/>
    <hyperlink r:id="rId70" ref="H71"/>
    <hyperlink r:id="rId71" ref="H72"/>
    <hyperlink r:id="rId72" ref="H73"/>
    <hyperlink r:id="rId73" ref="H74"/>
    <hyperlink r:id="rId74" ref="H75"/>
    <hyperlink r:id="rId75" ref="H76"/>
    <hyperlink r:id="rId76" ref="H77"/>
    <hyperlink r:id="rId77" ref="H78"/>
    <hyperlink r:id="rId78" ref="H79"/>
    <hyperlink r:id="rId79" ref="H80"/>
    <hyperlink r:id="rId80" ref="H81"/>
    <hyperlink r:id="rId81" ref="H82"/>
    <hyperlink r:id="rId82" ref="H83"/>
    <hyperlink r:id="rId83" ref="H84"/>
    <hyperlink r:id="rId84" ref="H85"/>
    <hyperlink r:id="rId85" ref="H86"/>
    <hyperlink r:id="rId86" ref="H87"/>
    <hyperlink r:id="rId87" ref="H88"/>
    <hyperlink r:id="rId88" ref="H89"/>
    <hyperlink r:id="rId89" ref="H90"/>
    <hyperlink r:id="rId90" ref="H91"/>
    <hyperlink r:id="rId91" ref="H92"/>
    <hyperlink r:id="rId92" ref="H93"/>
    <hyperlink r:id="rId93" ref="H94"/>
    <hyperlink r:id="rId94" ref="H95"/>
    <hyperlink r:id="rId95" ref="H96"/>
    <hyperlink r:id="rId96" ref="H97"/>
    <hyperlink r:id="rId97" ref="H98"/>
    <hyperlink r:id="rId98" ref="H99"/>
    <hyperlink r:id="rId99" ref="H100"/>
    <hyperlink r:id="rId100" ref="H101"/>
    <hyperlink r:id="rId101" ref="H102"/>
    <hyperlink r:id="rId102" ref="H103"/>
    <hyperlink r:id="rId103" ref="H104"/>
    <hyperlink r:id="rId104" ref="F105"/>
    <hyperlink r:id="rId105" ref="H105"/>
    <hyperlink r:id="rId106" ref="H106"/>
    <hyperlink r:id="rId107" ref="H107"/>
    <hyperlink r:id="rId108" ref="H108"/>
    <hyperlink r:id="rId109" ref="H109"/>
    <hyperlink r:id="rId110" ref="H110"/>
    <hyperlink r:id="rId111" ref="H111"/>
    <hyperlink r:id="rId112" ref="H112"/>
    <hyperlink r:id="rId113" ref="H113"/>
    <hyperlink r:id="rId114" ref="H114"/>
    <hyperlink r:id="rId115" ref="H115"/>
    <hyperlink r:id="rId116" ref="H116"/>
    <hyperlink r:id="rId117" ref="H117"/>
    <hyperlink r:id="rId118" ref="H118"/>
    <hyperlink r:id="rId119" ref="H119"/>
    <hyperlink r:id="rId120" ref="H120"/>
    <hyperlink r:id="rId121" ref="H121"/>
    <hyperlink r:id="rId122" ref="H122"/>
    <hyperlink r:id="rId123" ref="H123"/>
    <hyperlink r:id="rId124" ref="H124"/>
    <hyperlink r:id="rId125" ref="H125"/>
    <hyperlink r:id="rId126" ref="H126"/>
    <hyperlink r:id="rId127" ref="H127"/>
    <hyperlink r:id="rId128" ref="H128"/>
    <hyperlink r:id="rId129" ref="H129"/>
    <hyperlink r:id="rId130" ref="H130"/>
    <hyperlink r:id="rId131" ref="H131"/>
    <hyperlink r:id="rId132" ref="H132"/>
    <hyperlink r:id="rId133" ref="H133"/>
    <hyperlink r:id="rId134" ref="H134"/>
    <hyperlink r:id="rId135" ref="H135"/>
    <hyperlink r:id="rId136" ref="H136"/>
    <hyperlink r:id="rId137" ref="H137"/>
    <hyperlink r:id="rId138" ref="H138"/>
    <hyperlink r:id="rId139" ref="H139"/>
    <hyperlink r:id="rId140" ref="H140"/>
    <hyperlink r:id="rId141" ref="H141"/>
    <hyperlink r:id="rId142" ref="H142"/>
    <hyperlink r:id="rId143" ref="H143"/>
    <hyperlink r:id="rId144" ref="H144"/>
    <hyperlink r:id="rId145" ref="H145"/>
    <hyperlink r:id="rId146" ref="H146"/>
    <hyperlink r:id="rId147" ref="H147"/>
    <hyperlink r:id="rId148" ref="H148"/>
    <hyperlink r:id="rId149" ref="H149"/>
    <hyperlink r:id="rId150" ref="H150"/>
    <hyperlink r:id="rId151" ref="H151"/>
    <hyperlink r:id="rId152" ref="H152"/>
    <hyperlink r:id="rId153" ref="H153"/>
    <hyperlink r:id="rId154" ref="H154"/>
    <hyperlink r:id="rId155" ref="H155"/>
    <hyperlink r:id="rId156" ref="H156"/>
    <hyperlink r:id="rId157" ref="H157"/>
    <hyperlink r:id="rId158" ref="H158"/>
    <hyperlink r:id="rId159" ref="H159"/>
    <hyperlink r:id="rId160" ref="H160"/>
    <hyperlink r:id="rId161" ref="H161"/>
    <hyperlink r:id="rId162" ref="H162"/>
    <hyperlink r:id="rId163" ref="H163"/>
    <hyperlink r:id="rId164" ref="H164"/>
    <hyperlink r:id="rId165" ref="H165"/>
    <hyperlink r:id="rId166" ref="H166"/>
    <hyperlink r:id="rId167" ref="H167"/>
    <hyperlink r:id="rId168" ref="H168"/>
    <hyperlink r:id="rId169" ref="H169"/>
    <hyperlink r:id="rId170" ref="H170"/>
    <hyperlink r:id="rId171" ref="H171"/>
    <hyperlink r:id="rId172" ref="H172"/>
    <hyperlink r:id="rId173" ref="H173"/>
    <hyperlink r:id="rId174" ref="H174"/>
    <hyperlink r:id="rId175" ref="H175"/>
    <hyperlink r:id="rId176" ref="H176"/>
    <hyperlink r:id="rId177" ref="H177"/>
    <hyperlink r:id="rId178" ref="H178"/>
    <hyperlink r:id="rId179" ref="H179"/>
    <hyperlink r:id="rId180" ref="H180"/>
    <hyperlink r:id="rId181" ref="H181"/>
    <hyperlink r:id="rId182" ref="H182"/>
    <hyperlink r:id="rId183" ref="H183"/>
  </hyperlinks>
  <drawing r:id="rId184"/>
  <tableParts count="1">
    <tablePart r:id="rId186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63"/>
    <col customWidth="1" min="4" max="4" width="17.5"/>
    <col customWidth="1" min="7" max="8" width="36.25"/>
    <col customWidth="1" min="9" max="9" width="14.38"/>
    <col customWidth="1" min="10" max="10" width="13.0"/>
  </cols>
  <sheetData>
    <row r="2" ht="22.5" customHeight="1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40" t="s">
        <v>901</v>
      </c>
      <c r="I2" s="4" t="s">
        <v>7</v>
      </c>
      <c r="J2" s="3" t="s">
        <v>8</v>
      </c>
      <c r="K2" s="5" t="s">
        <v>9</v>
      </c>
    </row>
    <row r="3" ht="22.5" customHeight="1">
      <c r="A3" s="71">
        <v>1.0</v>
      </c>
      <c r="B3" s="102" t="s">
        <v>4035</v>
      </c>
      <c r="C3" s="72" t="s">
        <v>4036</v>
      </c>
      <c r="D3" s="71">
        <v>9.938826641E9</v>
      </c>
      <c r="E3" s="72" t="s">
        <v>229</v>
      </c>
      <c r="F3" s="77"/>
      <c r="G3" s="75" t="s">
        <v>4037</v>
      </c>
      <c r="H3" s="75" t="s">
        <v>4038</v>
      </c>
      <c r="I3" s="103" t="s">
        <v>1729</v>
      </c>
      <c r="J3" s="102" t="s">
        <v>86</v>
      </c>
      <c r="K3" s="88" t="s">
        <v>1933</v>
      </c>
    </row>
    <row r="4" ht="22.5" customHeight="1">
      <c r="A4" s="80">
        <v>2.0</v>
      </c>
      <c r="B4" s="104" t="s">
        <v>1161</v>
      </c>
      <c r="C4" s="81" t="s">
        <v>4039</v>
      </c>
      <c r="D4" s="80">
        <v>9.50472275E9</v>
      </c>
      <c r="E4" s="84"/>
      <c r="F4" s="84"/>
      <c r="G4" s="89" t="s">
        <v>4037</v>
      </c>
      <c r="H4" s="89" t="s">
        <v>4038</v>
      </c>
      <c r="I4" s="103" t="s">
        <v>1729</v>
      </c>
      <c r="J4" s="104" t="s">
        <v>86</v>
      </c>
      <c r="K4" s="105" t="s">
        <v>1933</v>
      </c>
    </row>
    <row r="5" ht="22.5" customHeight="1">
      <c r="A5" s="71">
        <v>3.0</v>
      </c>
      <c r="B5" s="102" t="s">
        <v>4040</v>
      </c>
      <c r="C5" s="72" t="s">
        <v>4041</v>
      </c>
      <c r="D5" s="71">
        <v>9.122410355E9</v>
      </c>
      <c r="E5" s="77"/>
      <c r="F5" s="77"/>
      <c r="G5" s="75" t="s">
        <v>4037</v>
      </c>
      <c r="H5" s="75" t="s">
        <v>4038</v>
      </c>
      <c r="I5" s="103" t="s">
        <v>1729</v>
      </c>
      <c r="J5" s="102" t="s">
        <v>86</v>
      </c>
      <c r="K5" s="88" t="s">
        <v>1933</v>
      </c>
    </row>
    <row r="6" ht="22.5" customHeight="1">
      <c r="A6" s="80">
        <v>4.0</v>
      </c>
      <c r="B6" s="104" t="s">
        <v>4042</v>
      </c>
      <c r="C6" s="81" t="s">
        <v>4043</v>
      </c>
      <c r="D6" s="80">
        <v>8.121188721E9</v>
      </c>
      <c r="E6" s="84"/>
      <c r="F6" s="84"/>
      <c r="G6" s="89" t="s">
        <v>4037</v>
      </c>
      <c r="H6" s="89" t="s">
        <v>4038</v>
      </c>
      <c r="I6" s="103" t="s">
        <v>1729</v>
      </c>
      <c r="J6" s="104" t="s">
        <v>86</v>
      </c>
      <c r="K6" s="105" t="s">
        <v>1933</v>
      </c>
    </row>
    <row r="7" ht="22.5" customHeight="1">
      <c r="A7" s="71">
        <v>5.0</v>
      </c>
      <c r="B7" s="102" t="s">
        <v>4044</v>
      </c>
      <c r="C7" s="72" t="s">
        <v>4045</v>
      </c>
      <c r="D7" s="106"/>
      <c r="E7" s="72" t="s">
        <v>4046</v>
      </c>
      <c r="F7" s="77"/>
      <c r="G7" s="75" t="s">
        <v>4037</v>
      </c>
      <c r="H7" s="75" t="s">
        <v>4038</v>
      </c>
      <c r="I7" s="107" t="s">
        <v>1731</v>
      </c>
      <c r="J7" s="102" t="s">
        <v>1731</v>
      </c>
      <c r="K7" s="88" t="s">
        <v>1933</v>
      </c>
    </row>
    <row r="8" ht="22.5" customHeight="1">
      <c r="A8" s="80">
        <v>6.0</v>
      </c>
      <c r="B8" s="104" t="s">
        <v>4047</v>
      </c>
      <c r="C8" s="81" t="s">
        <v>4048</v>
      </c>
      <c r="D8" s="80">
        <v>6.266047179E9</v>
      </c>
      <c r="E8" s="81" t="s">
        <v>993</v>
      </c>
      <c r="F8" s="84"/>
      <c r="G8" s="89" t="s">
        <v>4037</v>
      </c>
      <c r="H8" s="89" t="s">
        <v>4038</v>
      </c>
      <c r="I8" s="103" t="s">
        <v>1729</v>
      </c>
      <c r="J8" s="104" t="s">
        <v>86</v>
      </c>
      <c r="K8" s="105" t="s">
        <v>1933</v>
      </c>
    </row>
    <row r="9" ht="22.5" customHeight="1">
      <c r="A9" s="71">
        <v>7.0</v>
      </c>
      <c r="B9" s="102" t="s">
        <v>4049</v>
      </c>
      <c r="C9" s="72" t="s">
        <v>4050</v>
      </c>
      <c r="D9" s="71">
        <v>9.009180602E9</v>
      </c>
      <c r="E9" s="77"/>
      <c r="F9" s="77"/>
      <c r="G9" s="75" t="s">
        <v>4037</v>
      </c>
      <c r="H9" s="75" t="s">
        <v>4038</v>
      </c>
      <c r="I9" s="103" t="s">
        <v>1729</v>
      </c>
      <c r="J9" s="102" t="s">
        <v>86</v>
      </c>
      <c r="K9" s="88" t="s">
        <v>1933</v>
      </c>
    </row>
    <row r="10" ht="22.5" customHeight="1">
      <c r="A10" s="80">
        <v>8.0</v>
      </c>
      <c r="B10" s="104" t="s">
        <v>4051</v>
      </c>
      <c r="C10" s="81" t="s">
        <v>4052</v>
      </c>
      <c r="D10" s="80">
        <v>8.3281628E9</v>
      </c>
      <c r="E10" s="81" t="s">
        <v>205</v>
      </c>
      <c r="F10" s="84"/>
      <c r="G10" s="89" t="s">
        <v>4037</v>
      </c>
      <c r="H10" s="89" t="s">
        <v>4038</v>
      </c>
      <c r="I10" s="103" t="s">
        <v>1729</v>
      </c>
      <c r="J10" s="104" t="s">
        <v>86</v>
      </c>
      <c r="K10" s="105" t="s">
        <v>1933</v>
      </c>
    </row>
    <row r="11" ht="22.5" customHeight="1">
      <c r="A11" s="71">
        <v>9.0</v>
      </c>
      <c r="B11" s="102" t="s">
        <v>4053</v>
      </c>
      <c r="C11" s="72" t="s">
        <v>4054</v>
      </c>
      <c r="D11" s="71">
        <v>8.292634765E9</v>
      </c>
      <c r="E11" s="72" t="s">
        <v>4055</v>
      </c>
      <c r="F11" s="77"/>
      <c r="G11" s="75" t="s">
        <v>4037</v>
      </c>
      <c r="H11" s="75" t="s">
        <v>4038</v>
      </c>
      <c r="I11" s="108" t="s">
        <v>176</v>
      </c>
      <c r="J11" s="102" t="s">
        <v>4056</v>
      </c>
      <c r="K11" s="88" t="s">
        <v>1933</v>
      </c>
    </row>
    <row r="12" ht="22.5" customHeight="1">
      <c r="A12" s="71">
        <v>11.0</v>
      </c>
      <c r="B12" s="102" t="s">
        <v>4057</v>
      </c>
      <c r="C12" s="72" t="s">
        <v>4058</v>
      </c>
      <c r="D12" s="71">
        <v>8.642901107E9</v>
      </c>
      <c r="E12" s="72" t="s">
        <v>211</v>
      </c>
      <c r="F12" s="77"/>
      <c r="G12" s="75" t="s">
        <v>4059</v>
      </c>
      <c r="H12" s="109" t="s">
        <v>4060</v>
      </c>
      <c r="I12" s="107" t="s">
        <v>1731</v>
      </c>
      <c r="J12" s="102" t="s">
        <v>4061</v>
      </c>
      <c r="K12" s="88" t="s">
        <v>1933</v>
      </c>
    </row>
    <row r="13" ht="22.5" customHeight="1">
      <c r="A13" s="80">
        <v>12.0</v>
      </c>
      <c r="B13" s="104" t="s">
        <v>4062</v>
      </c>
      <c r="C13" s="81" t="s">
        <v>4063</v>
      </c>
      <c r="D13" s="80">
        <v>9.339124843E9</v>
      </c>
      <c r="E13" s="81" t="s">
        <v>211</v>
      </c>
      <c r="F13" s="84"/>
      <c r="G13" s="75" t="s">
        <v>4059</v>
      </c>
      <c r="H13" s="109" t="s">
        <v>4064</v>
      </c>
      <c r="I13" s="107" t="s">
        <v>1731</v>
      </c>
      <c r="J13" s="104" t="s">
        <v>4065</v>
      </c>
      <c r="K13" s="105" t="s">
        <v>1933</v>
      </c>
    </row>
    <row r="14" ht="22.5" customHeight="1">
      <c r="A14" s="71">
        <v>13.0</v>
      </c>
      <c r="B14" s="102" t="s">
        <v>4066</v>
      </c>
      <c r="C14" s="72" t="s">
        <v>4067</v>
      </c>
      <c r="D14" s="71">
        <v>7.042465484E9</v>
      </c>
      <c r="E14" s="72" t="s">
        <v>534</v>
      </c>
      <c r="F14" s="77"/>
      <c r="G14" s="75" t="s">
        <v>4059</v>
      </c>
      <c r="H14" s="109" t="s">
        <v>4068</v>
      </c>
      <c r="I14" s="110" t="s">
        <v>2581</v>
      </c>
      <c r="J14" s="102" t="s">
        <v>4069</v>
      </c>
      <c r="K14" s="88" t="s">
        <v>1933</v>
      </c>
    </row>
    <row r="15" ht="22.5" customHeight="1">
      <c r="A15" s="80">
        <v>14.0</v>
      </c>
      <c r="B15" s="104" t="s">
        <v>4070</v>
      </c>
      <c r="C15" s="81" t="s">
        <v>4071</v>
      </c>
      <c r="D15" s="80">
        <v>9.999622127E9</v>
      </c>
      <c r="E15" s="81" t="s">
        <v>335</v>
      </c>
      <c r="F15" s="84"/>
      <c r="G15" s="75" t="s">
        <v>4059</v>
      </c>
      <c r="H15" s="109" t="s">
        <v>4072</v>
      </c>
      <c r="I15" s="107" t="s">
        <v>1731</v>
      </c>
      <c r="J15" s="104" t="s">
        <v>4073</v>
      </c>
      <c r="K15" s="105" t="s">
        <v>1933</v>
      </c>
    </row>
    <row r="16" ht="22.5" customHeight="1">
      <c r="A16" s="71">
        <v>15.0</v>
      </c>
      <c r="B16" s="102" t="s">
        <v>4074</v>
      </c>
      <c r="C16" s="72" t="s">
        <v>4075</v>
      </c>
      <c r="D16" s="71">
        <v>9.856468361E9</v>
      </c>
      <c r="E16" s="72" t="s">
        <v>1160</v>
      </c>
      <c r="F16" s="77"/>
      <c r="G16" s="75" t="s">
        <v>4059</v>
      </c>
      <c r="H16" s="109" t="s">
        <v>4076</v>
      </c>
      <c r="I16" s="110" t="s">
        <v>427</v>
      </c>
      <c r="J16" s="102" t="s">
        <v>4077</v>
      </c>
      <c r="K16" s="88" t="s">
        <v>1933</v>
      </c>
    </row>
    <row r="17" ht="22.5" customHeight="1">
      <c r="A17" s="80">
        <v>16.0</v>
      </c>
      <c r="B17" s="104" t="s">
        <v>4078</v>
      </c>
      <c r="C17" s="81" t="s">
        <v>4079</v>
      </c>
      <c r="D17" s="80">
        <v>6.370169127E9</v>
      </c>
      <c r="E17" s="84"/>
      <c r="F17" s="84"/>
      <c r="G17" s="75" t="s">
        <v>4059</v>
      </c>
      <c r="H17" s="109" t="s">
        <v>4080</v>
      </c>
      <c r="I17" s="110" t="s">
        <v>2581</v>
      </c>
      <c r="J17" s="104" t="s">
        <v>4081</v>
      </c>
      <c r="K17" s="105" t="s">
        <v>1933</v>
      </c>
    </row>
    <row r="18" ht="22.5" customHeight="1">
      <c r="A18" s="71">
        <v>17.0</v>
      </c>
      <c r="B18" s="102" t="s">
        <v>4082</v>
      </c>
      <c r="C18" s="72" t="s">
        <v>4083</v>
      </c>
      <c r="D18" s="71">
        <v>9.334886818E9</v>
      </c>
      <c r="E18" s="72" t="s">
        <v>229</v>
      </c>
      <c r="F18" s="77"/>
      <c r="G18" s="75" t="s">
        <v>4059</v>
      </c>
      <c r="H18" s="109" t="s">
        <v>4084</v>
      </c>
      <c r="I18" s="107" t="s">
        <v>1731</v>
      </c>
      <c r="J18" s="102" t="s">
        <v>4085</v>
      </c>
      <c r="K18" s="88" t="s">
        <v>1933</v>
      </c>
    </row>
    <row r="19" ht="22.5" customHeight="1">
      <c r="A19" s="80">
        <v>18.0</v>
      </c>
      <c r="B19" s="104" t="s">
        <v>4086</v>
      </c>
      <c r="C19" s="81" t="s">
        <v>4087</v>
      </c>
      <c r="D19" s="80">
        <v>9.631538055E9</v>
      </c>
      <c r="E19" s="81" t="s">
        <v>1085</v>
      </c>
      <c r="F19" s="84"/>
      <c r="G19" s="75" t="s">
        <v>4059</v>
      </c>
      <c r="H19" s="109" t="s">
        <v>4088</v>
      </c>
      <c r="I19" s="107" t="s">
        <v>1731</v>
      </c>
      <c r="J19" s="104" t="s">
        <v>4089</v>
      </c>
      <c r="K19" s="105" t="s">
        <v>1933</v>
      </c>
    </row>
    <row r="20" ht="22.5" customHeight="1">
      <c r="A20" s="71">
        <v>19.0</v>
      </c>
      <c r="B20" s="102" t="s">
        <v>4090</v>
      </c>
      <c r="C20" s="72" t="s">
        <v>4091</v>
      </c>
      <c r="D20" s="71">
        <v>8.317592962E9</v>
      </c>
      <c r="E20" s="77"/>
      <c r="F20" s="77"/>
      <c r="G20" s="75" t="s">
        <v>4059</v>
      </c>
      <c r="H20" s="109" t="s">
        <v>4092</v>
      </c>
      <c r="I20" s="103" t="s">
        <v>1729</v>
      </c>
      <c r="J20" s="102" t="s">
        <v>1729</v>
      </c>
      <c r="K20" s="88" t="s">
        <v>1933</v>
      </c>
    </row>
    <row r="21" ht="22.5" customHeight="1">
      <c r="A21" s="80">
        <v>20.0</v>
      </c>
      <c r="B21" s="104" t="s">
        <v>4093</v>
      </c>
      <c r="C21" s="81" t="s">
        <v>4094</v>
      </c>
      <c r="D21" s="80">
        <v>8.26078181E9</v>
      </c>
      <c r="E21" s="81" t="s">
        <v>11</v>
      </c>
      <c r="F21" s="84"/>
      <c r="G21" s="75" t="s">
        <v>4059</v>
      </c>
      <c r="H21" s="109" t="s">
        <v>4095</v>
      </c>
      <c r="I21" s="108" t="s">
        <v>176</v>
      </c>
      <c r="J21" s="104" t="s">
        <v>4096</v>
      </c>
      <c r="K21" s="105" t="s">
        <v>1933</v>
      </c>
    </row>
    <row r="22" ht="22.5" customHeight="1">
      <c r="A22" s="71">
        <v>21.0</v>
      </c>
      <c r="B22" s="102" t="s">
        <v>4097</v>
      </c>
      <c r="C22" s="72" t="s">
        <v>4098</v>
      </c>
      <c r="D22" s="71">
        <v>8.341299219E9</v>
      </c>
      <c r="E22" s="72" t="s">
        <v>3788</v>
      </c>
      <c r="F22" s="77"/>
      <c r="G22" s="75" t="s">
        <v>4059</v>
      </c>
      <c r="H22" s="109" t="s">
        <v>4099</v>
      </c>
      <c r="I22" s="103" t="s">
        <v>1729</v>
      </c>
      <c r="J22" s="102" t="s">
        <v>1729</v>
      </c>
      <c r="K22" s="88" t="s">
        <v>1933</v>
      </c>
    </row>
    <row r="23" ht="22.5" customHeight="1">
      <c r="A23" s="80">
        <v>22.0</v>
      </c>
      <c r="B23" s="104" t="s">
        <v>4100</v>
      </c>
      <c r="C23" s="81" t="s">
        <v>4101</v>
      </c>
      <c r="D23" s="80">
        <v>8.455889445E9</v>
      </c>
      <c r="E23" s="84"/>
      <c r="F23" s="84"/>
      <c r="G23" s="75" t="s">
        <v>4059</v>
      </c>
      <c r="H23" s="109" t="s">
        <v>4102</v>
      </c>
      <c r="I23" s="107" t="s">
        <v>1731</v>
      </c>
      <c r="J23" s="104" t="s">
        <v>4103</v>
      </c>
      <c r="K23" s="105" t="s">
        <v>1933</v>
      </c>
    </row>
    <row r="24" ht="22.5" customHeight="1">
      <c r="A24" s="71">
        <v>23.0</v>
      </c>
      <c r="B24" s="102" t="s">
        <v>4104</v>
      </c>
      <c r="C24" s="72" t="s">
        <v>4105</v>
      </c>
      <c r="D24" s="71">
        <v>1.8709451315E10</v>
      </c>
      <c r="E24" s="72" t="s">
        <v>1085</v>
      </c>
      <c r="F24" s="77"/>
      <c r="G24" s="75" t="s">
        <v>4059</v>
      </c>
      <c r="H24" s="109" t="s">
        <v>4106</v>
      </c>
      <c r="I24" s="110" t="s">
        <v>427</v>
      </c>
      <c r="J24" s="102" t="s">
        <v>4107</v>
      </c>
      <c r="K24" s="88" t="s">
        <v>1933</v>
      </c>
    </row>
    <row r="25" ht="22.5" customHeight="1">
      <c r="A25" s="80">
        <v>24.0</v>
      </c>
      <c r="B25" s="104" t="s">
        <v>4108</v>
      </c>
      <c r="C25" s="81" t="s">
        <v>4109</v>
      </c>
      <c r="D25" s="80">
        <v>8.637243092E9</v>
      </c>
      <c r="E25" s="84"/>
      <c r="F25" s="84"/>
      <c r="G25" s="75" t="s">
        <v>4059</v>
      </c>
      <c r="H25" s="109" t="s">
        <v>4110</v>
      </c>
      <c r="I25" s="107" t="s">
        <v>1731</v>
      </c>
      <c r="J25" s="104" t="s">
        <v>4111</v>
      </c>
      <c r="K25" s="105" t="s">
        <v>1933</v>
      </c>
    </row>
    <row r="26" ht="22.5" customHeight="1">
      <c r="A26" s="71">
        <v>25.0</v>
      </c>
      <c r="B26" s="102" t="s">
        <v>4112</v>
      </c>
      <c r="C26" s="72" t="s">
        <v>4113</v>
      </c>
      <c r="D26" s="71">
        <v>9.661329442E9</v>
      </c>
      <c r="E26" s="77"/>
      <c r="F26" s="77"/>
      <c r="G26" s="75" t="s">
        <v>4059</v>
      </c>
      <c r="H26" s="109" t="s">
        <v>4114</v>
      </c>
      <c r="I26" s="107" t="s">
        <v>1731</v>
      </c>
      <c r="J26" s="102" t="s">
        <v>4089</v>
      </c>
      <c r="K26" s="88" t="s">
        <v>1933</v>
      </c>
    </row>
    <row r="27" ht="22.5" customHeight="1">
      <c r="A27" s="80">
        <v>26.0</v>
      </c>
      <c r="B27" s="104" t="s">
        <v>4115</v>
      </c>
      <c r="C27" s="81" t="s">
        <v>4116</v>
      </c>
      <c r="D27" s="80">
        <v>9.951908814E9</v>
      </c>
      <c r="E27" s="81" t="s">
        <v>534</v>
      </c>
      <c r="F27" s="84"/>
      <c r="G27" s="75" t="s">
        <v>4059</v>
      </c>
      <c r="H27" s="109" t="s">
        <v>4117</v>
      </c>
      <c r="I27" s="107" t="s">
        <v>1731</v>
      </c>
      <c r="J27" s="104" t="s">
        <v>4118</v>
      </c>
      <c r="K27" s="105" t="s">
        <v>1933</v>
      </c>
    </row>
    <row r="28" ht="22.5" customHeight="1">
      <c r="A28" s="71">
        <v>27.0</v>
      </c>
      <c r="B28" s="102" t="s">
        <v>4119</v>
      </c>
      <c r="C28" s="72" t="s">
        <v>4120</v>
      </c>
      <c r="D28" s="71">
        <v>9.133668214E9</v>
      </c>
      <c r="E28" s="72" t="s">
        <v>205</v>
      </c>
      <c r="F28" s="77"/>
      <c r="G28" s="75" t="s">
        <v>4059</v>
      </c>
      <c r="H28" s="109" t="s">
        <v>4121</v>
      </c>
      <c r="I28" s="110" t="s">
        <v>427</v>
      </c>
      <c r="J28" s="102" t="s">
        <v>4122</v>
      </c>
      <c r="K28" s="88" t="s">
        <v>1933</v>
      </c>
    </row>
    <row r="29" ht="22.5" customHeight="1">
      <c r="A29" s="80">
        <v>28.0</v>
      </c>
      <c r="B29" s="104" t="s">
        <v>4123</v>
      </c>
      <c r="C29" s="81" t="s">
        <v>4124</v>
      </c>
      <c r="D29" s="80">
        <v>9.938665617E9</v>
      </c>
      <c r="E29" s="81" t="s">
        <v>11</v>
      </c>
      <c r="F29" s="84"/>
      <c r="G29" s="75" t="s">
        <v>4059</v>
      </c>
      <c r="H29" s="109" t="s">
        <v>4125</v>
      </c>
      <c r="I29" s="107" t="s">
        <v>1731</v>
      </c>
      <c r="J29" s="104" t="s">
        <v>4126</v>
      </c>
      <c r="K29" s="105" t="s">
        <v>1933</v>
      </c>
    </row>
    <row r="30" ht="22.5" customHeight="1">
      <c r="A30" s="71">
        <v>29.0</v>
      </c>
      <c r="B30" s="102" t="s">
        <v>4127</v>
      </c>
      <c r="C30" s="72" t="s">
        <v>4128</v>
      </c>
      <c r="D30" s="71">
        <v>9.830076799E9</v>
      </c>
      <c r="E30" s="72" t="s">
        <v>211</v>
      </c>
      <c r="F30" s="77"/>
      <c r="G30" s="75" t="s">
        <v>4059</v>
      </c>
      <c r="H30" s="109" t="s">
        <v>4129</v>
      </c>
      <c r="I30" s="103" t="s">
        <v>1729</v>
      </c>
      <c r="J30" s="102" t="s">
        <v>1729</v>
      </c>
      <c r="K30" s="88" t="s">
        <v>1933</v>
      </c>
    </row>
    <row r="31" ht="22.5" customHeight="1">
      <c r="A31" s="80">
        <v>30.0</v>
      </c>
      <c r="B31" s="104" t="s">
        <v>4130</v>
      </c>
      <c r="C31" s="81" t="s">
        <v>4131</v>
      </c>
      <c r="D31" s="80">
        <v>8.555074497E9</v>
      </c>
      <c r="E31" s="81" t="s">
        <v>534</v>
      </c>
      <c r="F31" s="84"/>
      <c r="G31" s="75" t="s">
        <v>4059</v>
      </c>
      <c r="H31" s="109" t="s">
        <v>4132</v>
      </c>
      <c r="I31" s="103" t="s">
        <v>1729</v>
      </c>
      <c r="J31" s="104" t="s">
        <v>1729</v>
      </c>
      <c r="K31" s="105" t="s">
        <v>1933</v>
      </c>
    </row>
    <row r="32" ht="22.5" customHeight="1">
      <c r="A32" s="71">
        <v>31.0</v>
      </c>
      <c r="B32" s="102" t="s">
        <v>4133</v>
      </c>
      <c r="C32" s="72" t="s">
        <v>4134</v>
      </c>
      <c r="D32" s="106"/>
      <c r="E32" s="77"/>
      <c r="F32" s="77"/>
      <c r="G32" s="75" t="s">
        <v>4059</v>
      </c>
      <c r="H32" s="109" t="s">
        <v>4135</v>
      </c>
      <c r="I32" s="110" t="s">
        <v>427</v>
      </c>
      <c r="J32" s="111"/>
      <c r="K32" s="88" t="s">
        <v>1933</v>
      </c>
    </row>
    <row r="33" ht="22.5" customHeight="1">
      <c r="A33" s="80">
        <v>32.0</v>
      </c>
      <c r="B33" s="104" t="s">
        <v>4136</v>
      </c>
      <c r="C33" s="81" t="s">
        <v>4137</v>
      </c>
      <c r="D33" s="80">
        <v>9.730226681E9</v>
      </c>
      <c r="E33" s="84"/>
      <c r="F33" s="84"/>
      <c r="G33" s="75" t="s">
        <v>4059</v>
      </c>
      <c r="H33" s="109" t="s">
        <v>4138</v>
      </c>
      <c r="I33" s="108" t="s">
        <v>176</v>
      </c>
      <c r="J33" s="104" t="s">
        <v>4139</v>
      </c>
      <c r="K33" s="105" t="s">
        <v>1933</v>
      </c>
    </row>
    <row r="34" ht="22.5" customHeight="1">
      <c r="A34" s="71">
        <v>33.0</v>
      </c>
      <c r="B34" s="102" t="s">
        <v>4140</v>
      </c>
      <c r="C34" s="72" t="s">
        <v>4141</v>
      </c>
      <c r="D34" s="71">
        <v>7.765030194E9</v>
      </c>
      <c r="E34" s="77"/>
      <c r="F34" s="72" t="s">
        <v>90</v>
      </c>
      <c r="G34" s="75" t="s">
        <v>4059</v>
      </c>
      <c r="H34" s="109" t="s">
        <v>4142</v>
      </c>
      <c r="I34" s="103" t="s">
        <v>1729</v>
      </c>
      <c r="J34" s="102" t="s">
        <v>1729</v>
      </c>
      <c r="K34" s="88" t="s">
        <v>1933</v>
      </c>
    </row>
    <row r="35" ht="22.5" customHeight="1">
      <c r="A35" s="80">
        <v>34.0</v>
      </c>
      <c r="B35" s="104" t="s">
        <v>4143</v>
      </c>
      <c r="C35" s="81" t="s">
        <v>4144</v>
      </c>
      <c r="D35" s="80">
        <v>7.814961294E9</v>
      </c>
      <c r="E35" s="81" t="s">
        <v>229</v>
      </c>
      <c r="F35" s="84"/>
      <c r="G35" s="75" t="s">
        <v>4059</v>
      </c>
      <c r="H35" s="109" t="s">
        <v>4145</v>
      </c>
      <c r="I35" s="108" t="s">
        <v>176</v>
      </c>
      <c r="J35" s="104" t="s">
        <v>4146</v>
      </c>
      <c r="K35" s="105" t="s">
        <v>1933</v>
      </c>
    </row>
    <row r="36" ht="22.5" customHeight="1">
      <c r="A36" s="71">
        <v>35.0</v>
      </c>
      <c r="B36" s="102" t="s">
        <v>4147</v>
      </c>
      <c r="C36" s="72" t="s">
        <v>4148</v>
      </c>
      <c r="D36" s="71">
        <v>9.704308873E9</v>
      </c>
      <c r="E36" s="77"/>
      <c r="F36" s="72" t="s">
        <v>4149</v>
      </c>
      <c r="G36" s="75" t="s">
        <v>4059</v>
      </c>
      <c r="H36" s="109" t="s">
        <v>4150</v>
      </c>
      <c r="I36" s="108" t="s">
        <v>176</v>
      </c>
      <c r="J36" s="102" t="s">
        <v>4146</v>
      </c>
      <c r="K36" s="88" t="s">
        <v>1933</v>
      </c>
    </row>
    <row r="37" ht="22.5" customHeight="1">
      <c r="A37" s="80">
        <v>36.0</v>
      </c>
      <c r="B37" s="104" t="s">
        <v>4151</v>
      </c>
      <c r="C37" s="81" t="s">
        <v>4152</v>
      </c>
      <c r="D37" s="80">
        <v>7.217685905E9</v>
      </c>
      <c r="E37" s="81" t="s">
        <v>4153</v>
      </c>
      <c r="F37" s="81" t="s">
        <v>4154</v>
      </c>
      <c r="G37" s="75" t="s">
        <v>4059</v>
      </c>
      <c r="H37" s="109" t="s">
        <v>4155</v>
      </c>
      <c r="I37" s="103" t="s">
        <v>1729</v>
      </c>
      <c r="J37" s="104" t="s">
        <v>1729</v>
      </c>
      <c r="K37" s="105" t="s">
        <v>1933</v>
      </c>
    </row>
    <row r="38" ht="22.5" customHeight="1">
      <c r="A38" s="71">
        <v>37.0</v>
      </c>
      <c r="B38" s="102" t="s">
        <v>4156</v>
      </c>
      <c r="C38" s="72" t="s">
        <v>4157</v>
      </c>
      <c r="D38" s="71">
        <v>9.571586531E9</v>
      </c>
      <c r="E38" s="72" t="s">
        <v>360</v>
      </c>
      <c r="F38" s="72" t="s">
        <v>4158</v>
      </c>
      <c r="G38" s="75" t="s">
        <v>4059</v>
      </c>
      <c r="H38" s="109" t="s">
        <v>4159</v>
      </c>
      <c r="I38" s="108" t="s">
        <v>176</v>
      </c>
      <c r="J38" s="102" t="s">
        <v>4139</v>
      </c>
      <c r="K38" s="88" t="s">
        <v>1933</v>
      </c>
    </row>
    <row r="39" ht="22.5" customHeight="1">
      <c r="A39" s="80">
        <v>38.0</v>
      </c>
      <c r="B39" s="104" t="s">
        <v>4160</v>
      </c>
      <c r="C39" s="81" t="s">
        <v>4161</v>
      </c>
      <c r="D39" s="112"/>
      <c r="E39" s="84"/>
      <c r="F39" s="84"/>
      <c r="G39" s="75" t="s">
        <v>4059</v>
      </c>
      <c r="H39" s="109" t="s">
        <v>4162</v>
      </c>
      <c r="I39" s="110" t="s">
        <v>427</v>
      </c>
      <c r="J39" s="113"/>
      <c r="K39" s="105" t="s">
        <v>1933</v>
      </c>
    </row>
    <row r="40" ht="22.5" customHeight="1">
      <c r="A40" s="71">
        <v>39.0</v>
      </c>
      <c r="B40" s="102" t="s">
        <v>4163</v>
      </c>
      <c r="C40" s="72" t="s">
        <v>4164</v>
      </c>
      <c r="D40" s="106"/>
      <c r="E40" s="77"/>
      <c r="F40" s="72" t="s">
        <v>4165</v>
      </c>
      <c r="G40" s="75" t="s">
        <v>4059</v>
      </c>
      <c r="H40" s="109" t="s">
        <v>4166</v>
      </c>
      <c r="I40" s="110" t="s">
        <v>427</v>
      </c>
      <c r="J40" s="111"/>
      <c r="K40" s="88" t="s">
        <v>1933</v>
      </c>
    </row>
    <row r="41" ht="22.5" customHeight="1">
      <c r="A41" s="80">
        <v>40.0</v>
      </c>
      <c r="B41" s="104" t="s">
        <v>4167</v>
      </c>
      <c r="C41" s="81" t="s">
        <v>4168</v>
      </c>
      <c r="D41" s="112"/>
      <c r="E41" s="81" t="s">
        <v>3978</v>
      </c>
      <c r="F41" s="84"/>
      <c r="G41" s="75" t="s">
        <v>4059</v>
      </c>
      <c r="H41" s="109" t="s">
        <v>4169</v>
      </c>
      <c r="I41" s="110" t="s">
        <v>427</v>
      </c>
      <c r="J41" s="113"/>
      <c r="K41" s="105" t="s">
        <v>1933</v>
      </c>
    </row>
    <row r="42" ht="22.5" customHeight="1">
      <c r="A42" s="71">
        <v>41.0</v>
      </c>
      <c r="B42" s="102" t="s">
        <v>4170</v>
      </c>
      <c r="C42" s="72" t="s">
        <v>4171</v>
      </c>
      <c r="D42" s="71">
        <v>2.4104226735E10</v>
      </c>
      <c r="E42" s="72" t="s">
        <v>229</v>
      </c>
      <c r="F42" s="77"/>
      <c r="G42" s="75" t="s">
        <v>4059</v>
      </c>
      <c r="H42" s="109" t="s">
        <v>4172</v>
      </c>
      <c r="I42" s="110" t="s">
        <v>427</v>
      </c>
      <c r="J42" s="111"/>
      <c r="K42" s="88" t="s">
        <v>1933</v>
      </c>
    </row>
    <row r="43" ht="22.5" customHeight="1">
      <c r="A43" s="80">
        <v>42.0</v>
      </c>
      <c r="B43" s="104" t="s">
        <v>4173</v>
      </c>
      <c r="C43" s="81" t="s">
        <v>4174</v>
      </c>
      <c r="D43" s="80">
        <v>2.6771576418E10</v>
      </c>
      <c r="E43" s="84"/>
      <c r="F43" s="84"/>
      <c r="G43" s="75" t="s">
        <v>4059</v>
      </c>
      <c r="H43" s="109" t="s">
        <v>4175</v>
      </c>
      <c r="I43" s="110" t="s">
        <v>427</v>
      </c>
      <c r="J43" s="113"/>
      <c r="K43" s="105" t="s">
        <v>1933</v>
      </c>
    </row>
    <row r="44" ht="22.5" customHeight="1">
      <c r="A44" s="71">
        <v>43.0</v>
      </c>
      <c r="B44" s="102" t="s">
        <v>4176</v>
      </c>
      <c r="C44" s="72" t="s">
        <v>4177</v>
      </c>
      <c r="D44" s="106"/>
      <c r="E44" s="77"/>
      <c r="F44" s="77"/>
      <c r="G44" s="75" t="s">
        <v>4059</v>
      </c>
      <c r="H44" s="109" t="s">
        <v>4178</v>
      </c>
      <c r="I44" s="110" t="s">
        <v>427</v>
      </c>
      <c r="J44" s="111"/>
      <c r="K44" s="88" t="s">
        <v>1933</v>
      </c>
    </row>
    <row r="45" ht="22.5" customHeight="1">
      <c r="A45" s="80">
        <v>44.0</v>
      </c>
      <c r="B45" s="104" t="s">
        <v>4179</v>
      </c>
      <c r="C45" s="81" t="s">
        <v>4180</v>
      </c>
      <c r="D45" s="80">
        <v>6.289532617E9</v>
      </c>
      <c r="E45" s="84"/>
      <c r="F45" s="84"/>
      <c r="G45" s="75" t="s">
        <v>4059</v>
      </c>
      <c r="H45" s="109" t="s">
        <v>4181</v>
      </c>
      <c r="I45" s="110" t="s">
        <v>176</v>
      </c>
      <c r="J45" s="113"/>
      <c r="K45" s="105" t="s">
        <v>1933</v>
      </c>
    </row>
    <row r="46" ht="22.5" customHeight="1">
      <c r="A46" s="71">
        <v>45.0</v>
      </c>
      <c r="B46" s="102" t="s">
        <v>4182</v>
      </c>
      <c r="C46" s="72" t="s">
        <v>4183</v>
      </c>
      <c r="D46" s="71">
        <v>6.371054204E9</v>
      </c>
      <c r="E46" s="72" t="s">
        <v>11</v>
      </c>
      <c r="F46" s="72" t="s">
        <v>4184</v>
      </c>
      <c r="G46" s="75" t="s">
        <v>4059</v>
      </c>
      <c r="H46" s="109" t="s">
        <v>4185</v>
      </c>
      <c r="I46" s="108" t="s">
        <v>176</v>
      </c>
      <c r="J46" s="102" t="s">
        <v>4146</v>
      </c>
      <c r="K46" s="88" t="s">
        <v>1933</v>
      </c>
    </row>
    <row r="47" ht="22.5" customHeight="1">
      <c r="A47" s="80">
        <v>46.0</v>
      </c>
      <c r="B47" s="104" t="s">
        <v>4186</v>
      </c>
      <c r="C47" s="81" t="s">
        <v>4187</v>
      </c>
      <c r="D47" s="80">
        <v>9.941004317E9</v>
      </c>
      <c r="E47" s="81" t="s">
        <v>1104</v>
      </c>
      <c r="F47" s="81" t="s">
        <v>4188</v>
      </c>
      <c r="G47" s="75" t="s">
        <v>4059</v>
      </c>
      <c r="H47" s="109" t="s">
        <v>4189</v>
      </c>
      <c r="I47" s="107" t="s">
        <v>1731</v>
      </c>
      <c r="J47" s="104" t="s">
        <v>4190</v>
      </c>
      <c r="K47" s="105" t="s">
        <v>1933</v>
      </c>
    </row>
    <row r="48" ht="22.5" customHeight="1">
      <c r="A48" s="71">
        <v>47.0</v>
      </c>
      <c r="B48" s="102" t="s">
        <v>4191</v>
      </c>
      <c r="C48" s="72" t="s">
        <v>4192</v>
      </c>
      <c r="D48" s="71">
        <v>9.779801071E9</v>
      </c>
      <c r="E48" s="77"/>
      <c r="F48" s="77"/>
      <c r="G48" s="75" t="s">
        <v>4059</v>
      </c>
      <c r="H48" s="109" t="s">
        <v>4193</v>
      </c>
      <c r="I48" s="110" t="s">
        <v>427</v>
      </c>
      <c r="J48" s="102" t="s">
        <v>4194</v>
      </c>
      <c r="K48" s="88" t="s">
        <v>1933</v>
      </c>
    </row>
    <row r="49" ht="22.5" customHeight="1">
      <c r="A49" s="80">
        <v>48.0</v>
      </c>
      <c r="B49" s="104" t="s">
        <v>4195</v>
      </c>
      <c r="C49" s="81" t="s">
        <v>4196</v>
      </c>
      <c r="D49" s="112"/>
      <c r="E49" s="81" t="s">
        <v>4197</v>
      </c>
      <c r="F49" s="84"/>
      <c r="G49" s="75" t="s">
        <v>4059</v>
      </c>
      <c r="H49" s="109" t="s">
        <v>4198</v>
      </c>
      <c r="I49" s="110" t="s">
        <v>427</v>
      </c>
      <c r="J49" s="102" t="s">
        <v>4194</v>
      </c>
      <c r="K49" s="105" t="s">
        <v>1933</v>
      </c>
    </row>
    <row r="50" ht="22.5" customHeight="1">
      <c r="A50" s="71">
        <v>49.0</v>
      </c>
      <c r="B50" s="102" t="s">
        <v>4199</v>
      </c>
      <c r="C50" s="72" t="s">
        <v>4200</v>
      </c>
      <c r="D50" s="106"/>
      <c r="E50" s="72" t="s">
        <v>4201</v>
      </c>
      <c r="F50" s="77"/>
      <c r="G50" s="75" t="s">
        <v>4059</v>
      </c>
      <c r="H50" s="109" t="s">
        <v>4202</v>
      </c>
      <c r="I50" s="110" t="s">
        <v>427</v>
      </c>
      <c r="J50" s="102" t="s">
        <v>4194</v>
      </c>
      <c r="K50" s="88" t="s">
        <v>1933</v>
      </c>
    </row>
    <row r="51" ht="22.5" customHeight="1">
      <c r="A51" s="80">
        <v>50.0</v>
      </c>
      <c r="B51" s="104" t="s">
        <v>4203</v>
      </c>
      <c r="C51" s="81" t="s">
        <v>4204</v>
      </c>
      <c r="D51" s="80">
        <v>9.351105177E9</v>
      </c>
      <c r="E51" s="81" t="s">
        <v>360</v>
      </c>
      <c r="F51" s="81" t="s">
        <v>4205</v>
      </c>
      <c r="G51" s="75" t="s">
        <v>4059</v>
      </c>
      <c r="H51" s="109" t="s">
        <v>4206</v>
      </c>
      <c r="I51" s="108" t="s">
        <v>176</v>
      </c>
      <c r="J51" s="104" t="s">
        <v>4146</v>
      </c>
      <c r="K51" s="105" t="s">
        <v>1933</v>
      </c>
    </row>
    <row r="52" ht="22.5" customHeight="1">
      <c r="A52" s="71">
        <v>51.0</v>
      </c>
      <c r="B52" s="102" t="s">
        <v>4207</v>
      </c>
      <c r="C52" s="72" t="s">
        <v>4208</v>
      </c>
      <c r="D52" s="71">
        <v>8.801975064E9</v>
      </c>
      <c r="E52" s="72" t="s">
        <v>4209</v>
      </c>
      <c r="F52" s="77"/>
      <c r="G52" s="75" t="s">
        <v>4059</v>
      </c>
      <c r="H52" s="109" t="s">
        <v>4210</v>
      </c>
      <c r="I52" s="110" t="s">
        <v>427</v>
      </c>
      <c r="J52" s="102" t="s">
        <v>4194</v>
      </c>
      <c r="K52" s="88" t="s">
        <v>1933</v>
      </c>
    </row>
    <row r="53" ht="22.5" customHeight="1">
      <c r="A53" s="80">
        <v>52.0</v>
      </c>
      <c r="B53" s="104" t="s">
        <v>4211</v>
      </c>
      <c r="C53" s="81" t="s">
        <v>4212</v>
      </c>
      <c r="D53" s="112"/>
      <c r="E53" s="84"/>
      <c r="F53" s="84"/>
      <c r="G53" s="75" t="s">
        <v>4059</v>
      </c>
      <c r="H53" s="109" t="s">
        <v>4213</v>
      </c>
      <c r="I53" s="110" t="s">
        <v>427</v>
      </c>
      <c r="J53" s="102" t="s">
        <v>4194</v>
      </c>
      <c r="K53" s="105" t="s">
        <v>1933</v>
      </c>
    </row>
    <row r="54" ht="22.5" customHeight="1">
      <c r="A54" s="71">
        <v>53.0</v>
      </c>
      <c r="B54" s="102" t="s">
        <v>4214</v>
      </c>
      <c r="C54" s="72" t="s">
        <v>4215</v>
      </c>
      <c r="D54" s="71">
        <v>9.6560060102E10</v>
      </c>
      <c r="E54" s="77"/>
      <c r="F54" s="77"/>
      <c r="G54" s="75" t="s">
        <v>4059</v>
      </c>
      <c r="H54" s="109" t="s">
        <v>4216</v>
      </c>
      <c r="I54" s="110" t="s">
        <v>427</v>
      </c>
      <c r="J54" s="102" t="s">
        <v>4194</v>
      </c>
      <c r="K54" s="88" t="s">
        <v>1933</v>
      </c>
    </row>
    <row r="55" ht="22.5" customHeight="1">
      <c r="A55" s="80">
        <v>54.0</v>
      </c>
      <c r="B55" s="104" t="s">
        <v>4217</v>
      </c>
      <c r="C55" s="81" t="s">
        <v>4218</v>
      </c>
      <c r="D55" s="112"/>
      <c r="E55" s="81" t="s">
        <v>3978</v>
      </c>
      <c r="F55" s="84"/>
      <c r="G55" s="75" t="s">
        <v>4059</v>
      </c>
      <c r="H55" s="109" t="s">
        <v>4219</v>
      </c>
      <c r="I55" s="110" t="s">
        <v>427</v>
      </c>
      <c r="J55" s="102" t="s">
        <v>4194</v>
      </c>
      <c r="K55" s="105" t="s">
        <v>1933</v>
      </c>
    </row>
    <row r="56" ht="22.5" customHeight="1">
      <c r="A56" s="71">
        <v>55.0</v>
      </c>
      <c r="B56" s="102" t="s">
        <v>4220</v>
      </c>
      <c r="C56" s="72" t="s">
        <v>4221</v>
      </c>
      <c r="D56" s="106"/>
      <c r="E56" s="77"/>
      <c r="F56" s="77"/>
      <c r="G56" s="75" t="s">
        <v>4059</v>
      </c>
      <c r="H56" s="109" t="s">
        <v>4222</v>
      </c>
      <c r="I56" s="110" t="s">
        <v>427</v>
      </c>
      <c r="J56" s="102" t="s">
        <v>4194</v>
      </c>
      <c r="K56" s="88" t="s">
        <v>1933</v>
      </c>
    </row>
    <row r="57" ht="22.5" customHeight="1">
      <c r="A57" s="80">
        <v>56.0</v>
      </c>
      <c r="B57" s="104" t="s">
        <v>4223</v>
      </c>
      <c r="C57" s="81" t="s">
        <v>4224</v>
      </c>
      <c r="D57" s="80">
        <v>8.801712109E9</v>
      </c>
      <c r="E57" s="81" t="s">
        <v>534</v>
      </c>
      <c r="F57" s="81" t="s">
        <v>4225</v>
      </c>
      <c r="G57" s="75" t="s">
        <v>4059</v>
      </c>
      <c r="H57" s="109" t="s">
        <v>4226</v>
      </c>
      <c r="I57" s="110" t="s">
        <v>1729</v>
      </c>
      <c r="J57" s="102" t="s">
        <v>4194</v>
      </c>
      <c r="K57" s="105" t="s">
        <v>1933</v>
      </c>
    </row>
    <row r="58" ht="22.5" customHeight="1">
      <c r="A58" s="71">
        <v>57.0</v>
      </c>
      <c r="B58" s="102" t="s">
        <v>4227</v>
      </c>
      <c r="C58" s="72" t="s">
        <v>4228</v>
      </c>
      <c r="D58" s="71">
        <v>2.6876051274E10</v>
      </c>
      <c r="E58" s="77"/>
      <c r="F58" s="77"/>
      <c r="G58" s="75" t="s">
        <v>4059</v>
      </c>
      <c r="H58" s="109" t="s">
        <v>4229</v>
      </c>
      <c r="I58" s="110" t="s">
        <v>427</v>
      </c>
      <c r="J58" s="102" t="s">
        <v>4194</v>
      </c>
      <c r="K58" s="88" t="s">
        <v>1933</v>
      </c>
    </row>
    <row r="59" ht="22.5" customHeight="1">
      <c r="A59" s="80">
        <v>58.0</v>
      </c>
      <c r="B59" s="104" t="s">
        <v>4230</v>
      </c>
      <c r="C59" s="81" t="s">
        <v>4231</v>
      </c>
      <c r="D59" s="112"/>
      <c r="E59" s="84"/>
      <c r="F59" s="84"/>
      <c r="G59" s="75" t="s">
        <v>4059</v>
      </c>
      <c r="H59" s="109" t="s">
        <v>4232</v>
      </c>
      <c r="I59" s="110" t="s">
        <v>427</v>
      </c>
      <c r="J59" s="102" t="s">
        <v>4194</v>
      </c>
      <c r="K59" s="105" t="s">
        <v>1933</v>
      </c>
    </row>
    <row r="60" ht="22.5" customHeight="1">
      <c r="A60" s="71">
        <v>59.0</v>
      </c>
      <c r="B60" s="102" t="s">
        <v>4233</v>
      </c>
      <c r="C60" s="72" t="s">
        <v>4234</v>
      </c>
      <c r="D60" s="106"/>
      <c r="E60" s="72" t="s">
        <v>4235</v>
      </c>
      <c r="F60" s="77"/>
      <c r="G60" s="75" t="s">
        <v>4059</v>
      </c>
      <c r="H60" s="109" t="s">
        <v>4236</v>
      </c>
      <c r="I60" s="110" t="s">
        <v>427</v>
      </c>
      <c r="J60" s="102" t="s">
        <v>4194</v>
      </c>
      <c r="K60" s="88" t="s">
        <v>1933</v>
      </c>
    </row>
    <row r="61" ht="22.5" customHeight="1">
      <c r="A61" s="80">
        <v>60.0</v>
      </c>
      <c r="B61" s="104" t="s">
        <v>4237</v>
      </c>
      <c r="C61" s="81" t="s">
        <v>4238</v>
      </c>
      <c r="D61" s="112"/>
      <c r="E61" s="84"/>
      <c r="F61" s="84"/>
      <c r="G61" s="75" t="s">
        <v>4059</v>
      </c>
      <c r="H61" s="109" t="s">
        <v>4239</v>
      </c>
      <c r="I61" s="110" t="s">
        <v>427</v>
      </c>
      <c r="J61" s="102" t="s">
        <v>4194</v>
      </c>
      <c r="K61" s="105" t="s">
        <v>1933</v>
      </c>
    </row>
    <row r="62" ht="22.5" customHeight="1">
      <c r="A62" s="71">
        <v>61.0</v>
      </c>
      <c r="B62" s="102" t="s">
        <v>4240</v>
      </c>
      <c r="C62" s="72" t="s">
        <v>4241</v>
      </c>
      <c r="D62" s="71">
        <v>6.7572313925E10</v>
      </c>
      <c r="E62" s="72" t="s">
        <v>534</v>
      </c>
      <c r="F62" s="77"/>
      <c r="G62" s="75" t="s">
        <v>4059</v>
      </c>
      <c r="H62" s="109" t="s">
        <v>4242</v>
      </c>
      <c r="I62" s="110" t="s">
        <v>1729</v>
      </c>
      <c r="J62" s="102" t="s">
        <v>4194</v>
      </c>
      <c r="K62" s="88" t="s">
        <v>1933</v>
      </c>
    </row>
    <row r="63" ht="22.5" customHeight="1">
      <c r="A63" s="80">
        <v>62.0</v>
      </c>
      <c r="B63" s="104" t="s">
        <v>4243</v>
      </c>
      <c r="C63" s="81" t="s">
        <v>4244</v>
      </c>
      <c r="D63" s="112"/>
      <c r="E63" s="84"/>
      <c r="F63" s="84"/>
      <c r="G63" s="75" t="s">
        <v>4059</v>
      </c>
      <c r="H63" s="109" t="s">
        <v>4245</v>
      </c>
      <c r="I63" s="110" t="s">
        <v>427</v>
      </c>
      <c r="J63" s="102" t="s">
        <v>4194</v>
      </c>
      <c r="K63" s="105" t="s">
        <v>1933</v>
      </c>
    </row>
    <row r="64" ht="22.5" customHeight="1">
      <c r="A64" s="71">
        <v>63.0</v>
      </c>
      <c r="B64" s="102" t="s">
        <v>4246</v>
      </c>
      <c r="C64" s="72" t="s">
        <v>4247</v>
      </c>
      <c r="D64" s="106"/>
      <c r="E64" s="77"/>
      <c r="F64" s="77"/>
      <c r="G64" s="75" t="s">
        <v>4059</v>
      </c>
      <c r="H64" s="109" t="s">
        <v>4248</v>
      </c>
      <c r="I64" s="110" t="s">
        <v>427</v>
      </c>
      <c r="J64" s="102" t="s">
        <v>4194</v>
      </c>
      <c r="K64" s="88" t="s">
        <v>1933</v>
      </c>
    </row>
    <row r="65" ht="22.5" customHeight="1">
      <c r="A65" s="80">
        <v>64.0</v>
      </c>
      <c r="B65" s="104" t="s">
        <v>4249</v>
      </c>
      <c r="C65" s="81" t="s">
        <v>4250</v>
      </c>
      <c r="D65" s="80">
        <v>2.3566549795E10</v>
      </c>
      <c r="E65" s="81" t="s">
        <v>4251</v>
      </c>
      <c r="F65" s="84"/>
      <c r="G65" s="75" t="s">
        <v>4059</v>
      </c>
      <c r="H65" s="109" t="s">
        <v>4252</v>
      </c>
      <c r="I65" s="110" t="s">
        <v>427</v>
      </c>
      <c r="J65" s="102" t="s">
        <v>4194</v>
      </c>
      <c r="K65" s="105" t="s">
        <v>1933</v>
      </c>
    </row>
    <row r="66" ht="22.5" customHeight="1">
      <c r="A66" s="71">
        <v>65.0</v>
      </c>
      <c r="B66" s="102" t="s">
        <v>4253</v>
      </c>
      <c r="C66" s="72" t="s">
        <v>4254</v>
      </c>
      <c r="D66" s="71">
        <v>2.6772225305E10</v>
      </c>
      <c r="E66" s="77"/>
      <c r="F66" s="77"/>
      <c r="G66" s="75" t="s">
        <v>4059</v>
      </c>
      <c r="H66" s="109" t="s">
        <v>4255</v>
      </c>
      <c r="I66" s="110" t="s">
        <v>427</v>
      </c>
      <c r="J66" s="102" t="s">
        <v>4194</v>
      </c>
      <c r="K66" s="88" t="s">
        <v>1933</v>
      </c>
    </row>
    <row r="67" ht="22.5" customHeight="1">
      <c r="A67" s="80">
        <v>66.0</v>
      </c>
      <c r="B67" s="104" t="s">
        <v>4256</v>
      </c>
      <c r="C67" s="81" t="s">
        <v>4257</v>
      </c>
      <c r="D67" s="80">
        <v>2.7781836216E10</v>
      </c>
      <c r="E67" s="81" t="s">
        <v>993</v>
      </c>
      <c r="F67" s="84"/>
      <c r="G67" s="75" t="s">
        <v>4059</v>
      </c>
      <c r="H67" s="109" t="s">
        <v>4258</v>
      </c>
      <c r="I67" s="110" t="s">
        <v>1729</v>
      </c>
      <c r="J67" s="113"/>
      <c r="K67" s="105" t="s">
        <v>1933</v>
      </c>
    </row>
    <row r="68" ht="22.5" customHeight="1">
      <c r="A68" s="71">
        <v>67.0</v>
      </c>
      <c r="B68" s="102" t="s">
        <v>4259</v>
      </c>
      <c r="C68" s="72" t="s">
        <v>4260</v>
      </c>
      <c r="D68" s="71">
        <v>7.380832441E9</v>
      </c>
      <c r="E68" s="72" t="s">
        <v>344</v>
      </c>
      <c r="F68" s="72" t="s">
        <v>3627</v>
      </c>
      <c r="G68" s="75" t="s">
        <v>4059</v>
      </c>
      <c r="H68" s="109" t="s">
        <v>4261</v>
      </c>
      <c r="I68" s="114" t="s">
        <v>2581</v>
      </c>
      <c r="J68" s="102" t="s">
        <v>4262</v>
      </c>
      <c r="K68" s="88" t="s">
        <v>1933</v>
      </c>
    </row>
    <row r="69" ht="22.5" customHeight="1">
      <c r="A69" s="80">
        <v>68.0</v>
      </c>
      <c r="B69" s="104" t="s">
        <v>4263</v>
      </c>
      <c r="C69" s="81" t="s">
        <v>4264</v>
      </c>
      <c r="D69" s="80">
        <v>8.93606354E9</v>
      </c>
      <c r="E69" s="84"/>
      <c r="F69" s="81" t="s">
        <v>4265</v>
      </c>
      <c r="G69" s="75" t="s">
        <v>4059</v>
      </c>
      <c r="H69" s="109" t="s">
        <v>4266</v>
      </c>
      <c r="I69" s="108" t="s">
        <v>176</v>
      </c>
      <c r="J69" s="104" t="s">
        <v>4267</v>
      </c>
      <c r="K69" s="105" t="s">
        <v>1933</v>
      </c>
    </row>
    <row r="70" ht="22.5" customHeight="1">
      <c r="A70" s="71">
        <v>69.0</v>
      </c>
      <c r="B70" s="102" t="s">
        <v>4268</v>
      </c>
      <c r="C70" s="72" t="s">
        <v>4269</v>
      </c>
      <c r="D70" s="71">
        <v>8.658382227E9</v>
      </c>
      <c r="E70" s="72" t="s">
        <v>11</v>
      </c>
      <c r="F70" s="72" t="s">
        <v>216</v>
      </c>
      <c r="G70" s="75" t="s">
        <v>4059</v>
      </c>
      <c r="H70" s="109" t="s">
        <v>4270</v>
      </c>
      <c r="I70" s="103" t="s">
        <v>1729</v>
      </c>
      <c r="J70" s="102" t="s">
        <v>1729</v>
      </c>
      <c r="K70" s="88" t="s">
        <v>1933</v>
      </c>
    </row>
    <row r="71" ht="22.5" customHeight="1">
      <c r="A71" s="80">
        <v>70.0</v>
      </c>
      <c r="B71" s="104" t="s">
        <v>4271</v>
      </c>
      <c r="C71" s="81" t="s">
        <v>4272</v>
      </c>
      <c r="D71" s="80">
        <v>8.537961433E9</v>
      </c>
      <c r="E71" s="81" t="s">
        <v>211</v>
      </c>
      <c r="F71" s="81" t="s">
        <v>376</v>
      </c>
      <c r="G71" s="89" t="s">
        <v>4273</v>
      </c>
      <c r="H71" s="89" t="s">
        <v>4274</v>
      </c>
      <c r="I71" s="110" t="s">
        <v>1729</v>
      </c>
      <c r="J71" s="104" t="s">
        <v>4275</v>
      </c>
      <c r="K71" s="105" t="s">
        <v>1933</v>
      </c>
    </row>
    <row r="72" ht="22.5" customHeight="1">
      <c r="A72" s="71">
        <v>71.0</v>
      </c>
      <c r="B72" s="102" t="s">
        <v>4276</v>
      </c>
      <c r="C72" s="72" t="s">
        <v>4277</v>
      </c>
      <c r="D72" s="71">
        <v>8.809715972E9</v>
      </c>
      <c r="E72" s="77"/>
      <c r="F72" s="72" t="s">
        <v>4278</v>
      </c>
      <c r="G72" s="89" t="s">
        <v>4273</v>
      </c>
      <c r="H72" s="89" t="s">
        <v>4274</v>
      </c>
      <c r="I72" s="103" t="s">
        <v>1729</v>
      </c>
      <c r="J72" s="102" t="s">
        <v>1729</v>
      </c>
      <c r="K72" s="88" t="s">
        <v>1933</v>
      </c>
    </row>
    <row r="73" ht="22.5" customHeight="1">
      <c r="A73" s="80">
        <v>72.0</v>
      </c>
      <c r="B73" s="104" t="s">
        <v>4279</v>
      </c>
      <c r="C73" s="81" t="s">
        <v>4280</v>
      </c>
      <c r="D73" s="80">
        <v>7.047004741E9</v>
      </c>
      <c r="E73" s="84"/>
      <c r="F73" s="81" t="s">
        <v>4281</v>
      </c>
      <c r="G73" s="89" t="s">
        <v>4273</v>
      </c>
      <c r="H73" s="89" t="s">
        <v>4274</v>
      </c>
      <c r="I73" s="108" t="s">
        <v>176</v>
      </c>
      <c r="J73" s="104" t="s">
        <v>4267</v>
      </c>
      <c r="K73" s="105" t="s">
        <v>1933</v>
      </c>
    </row>
    <row r="74" ht="22.5" customHeight="1">
      <c r="A74" s="71">
        <v>73.0</v>
      </c>
      <c r="B74" s="102" t="s">
        <v>4282</v>
      </c>
      <c r="C74" s="72" t="s">
        <v>4283</v>
      </c>
      <c r="D74" s="71">
        <v>9.853512252E9</v>
      </c>
      <c r="E74" s="72" t="s">
        <v>11</v>
      </c>
      <c r="F74" s="72" t="s">
        <v>948</v>
      </c>
      <c r="G74" s="89" t="s">
        <v>4273</v>
      </c>
      <c r="H74" s="89" t="s">
        <v>4274</v>
      </c>
      <c r="I74" s="110" t="s">
        <v>427</v>
      </c>
      <c r="J74" s="102" t="s">
        <v>4284</v>
      </c>
      <c r="K74" s="88" t="s">
        <v>1933</v>
      </c>
    </row>
    <row r="75" ht="22.5" customHeight="1">
      <c r="A75" s="80">
        <v>74.0</v>
      </c>
      <c r="B75" s="104" t="s">
        <v>4285</v>
      </c>
      <c r="C75" s="81" t="s">
        <v>4286</v>
      </c>
      <c r="D75" s="80">
        <v>9.572330143E9</v>
      </c>
      <c r="E75" s="81" t="s">
        <v>229</v>
      </c>
      <c r="F75" s="81" t="s">
        <v>4287</v>
      </c>
      <c r="G75" s="89" t="s">
        <v>4273</v>
      </c>
      <c r="H75" s="89" t="s">
        <v>4274</v>
      </c>
      <c r="I75" s="103" t="s">
        <v>1729</v>
      </c>
      <c r="J75" s="104" t="s">
        <v>1729</v>
      </c>
      <c r="K75" s="105" t="s">
        <v>1933</v>
      </c>
    </row>
    <row r="76" ht="22.5" customHeight="1">
      <c r="A76" s="71">
        <v>75.0</v>
      </c>
      <c r="B76" s="102" t="s">
        <v>4288</v>
      </c>
      <c r="C76" s="72" t="s">
        <v>4289</v>
      </c>
      <c r="D76" s="71">
        <v>8.334053168E9</v>
      </c>
      <c r="E76" s="72" t="s">
        <v>229</v>
      </c>
      <c r="F76" s="72" t="s">
        <v>3801</v>
      </c>
      <c r="G76" s="89" t="s">
        <v>4273</v>
      </c>
      <c r="H76" s="89" t="s">
        <v>4274</v>
      </c>
      <c r="I76" s="108" t="s">
        <v>176</v>
      </c>
      <c r="J76" s="102" t="s">
        <v>4267</v>
      </c>
      <c r="K76" s="88" t="s">
        <v>1933</v>
      </c>
    </row>
    <row r="77" ht="22.5" customHeight="1">
      <c r="A77" s="80">
        <v>76.0</v>
      </c>
      <c r="B77" s="104" t="s">
        <v>4290</v>
      </c>
      <c r="C77" s="81" t="s">
        <v>4291</v>
      </c>
      <c r="D77" s="80">
        <v>6.37185079E9</v>
      </c>
      <c r="E77" s="81" t="s">
        <v>11</v>
      </c>
      <c r="F77" s="81" t="s">
        <v>4292</v>
      </c>
      <c r="G77" s="89" t="s">
        <v>4273</v>
      </c>
      <c r="H77" s="89" t="s">
        <v>4274</v>
      </c>
      <c r="I77" s="103" t="s">
        <v>1729</v>
      </c>
      <c r="J77" s="104" t="s">
        <v>1729</v>
      </c>
      <c r="K77" s="105" t="s">
        <v>1933</v>
      </c>
    </row>
    <row r="78" ht="22.5" customHeight="1">
      <c r="A78" s="71">
        <v>77.0</v>
      </c>
      <c r="B78" s="102" t="s">
        <v>4293</v>
      </c>
      <c r="C78" s="72" t="s">
        <v>4294</v>
      </c>
      <c r="D78" s="71">
        <v>9.438257144E9</v>
      </c>
      <c r="E78" s="72" t="s">
        <v>11</v>
      </c>
      <c r="F78" s="72" t="s">
        <v>4295</v>
      </c>
      <c r="G78" s="89" t="s">
        <v>4273</v>
      </c>
      <c r="H78" s="89" t="s">
        <v>4274</v>
      </c>
      <c r="I78" s="107" t="s">
        <v>1731</v>
      </c>
      <c r="J78" s="102" t="s">
        <v>4296</v>
      </c>
      <c r="K78" s="88" t="s">
        <v>1933</v>
      </c>
    </row>
  </sheetData>
  <hyperlinks>
    <hyperlink r:id="rId1" ref="H12"/>
    <hyperlink r:id="rId2" ref="H13"/>
    <hyperlink r:id="rId3" ref="H14"/>
    <hyperlink r:id="rId4" ref="H15"/>
    <hyperlink r:id="rId5" ref="H16"/>
    <hyperlink r:id="rId6" ref="H17"/>
    <hyperlink r:id="rId7" ref="H18"/>
    <hyperlink r:id="rId8" ref="H19"/>
    <hyperlink r:id="rId9" ref="H20"/>
    <hyperlink r:id="rId10" ref="H21"/>
    <hyperlink r:id="rId11" ref="H22"/>
    <hyperlink r:id="rId12" ref="H23"/>
    <hyperlink r:id="rId13" ref="H24"/>
    <hyperlink r:id="rId14" ref="H25"/>
    <hyperlink r:id="rId15" ref="H26"/>
    <hyperlink r:id="rId16" ref="H27"/>
    <hyperlink r:id="rId17" ref="H28"/>
    <hyperlink r:id="rId18" ref="H29"/>
    <hyperlink r:id="rId19" ref="H30"/>
    <hyperlink r:id="rId20" ref="H31"/>
    <hyperlink r:id="rId21" ref="H32"/>
    <hyperlink r:id="rId22" ref="H33"/>
    <hyperlink r:id="rId23" ref="H34"/>
    <hyperlink r:id="rId24" ref="H35"/>
    <hyperlink r:id="rId25" ref="H36"/>
    <hyperlink r:id="rId26" ref="H37"/>
    <hyperlink r:id="rId27" ref="H38"/>
    <hyperlink r:id="rId28" ref="H39"/>
    <hyperlink r:id="rId29" ref="H40"/>
    <hyperlink r:id="rId30" ref="H41"/>
    <hyperlink r:id="rId31" ref="H42"/>
    <hyperlink r:id="rId32" ref="H43"/>
    <hyperlink r:id="rId33" ref="H44"/>
    <hyperlink r:id="rId34" ref="H45"/>
    <hyperlink r:id="rId35" ref="H46"/>
    <hyperlink r:id="rId36" ref="H47"/>
    <hyperlink r:id="rId37" ref="H48"/>
    <hyperlink r:id="rId38" ref="H49"/>
    <hyperlink r:id="rId39" ref="H50"/>
    <hyperlink r:id="rId40" ref="H51"/>
    <hyperlink r:id="rId41" ref="H52"/>
    <hyperlink r:id="rId42" ref="H53"/>
    <hyperlink r:id="rId43" ref="H54"/>
    <hyperlink r:id="rId44" ref="H55"/>
    <hyperlink r:id="rId45" ref="H56"/>
    <hyperlink r:id="rId46" ref="H57"/>
    <hyperlink r:id="rId47" ref="H58"/>
    <hyperlink r:id="rId48" ref="H59"/>
    <hyperlink r:id="rId49" ref="H60"/>
    <hyperlink r:id="rId50" ref="H61"/>
    <hyperlink r:id="rId51" ref="H62"/>
    <hyperlink r:id="rId52" ref="H63"/>
    <hyperlink r:id="rId53" ref="H64"/>
    <hyperlink r:id="rId54" ref="H65"/>
    <hyperlink r:id="rId55" ref="H66"/>
    <hyperlink r:id="rId56" ref="H67"/>
    <hyperlink r:id="rId57" ref="H68"/>
    <hyperlink r:id="rId58" ref="H69"/>
    <hyperlink r:id="rId59" ref="H70"/>
  </hyperlinks>
  <drawing r:id="rId60"/>
  <tableParts count="1">
    <tablePart r:id="rId6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63"/>
    <col customWidth="1" min="4" max="4" width="17.5"/>
    <col customWidth="1" min="7" max="8" width="36.25"/>
    <col customWidth="1" min="9" max="9" width="14.38"/>
    <col customWidth="1" min="10" max="10" width="13.0"/>
  </cols>
  <sheetData>
    <row r="2" ht="22.5" customHeight="1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40" t="s">
        <v>901</v>
      </c>
      <c r="I2" s="4" t="s">
        <v>7</v>
      </c>
      <c r="J2" s="3" t="s">
        <v>8</v>
      </c>
      <c r="K2" s="5" t="s">
        <v>9</v>
      </c>
    </row>
    <row r="3" ht="22.5" customHeight="1">
      <c r="H3" s="42"/>
      <c r="I3" s="115"/>
      <c r="K3" s="42" t="s">
        <v>16</v>
      </c>
    </row>
    <row r="4" ht="22.5" customHeight="1">
      <c r="A4" s="116">
        <v>1.0</v>
      </c>
      <c r="B4" s="102" t="s">
        <v>4297</v>
      </c>
      <c r="C4" s="102" t="s">
        <v>4298</v>
      </c>
      <c r="D4" s="116">
        <v>9.693706885E9</v>
      </c>
      <c r="E4" s="102" t="s">
        <v>229</v>
      </c>
      <c r="F4" s="111"/>
      <c r="G4" s="102" t="s">
        <v>4299</v>
      </c>
      <c r="H4" s="117" t="s">
        <v>4300</v>
      </c>
      <c r="I4" s="118" t="s">
        <v>1729</v>
      </c>
      <c r="J4" s="102" t="s">
        <v>1729</v>
      </c>
    </row>
    <row r="5" ht="22.5" customHeight="1">
      <c r="A5" s="119">
        <v>2.0</v>
      </c>
      <c r="B5" s="104" t="s">
        <v>4301</v>
      </c>
      <c r="C5" s="104" t="s">
        <v>4302</v>
      </c>
      <c r="D5" s="119">
        <v>9.164145466E9</v>
      </c>
      <c r="E5" s="104" t="s">
        <v>398</v>
      </c>
      <c r="F5" s="113"/>
      <c r="G5" s="102" t="s">
        <v>4299</v>
      </c>
      <c r="H5" s="117" t="s">
        <v>4300</v>
      </c>
      <c r="I5" s="118" t="s">
        <v>1729</v>
      </c>
      <c r="J5" s="104" t="s">
        <v>4303</v>
      </c>
    </row>
    <row r="6" ht="22.5" customHeight="1">
      <c r="A6" s="116">
        <v>3.0</v>
      </c>
      <c r="B6" s="102" t="s">
        <v>4304</v>
      </c>
      <c r="C6" s="102" t="s">
        <v>4305</v>
      </c>
      <c r="D6" s="116">
        <v>8.597606147E9</v>
      </c>
      <c r="E6" s="102" t="s">
        <v>211</v>
      </c>
      <c r="F6" s="111"/>
      <c r="G6" s="102" t="s">
        <v>4299</v>
      </c>
      <c r="H6" s="117" t="s">
        <v>4300</v>
      </c>
      <c r="I6" s="120" t="s">
        <v>4306</v>
      </c>
      <c r="J6" s="102" t="s">
        <v>4307</v>
      </c>
    </row>
    <row r="7" ht="22.5" customHeight="1">
      <c r="A7" s="119">
        <v>4.0</v>
      </c>
      <c r="B7" s="104" t="s">
        <v>4308</v>
      </c>
      <c r="C7" s="104" t="s">
        <v>4309</v>
      </c>
      <c r="D7" s="119">
        <v>9.900418674E9</v>
      </c>
      <c r="E7" s="104" t="s">
        <v>398</v>
      </c>
      <c r="F7" s="113"/>
      <c r="G7" s="102" t="s">
        <v>4299</v>
      </c>
      <c r="H7" s="117" t="s">
        <v>4300</v>
      </c>
      <c r="I7" s="118" t="s">
        <v>1729</v>
      </c>
      <c r="J7" s="104" t="s">
        <v>86</v>
      </c>
    </row>
    <row r="8" ht="22.5" customHeight="1">
      <c r="A8" s="116">
        <v>5.0</v>
      </c>
      <c r="B8" s="102" t="s">
        <v>4310</v>
      </c>
      <c r="C8" s="102" t="s">
        <v>4311</v>
      </c>
      <c r="D8" s="116">
        <v>9.952553304E9</v>
      </c>
      <c r="E8" s="102" t="s">
        <v>1104</v>
      </c>
      <c r="F8" s="111"/>
      <c r="G8" s="102" t="s">
        <v>4299</v>
      </c>
      <c r="H8" s="117" t="s">
        <v>4300</v>
      </c>
      <c r="I8" s="118" t="s">
        <v>1729</v>
      </c>
      <c r="J8" s="102" t="s">
        <v>86</v>
      </c>
    </row>
    <row r="9" ht="22.5" customHeight="1">
      <c r="A9" s="119">
        <v>6.0</v>
      </c>
      <c r="B9" s="104" t="s">
        <v>4312</v>
      </c>
      <c r="C9" s="104" t="s">
        <v>4313</v>
      </c>
      <c r="D9" s="119">
        <v>8.309670181E9</v>
      </c>
      <c r="E9" s="104" t="s">
        <v>11</v>
      </c>
      <c r="F9" s="113"/>
      <c r="G9" s="102" t="s">
        <v>4299</v>
      </c>
      <c r="H9" s="117" t="s">
        <v>4300</v>
      </c>
      <c r="I9" s="121" t="s">
        <v>1731</v>
      </c>
      <c r="J9" s="104" t="s">
        <v>4314</v>
      </c>
    </row>
    <row r="10" ht="22.5" customHeight="1">
      <c r="A10" s="116">
        <v>7.0</v>
      </c>
      <c r="B10" s="102" t="s">
        <v>4315</v>
      </c>
      <c r="C10" s="102" t="s">
        <v>4316</v>
      </c>
      <c r="D10" s="116">
        <v>9.937691775E9</v>
      </c>
      <c r="E10" s="102" t="s">
        <v>11</v>
      </c>
      <c r="F10" s="111"/>
      <c r="G10" s="102" t="s">
        <v>4299</v>
      </c>
      <c r="H10" s="117" t="s">
        <v>4300</v>
      </c>
      <c r="I10" s="121" t="s">
        <v>1731</v>
      </c>
      <c r="J10" s="102" t="s">
        <v>4314</v>
      </c>
    </row>
    <row r="11" ht="22.5" customHeight="1">
      <c r="A11" s="119">
        <v>8.0</v>
      </c>
      <c r="B11" s="104" t="s">
        <v>4317</v>
      </c>
      <c r="C11" s="104" t="s">
        <v>4318</v>
      </c>
      <c r="D11" s="119">
        <v>7.305994482E9</v>
      </c>
      <c r="E11" s="104" t="s">
        <v>1104</v>
      </c>
      <c r="F11" s="113"/>
      <c r="G11" s="102" t="s">
        <v>4299</v>
      </c>
      <c r="H11" s="117" t="s">
        <v>4300</v>
      </c>
      <c r="I11" s="118" t="s">
        <v>1729</v>
      </c>
      <c r="J11" s="104" t="s">
        <v>1729</v>
      </c>
    </row>
    <row r="12" ht="22.5" customHeight="1">
      <c r="A12" s="116">
        <v>9.0</v>
      </c>
      <c r="B12" s="102" t="s">
        <v>4319</v>
      </c>
      <c r="C12" s="102" t="s">
        <v>4320</v>
      </c>
      <c r="D12" s="116">
        <v>7.769877956E9</v>
      </c>
      <c r="E12" s="102" t="s">
        <v>369</v>
      </c>
      <c r="F12" s="111"/>
      <c r="G12" s="102" t="s">
        <v>4299</v>
      </c>
      <c r="H12" s="117" t="s">
        <v>4300</v>
      </c>
      <c r="I12" s="118" t="s">
        <v>1729</v>
      </c>
      <c r="J12" s="102" t="s">
        <v>1729</v>
      </c>
      <c r="K12" s="122" t="s">
        <v>37</v>
      </c>
    </row>
    <row r="13" ht="22.5" customHeight="1">
      <c r="A13" s="119">
        <v>10.0</v>
      </c>
      <c r="B13" s="104" t="s">
        <v>4321</v>
      </c>
      <c r="C13" s="104" t="s">
        <v>4322</v>
      </c>
      <c r="D13" s="119">
        <v>8.98460259E9</v>
      </c>
      <c r="E13" s="104" t="s">
        <v>11</v>
      </c>
      <c r="F13" s="113"/>
      <c r="G13" s="102" t="s">
        <v>4299</v>
      </c>
      <c r="H13" s="117" t="s">
        <v>4300</v>
      </c>
      <c r="I13" s="121" t="s">
        <v>1731</v>
      </c>
      <c r="J13" s="104" t="s">
        <v>4323</v>
      </c>
      <c r="K13" s="122" t="s">
        <v>37</v>
      </c>
    </row>
    <row r="14" ht="22.5" customHeight="1">
      <c r="A14" s="116">
        <v>11.0</v>
      </c>
      <c r="B14" s="102" t="s">
        <v>4324</v>
      </c>
      <c r="C14" s="102" t="s">
        <v>4325</v>
      </c>
      <c r="D14" s="116">
        <v>6.388121105E9</v>
      </c>
      <c r="E14" s="102" t="s">
        <v>344</v>
      </c>
      <c r="F14" s="111"/>
      <c r="G14" s="102" t="s">
        <v>4299</v>
      </c>
      <c r="H14" s="117" t="s">
        <v>4300</v>
      </c>
      <c r="I14" s="118" t="s">
        <v>1729</v>
      </c>
      <c r="J14" s="102" t="s">
        <v>86</v>
      </c>
      <c r="K14" s="122" t="s">
        <v>37</v>
      </c>
    </row>
    <row r="15" ht="22.5" customHeight="1">
      <c r="A15" s="119">
        <v>12.0</v>
      </c>
      <c r="B15" s="104" t="s">
        <v>4326</v>
      </c>
      <c r="C15" s="104" t="s">
        <v>4327</v>
      </c>
      <c r="D15" s="119">
        <v>9.835286252E9</v>
      </c>
      <c r="E15" s="104" t="s">
        <v>229</v>
      </c>
      <c r="F15" s="113"/>
      <c r="G15" s="102" t="s">
        <v>4299</v>
      </c>
      <c r="H15" s="117" t="s">
        <v>4300</v>
      </c>
      <c r="I15" s="120" t="s">
        <v>176</v>
      </c>
      <c r="J15" s="104" t="s">
        <v>4307</v>
      </c>
      <c r="K15" s="122" t="s">
        <v>37</v>
      </c>
    </row>
    <row r="16" ht="22.5" customHeight="1">
      <c r="A16" s="116">
        <v>13.0</v>
      </c>
      <c r="B16" s="102" t="s">
        <v>4328</v>
      </c>
      <c r="C16" s="102" t="s">
        <v>4329</v>
      </c>
      <c r="D16" s="116">
        <v>6.300637316E9</v>
      </c>
      <c r="E16" s="102" t="s">
        <v>205</v>
      </c>
      <c r="F16" s="111"/>
      <c r="G16" s="102" t="s">
        <v>4299</v>
      </c>
      <c r="H16" s="117" t="s">
        <v>4300</v>
      </c>
      <c r="I16" s="118" t="s">
        <v>1729</v>
      </c>
      <c r="J16" s="102" t="s">
        <v>86</v>
      </c>
      <c r="K16" s="122" t="s">
        <v>37</v>
      </c>
    </row>
    <row r="17" ht="22.5" customHeight="1">
      <c r="A17" s="119">
        <v>14.0</v>
      </c>
      <c r="B17" s="104" t="s">
        <v>142</v>
      </c>
      <c r="C17" s="104" t="s">
        <v>4330</v>
      </c>
      <c r="D17" s="119">
        <v>8.555930466E9</v>
      </c>
      <c r="E17" s="104" t="s">
        <v>534</v>
      </c>
      <c r="F17" s="113"/>
      <c r="G17" s="102" t="s">
        <v>4299</v>
      </c>
      <c r="H17" s="117" t="s">
        <v>4300</v>
      </c>
      <c r="I17" s="118" t="s">
        <v>1729</v>
      </c>
      <c r="J17" s="104" t="s">
        <v>86</v>
      </c>
      <c r="K17" s="122" t="s">
        <v>37</v>
      </c>
    </row>
    <row r="18" ht="22.5" customHeight="1">
      <c r="A18" s="116">
        <v>15.0</v>
      </c>
      <c r="B18" s="102" t="s">
        <v>4331</v>
      </c>
      <c r="C18" s="102" t="s">
        <v>4332</v>
      </c>
      <c r="D18" s="116">
        <v>8.895060983E9</v>
      </c>
      <c r="E18" s="102" t="s">
        <v>11</v>
      </c>
      <c r="F18" s="111"/>
      <c r="G18" s="102" t="s">
        <v>4299</v>
      </c>
      <c r="H18" s="117" t="s">
        <v>4300</v>
      </c>
      <c r="I18" s="120" t="s">
        <v>176</v>
      </c>
      <c r="J18" s="102" t="s">
        <v>4307</v>
      </c>
      <c r="K18" s="122" t="s">
        <v>37</v>
      </c>
    </row>
    <row r="19" ht="22.5" customHeight="1">
      <c r="A19" s="119">
        <v>16.0</v>
      </c>
      <c r="B19" s="104" t="s">
        <v>4333</v>
      </c>
      <c r="C19" s="104" t="s">
        <v>4334</v>
      </c>
      <c r="D19" s="119">
        <v>7.869129037E9</v>
      </c>
      <c r="E19" s="104" t="s">
        <v>993</v>
      </c>
      <c r="F19" s="113"/>
      <c r="G19" s="102" t="s">
        <v>4299</v>
      </c>
      <c r="H19" s="117" t="s">
        <v>4300</v>
      </c>
      <c r="I19" s="118" t="s">
        <v>1729</v>
      </c>
      <c r="J19" s="104" t="s">
        <v>1729</v>
      </c>
      <c r="K19" s="122" t="s">
        <v>37</v>
      </c>
    </row>
    <row r="20" ht="22.5" customHeight="1">
      <c r="A20" s="116">
        <v>17.0</v>
      </c>
      <c r="B20" s="102" t="s">
        <v>4335</v>
      </c>
      <c r="C20" s="102" t="s">
        <v>950</v>
      </c>
      <c r="D20" s="116">
        <v>9.390914976E9</v>
      </c>
      <c r="E20" s="102" t="s">
        <v>205</v>
      </c>
      <c r="F20" s="102" t="s">
        <v>4336</v>
      </c>
      <c r="G20" s="102" t="s">
        <v>4299</v>
      </c>
      <c r="H20" s="117" t="s">
        <v>4300</v>
      </c>
      <c r="I20" s="121" t="s">
        <v>1731</v>
      </c>
      <c r="J20" s="102" t="s">
        <v>4337</v>
      </c>
      <c r="K20" s="122" t="s">
        <v>37</v>
      </c>
    </row>
    <row r="21" ht="22.5" customHeight="1">
      <c r="A21" s="119">
        <v>18.0</v>
      </c>
      <c r="B21" s="104" t="s">
        <v>4338</v>
      </c>
      <c r="C21" s="104" t="s">
        <v>4339</v>
      </c>
      <c r="D21" s="119">
        <v>9.603129038E9</v>
      </c>
      <c r="E21" s="104" t="s">
        <v>205</v>
      </c>
      <c r="F21" s="113"/>
      <c r="G21" s="102" t="s">
        <v>4299</v>
      </c>
      <c r="H21" s="117" t="s">
        <v>4300</v>
      </c>
      <c r="I21" s="120" t="s">
        <v>176</v>
      </c>
      <c r="J21" s="104" t="s">
        <v>4340</v>
      </c>
      <c r="K21" s="122" t="s">
        <v>37</v>
      </c>
    </row>
    <row r="22" ht="22.5" customHeight="1">
      <c r="A22" s="116">
        <v>19.0</v>
      </c>
      <c r="B22" s="102" t="s">
        <v>4341</v>
      </c>
      <c r="C22" s="102" t="s">
        <v>4342</v>
      </c>
      <c r="D22" s="116">
        <v>9.777566281E9</v>
      </c>
      <c r="E22" s="102" t="s">
        <v>11</v>
      </c>
      <c r="F22" s="111"/>
      <c r="G22" s="102" t="s">
        <v>4299</v>
      </c>
      <c r="H22" s="117" t="s">
        <v>4300</v>
      </c>
      <c r="I22" s="120" t="s">
        <v>176</v>
      </c>
      <c r="J22" s="102" t="s">
        <v>4343</v>
      </c>
      <c r="K22" s="122" t="s">
        <v>37</v>
      </c>
    </row>
    <row r="23" ht="22.5" customHeight="1">
      <c r="A23" s="119">
        <v>20.0</v>
      </c>
      <c r="B23" s="104" t="s">
        <v>981</v>
      </c>
      <c r="C23" s="104" t="s">
        <v>982</v>
      </c>
      <c r="D23" s="119">
        <v>9.439012345E9</v>
      </c>
      <c r="E23" s="113"/>
      <c r="F23" s="113"/>
      <c r="G23" s="102" t="s">
        <v>4299</v>
      </c>
      <c r="H23" s="117" t="s">
        <v>4300</v>
      </c>
      <c r="I23" s="118" t="s">
        <v>1729</v>
      </c>
      <c r="J23" s="104" t="s">
        <v>86</v>
      </c>
      <c r="K23" s="122" t="s">
        <v>37</v>
      </c>
    </row>
    <row r="24" ht="22.5" customHeight="1">
      <c r="A24" s="116">
        <v>21.0</v>
      </c>
      <c r="B24" s="102" t="s">
        <v>4344</v>
      </c>
      <c r="C24" s="102" t="s">
        <v>4345</v>
      </c>
      <c r="D24" s="116">
        <v>8.97067607E9</v>
      </c>
      <c r="E24" s="102" t="s">
        <v>398</v>
      </c>
      <c r="F24" s="111"/>
      <c r="G24" s="102" t="s">
        <v>4299</v>
      </c>
      <c r="H24" s="117" t="s">
        <v>4300</v>
      </c>
      <c r="I24" s="118" t="s">
        <v>1729</v>
      </c>
      <c r="J24" s="102" t="s">
        <v>86</v>
      </c>
      <c r="K24" s="122" t="s">
        <v>37</v>
      </c>
    </row>
    <row r="25" ht="22.5" customHeight="1">
      <c r="A25" s="119">
        <v>22.0</v>
      </c>
      <c r="B25" s="104" t="s">
        <v>4346</v>
      </c>
      <c r="C25" s="104" t="s">
        <v>4347</v>
      </c>
      <c r="D25" s="119">
        <v>9.937836821E9</v>
      </c>
      <c r="E25" s="104" t="s">
        <v>11</v>
      </c>
      <c r="F25" s="113"/>
      <c r="G25" s="102" t="s">
        <v>4299</v>
      </c>
      <c r="H25" s="117" t="s">
        <v>4300</v>
      </c>
      <c r="I25" s="121" t="s">
        <v>1731</v>
      </c>
      <c r="J25" s="104" t="s">
        <v>4314</v>
      </c>
      <c r="K25" s="122" t="s">
        <v>37</v>
      </c>
    </row>
    <row r="26" ht="22.5" customHeight="1">
      <c r="A26" s="116">
        <v>23.0</v>
      </c>
      <c r="B26" s="102" t="s">
        <v>4348</v>
      </c>
      <c r="C26" s="102" t="s">
        <v>4349</v>
      </c>
      <c r="D26" s="116">
        <v>9.437003578E9</v>
      </c>
      <c r="E26" s="102" t="s">
        <v>11</v>
      </c>
      <c r="F26" s="111"/>
      <c r="G26" s="102" t="s">
        <v>4299</v>
      </c>
      <c r="H26" s="117" t="s">
        <v>4300</v>
      </c>
      <c r="I26" s="123" t="s">
        <v>2581</v>
      </c>
      <c r="J26" s="102" t="s">
        <v>4350</v>
      </c>
      <c r="K26" s="122" t="s">
        <v>37</v>
      </c>
    </row>
    <row r="27" ht="22.5" customHeight="1">
      <c r="A27" s="119">
        <v>24.0</v>
      </c>
      <c r="B27" s="104" t="s">
        <v>4351</v>
      </c>
      <c r="C27" s="104" t="s">
        <v>4352</v>
      </c>
      <c r="D27" s="119">
        <v>9.019326609E9</v>
      </c>
      <c r="E27" s="104" t="s">
        <v>398</v>
      </c>
      <c r="F27" s="113"/>
      <c r="G27" s="102" t="s">
        <v>4299</v>
      </c>
      <c r="H27" s="117" t="s">
        <v>4300</v>
      </c>
      <c r="I27" s="118" t="s">
        <v>1729</v>
      </c>
      <c r="J27" s="104" t="s">
        <v>86</v>
      </c>
      <c r="K27" s="122" t="s">
        <v>37</v>
      </c>
    </row>
    <row r="28" ht="22.5" customHeight="1">
      <c r="A28" s="116">
        <v>25.0</v>
      </c>
      <c r="B28" s="102" t="s">
        <v>4353</v>
      </c>
      <c r="C28" s="102" t="s">
        <v>4354</v>
      </c>
      <c r="D28" s="116">
        <v>7.848953536E9</v>
      </c>
      <c r="E28" s="102" t="s">
        <v>11</v>
      </c>
      <c r="F28" s="111"/>
      <c r="G28" s="102" t="s">
        <v>4299</v>
      </c>
      <c r="H28" s="117" t="s">
        <v>4300</v>
      </c>
      <c r="I28" s="120" t="s">
        <v>176</v>
      </c>
      <c r="J28" s="102" t="s">
        <v>4355</v>
      </c>
      <c r="K28" s="122" t="s">
        <v>37</v>
      </c>
    </row>
    <row r="29" ht="22.5" customHeight="1">
      <c r="A29" s="119">
        <v>26.0</v>
      </c>
      <c r="B29" s="104" t="s">
        <v>4356</v>
      </c>
      <c r="C29" s="104" t="s">
        <v>4357</v>
      </c>
      <c r="D29" s="119">
        <v>8.658081715E9</v>
      </c>
      <c r="E29" s="104" t="s">
        <v>11</v>
      </c>
      <c r="F29" s="113"/>
      <c r="G29" s="102" t="s">
        <v>4299</v>
      </c>
      <c r="H29" s="117" t="s">
        <v>4300</v>
      </c>
      <c r="I29" s="120" t="s">
        <v>176</v>
      </c>
      <c r="J29" s="104" t="s">
        <v>4358</v>
      </c>
      <c r="K29" s="122" t="s">
        <v>37</v>
      </c>
    </row>
    <row r="30" ht="22.5" customHeight="1">
      <c r="A30" s="116">
        <v>27.0</v>
      </c>
      <c r="B30" s="102" t="s">
        <v>952</v>
      </c>
      <c r="C30" s="102" t="s">
        <v>953</v>
      </c>
      <c r="D30" s="116">
        <v>9.178594631E9</v>
      </c>
      <c r="E30" s="102" t="s">
        <v>11</v>
      </c>
      <c r="F30" s="102" t="s">
        <v>4359</v>
      </c>
      <c r="G30" s="102" t="s">
        <v>4299</v>
      </c>
      <c r="H30" s="117" t="s">
        <v>4300</v>
      </c>
      <c r="I30" s="121" t="s">
        <v>1731</v>
      </c>
      <c r="J30" s="102" t="s">
        <v>4360</v>
      </c>
      <c r="K30" s="122" t="s">
        <v>37</v>
      </c>
    </row>
    <row r="31" ht="22.5" customHeight="1">
      <c r="A31" s="119">
        <v>28.0</v>
      </c>
      <c r="B31" s="104" t="s">
        <v>4361</v>
      </c>
      <c r="C31" s="104" t="s">
        <v>4362</v>
      </c>
      <c r="D31" s="119">
        <v>7.259514335E9</v>
      </c>
      <c r="E31" s="104" t="s">
        <v>398</v>
      </c>
      <c r="F31" s="113"/>
      <c r="G31" s="102" t="s">
        <v>4299</v>
      </c>
      <c r="H31" s="117" t="s">
        <v>4300</v>
      </c>
      <c r="I31" s="118" t="s">
        <v>1729</v>
      </c>
      <c r="J31" s="104" t="s">
        <v>86</v>
      </c>
      <c r="K31" s="122" t="s">
        <v>37</v>
      </c>
    </row>
    <row r="32" ht="22.5" customHeight="1">
      <c r="A32" s="116">
        <v>29.0</v>
      </c>
      <c r="B32" s="102" t="s">
        <v>4363</v>
      </c>
      <c r="C32" s="102" t="s">
        <v>4364</v>
      </c>
      <c r="D32" s="116">
        <v>9.337856289E9</v>
      </c>
      <c r="E32" s="102" t="s">
        <v>11</v>
      </c>
      <c r="F32" s="111"/>
      <c r="G32" s="102" t="s">
        <v>4299</v>
      </c>
      <c r="H32" s="117" t="s">
        <v>4300</v>
      </c>
      <c r="I32" s="118" t="s">
        <v>1729</v>
      </c>
      <c r="J32" s="102" t="s">
        <v>1729</v>
      </c>
      <c r="K32" s="122" t="s">
        <v>37</v>
      </c>
    </row>
    <row r="33" ht="22.5" customHeight="1">
      <c r="A33" s="119">
        <v>30.0</v>
      </c>
      <c r="B33" s="104" t="s">
        <v>4365</v>
      </c>
      <c r="C33" s="104" t="s">
        <v>4366</v>
      </c>
      <c r="D33" s="119">
        <v>9.337946132E9</v>
      </c>
      <c r="E33" s="113"/>
      <c r="F33" s="113"/>
      <c r="G33" s="102" t="s">
        <v>4299</v>
      </c>
      <c r="H33" s="117" t="s">
        <v>4300</v>
      </c>
      <c r="I33" s="120" t="s">
        <v>176</v>
      </c>
      <c r="J33" s="104" t="s">
        <v>4307</v>
      </c>
      <c r="K33" s="122" t="s">
        <v>37</v>
      </c>
    </row>
    <row r="34" ht="22.5" customHeight="1">
      <c r="A34" s="116">
        <v>31.0</v>
      </c>
      <c r="B34" s="102" t="s">
        <v>4367</v>
      </c>
      <c r="C34" s="102" t="s">
        <v>4368</v>
      </c>
      <c r="D34" s="116">
        <v>9.787958227E9</v>
      </c>
      <c r="E34" s="102" t="s">
        <v>1104</v>
      </c>
      <c r="F34" s="111"/>
      <c r="G34" s="102" t="s">
        <v>4299</v>
      </c>
      <c r="H34" s="117" t="s">
        <v>4300</v>
      </c>
      <c r="I34" s="118" t="s">
        <v>1729</v>
      </c>
      <c r="J34" s="102" t="s">
        <v>1729</v>
      </c>
      <c r="K34" s="122" t="s">
        <v>37</v>
      </c>
    </row>
    <row r="35" ht="22.5" customHeight="1">
      <c r="A35" s="119">
        <v>32.0</v>
      </c>
      <c r="B35" s="104" t="s">
        <v>4369</v>
      </c>
      <c r="C35" s="104" t="s">
        <v>4370</v>
      </c>
      <c r="D35" s="119">
        <v>6.370637198E9</v>
      </c>
      <c r="E35" s="113"/>
      <c r="F35" s="113"/>
      <c r="G35" s="102" t="s">
        <v>4299</v>
      </c>
      <c r="H35" s="117" t="s">
        <v>4300</v>
      </c>
      <c r="I35" s="120" t="s">
        <v>176</v>
      </c>
      <c r="J35" s="104" t="s">
        <v>4343</v>
      </c>
      <c r="K35" s="122" t="s">
        <v>37</v>
      </c>
    </row>
    <row r="36" ht="22.5" customHeight="1">
      <c r="A36" s="116">
        <v>33.0</v>
      </c>
      <c r="B36" s="102" t="s">
        <v>4371</v>
      </c>
      <c r="C36" s="102" t="s">
        <v>4372</v>
      </c>
      <c r="D36" s="116">
        <v>9.113805572E9</v>
      </c>
      <c r="E36" s="102" t="s">
        <v>398</v>
      </c>
      <c r="F36" s="111"/>
      <c r="G36" s="102" t="s">
        <v>4299</v>
      </c>
      <c r="H36" s="117" t="s">
        <v>4300</v>
      </c>
      <c r="I36" s="118" t="s">
        <v>1729</v>
      </c>
      <c r="J36" s="102" t="s">
        <v>1729</v>
      </c>
      <c r="K36" s="122" t="s">
        <v>37</v>
      </c>
    </row>
    <row r="37" ht="22.5" customHeight="1">
      <c r="A37" s="119">
        <v>34.0</v>
      </c>
      <c r="B37" s="104" t="s">
        <v>4373</v>
      </c>
      <c r="C37" s="104" t="s">
        <v>1026</v>
      </c>
      <c r="D37" s="119">
        <v>7.008103561E9</v>
      </c>
      <c r="E37" s="104" t="s">
        <v>11</v>
      </c>
      <c r="F37" s="104" t="s">
        <v>1028</v>
      </c>
      <c r="G37" s="102" t="s">
        <v>4299</v>
      </c>
      <c r="H37" s="117" t="s">
        <v>4300</v>
      </c>
      <c r="I37" s="120" t="s">
        <v>176</v>
      </c>
      <c r="J37" s="104" t="s">
        <v>4374</v>
      </c>
      <c r="K37" s="122" t="s">
        <v>37</v>
      </c>
    </row>
    <row r="38" ht="22.5" customHeight="1">
      <c r="A38" s="116">
        <v>35.0</v>
      </c>
      <c r="B38" s="102" t="s">
        <v>4375</v>
      </c>
      <c r="C38" s="102" t="s">
        <v>4376</v>
      </c>
      <c r="D38" s="116">
        <v>9.848210668E9</v>
      </c>
      <c r="E38" s="102" t="s">
        <v>534</v>
      </c>
      <c r="F38" s="102" t="s">
        <v>497</v>
      </c>
      <c r="G38" s="102" t="s">
        <v>4299</v>
      </c>
      <c r="H38" s="117" t="s">
        <v>4300</v>
      </c>
      <c r="I38" s="118" t="s">
        <v>1729</v>
      </c>
      <c r="J38" s="102" t="s">
        <v>1729</v>
      </c>
      <c r="K38" s="122" t="s">
        <v>37</v>
      </c>
    </row>
    <row r="39" ht="22.5" customHeight="1">
      <c r="A39" s="119">
        <v>36.0</v>
      </c>
      <c r="B39" s="104" t="s">
        <v>4377</v>
      </c>
      <c r="C39" s="104" t="s">
        <v>4378</v>
      </c>
      <c r="D39" s="119">
        <v>9.145216497E9</v>
      </c>
      <c r="E39" s="104" t="s">
        <v>369</v>
      </c>
      <c r="F39" s="104" t="s">
        <v>4379</v>
      </c>
      <c r="G39" s="102" t="s">
        <v>4299</v>
      </c>
      <c r="H39" s="117" t="s">
        <v>4300</v>
      </c>
      <c r="I39" s="118" t="s">
        <v>1729</v>
      </c>
      <c r="J39" s="104" t="s">
        <v>1729</v>
      </c>
      <c r="K39" s="122" t="s">
        <v>37</v>
      </c>
    </row>
    <row r="40" ht="22.5" customHeight="1">
      <c r="A40" s="116">
        <v>37.0</v>
      </c>
      <c r="B40" s="102" t="s">
        <v>4380</v>
      </c>
      <c r="C40" s="102" t="s">
        <v>4381</v>
      </c>
      <c r="D40" s="116">
        <v>6.374633622E9</v>
      </c>
      <c r="E40" s="102" t="s">
        <v>1104</v>
      </c>
      <c r="F40" s="102" t="s">
        <v>3461</v>
      </c>
      <c r="G40" s="102" t="s">
        <v>4299</v>
      </c>
      <c r="H40" s="117" t="s">
        <v>4300</v>
      </c>
      <c r="I40" s="118" t="s">
        <v>1729</v>
      </c>
      <c r="J40" s="102" t="s">
        <v>1729</v>
      </c>
      <c r="K40" s="122" t="s">
        <v>37</v>
      </c>
    </row>
    <row r="41" ht="22.5" customHeight="1">
      <c r="A41" s="119">
        <v>38.0</v>
      </c>
      <c r="B41" s="104" t="s">
        <v>4382</v>
      </c>
      <c r="C41" s="104" t="s">
        <v>4383</v>
      </c>
      <c r="D41" s="119">
        <v>9.585685851E9</v>
      </c>
      <c r="E41" s="104" t="s">
        <v>1104</v>
      </c>
      <c r="F41" s="104" t="s">
        <v>4384</v>
      </c>
      <c r="G41" s="102" t="s">
        <v>4299</v>
      </c>
      <c r="H41" s="117" t="s">
        <v>4300</v>
      </c>
      <c r="I41" s="118" t="s">
        <v>1729</v>
      </c>
      <c r="J41" s="104" t="s">
        <v>86</v>
      </c>
      <c r="K41" s="122" t="s">
        <v>37</v>
      </c>
    </row>
    <row r="42" ht="22.5" customHeight="1">
      <c r="A42" s="116">
        <v>39.0</v>
      </c>
      <c r="B42" s="102" t="s">
        <v>4385</v>
      </c>
      <c r="C42" s="102" t="s">
        <v>4386</v>
      </c>
      <c r="D42" s="116">
        <v>7.894456369E9</v>
      </c>
      <c r="E42" s="102" t="s">
        <v>11</v>
      </c>
      <c r="F42" s="102" t="s">
        <v>3427</v>
      </c>
      <c r="G42" s="102" t="s">
        <v>4299</v>
      </c>
      <c r="H42" s="117" t="s">
        <v>4300</v>
      </c>
      <c r="I42" s="120" t="s">
        <v>176</v>
      </c>
      <c r="J42" s="102" t="s">
        <v>4374</v>
      </c>
      <c r="K42" s="122" t="s">
        <v>37</v>
      </c>
    </row>
    <row r="43" ht="22.5" customHeight="1">
      <c r="A43" s="119">
        <v>40.0</v>
      </c>
      <c r="B43" s="104" t="s">
        <v>4387</v>
      </c>
      <c r="C43" s="104" t="s">
        <v>4388</v>
      </c>
      <c r="D43" s="119">
        <v>9.022122568E9</v>
      </c>
      <c r="E43" s="104" t="s">
        <v>369</v>
      </c>
      <c r="F43" s="104" t="s">
        <v>3423</v>
      </c>
      <c r="G43" s="102" t="s">
        <v>4299</v>
      </c>
      <c r="H43" s="117" t="s">
        <v>4300</v>
      </c>
      <c r="I43" s="118" t="s">
        <v>1729</v>
      </c>
      <c r="J43" s="104" t="s">
        <v>1729</v>
      </c>
      <c r="K43" s="122" t="s">
        <v>37</v>
      </c>
    </row>
    <row r="44" ht="22.5" customHeight="1">
      <c r="A44" s="116">
        <v>41.0</v>
      </c>
      <c r="B44" s="102" t="s">
        <v>4389</v>
      </c>
      <c r="C44" s="102" t="s">
        <v>4390</v>
      </c>
      <c r="D44" s="116">
        <v>9.437115164E9</v>
      </c>
      <c r="E44" s="102" t="s">
        <v>11</v>
      </c>
      <c r="F44" s="102" t="s">
        <v>1028</v>
      </c>
      <c r="G44" s="102" t="s">
        <v>4299</v>
      </c>
      <c r="H44" s="117" t="s">
        <v>4300</v>
      </c>
      <c r="I44" s="120" t="s">
        <v>176</v>
      </c>
      <c r="J44" s="102" t="s">
        <v>662</v>
      </c>
      <c r="K44" s="122" t="s">
        <v>37</v>
      </c>
    </row>
    <row r="45" ht="22.5" customHeight="1">
      <c r="A45" s="119">
        <v>42.0</v>
      </c>
      <c r="B45" s="104" t="s">
        <v>4391</v>
      </c>
      <c r="C45" s="104" t="s">
        <v>4392</v>
      </c>
      <c r="D45" s="119">
        <v>7.978961097E9</v>
      </c>
      <c r="E45" s="104" t="s">
        <v>11</v>
      </c>
      <c r="F45" s="104" t="s">
        <v>3480</v>
      </c>
      <c r="G45" s="102" t="s">
        <v>4299</v>
      </c>
      <c r="H45" s="117" t="s">
        <v>4300</v>
      </c>
      <c r="I45" s="121" t="s">
        <v>1731</v>
      </c>
      <c r="J45" s="104" t="s">
        <v>1731</v>
      </c>
      <c r="K45" s="122" t="s">
        <v>37</v>
      </c>
    </row>
    <row r="46" ht="22.5" customHeight="1">
      <c r="A46" s="116">
        <v>43.0</v>
      </c>
      <c r="B46" s="102" t="s">
        <v>940</v>
      </c>
      <c r="C46" s="102" t="s">
        <v>941</v>
      </c>
      <c r="D46" s="116">
        <v>9.938495717E9</v>
      </c>
      <c r="E46" s="102" t="s">
        <v>11</v>
      </c>
      <c r="F46" s="102" t="s">
        <v>948</v>
      </c>
      <c r="G46" s="102" t="s">
        <v>4299</v>
      </c>
      <c r="H46" s="117" t="s">
        <v>4300</v>
      </c>
      <c r="I46" s="121" t="s">
        <v>1731</v>
      </c>
      <c r="J46" s="102" t="s">
        <v>4393</v>
      </c>
      <c r="K46" s="122" t="s">
        <v>37</v>
      </c>
    </row>
    <row r="47" ht="22.5" customHeight="1">
      <c r="A47" s="119">
        <v>44.0</v>
      </c>
      <c r="B47" s="104" t="s">
        <v>4394</v>
      </c>
      <c r="C47" s="104" t="s">
        <v>4395</v>
      </c>
      <c r="D47" s="119">
        <v>8.309098862E9</v>
      </c>
      <c r="E47" s="104" t="s">
        <v>398</v>
      </c>
      <c r="F47" s="104" t="s">
        <v>4396</v>
      </c>
      <c r="G47" s="102" t="s">
        <v>4299</v>
      </c>
      <c r="H47" s="117" t="s">
        <v>4300</v>
      </c>
      <c r="I47" s="118" t="s">
        <v>1729</v>
      </c>
      <c r="J47" s="104" t="s">
        <v>1729</v>
      </c>
      <c r="K47" s="122" t="s">
        <v>37</v>
      </c>
    </row>
    <row r="48" ht="22.5" customHeight="1">
      <c r="A48" s="116">
        <v>45.0</v>
      </c>
      <c r="B48" s="102" t="s">
        <v>4397</v>
      </c>
      <c r="C48" s="102" t="s">
        <v>4398</v>
      </c>
      <c r="D48" s="116">
        <v>9.064765086E9</v>
      </c>
      <c r="E48" s="102" t="s">
        <v>211</v>
      </c>
      <c r="F48" s="102" t="s">
        <v>376</v>
      </c>
      <c r="G48" s="102" t="s">
        <v>4299</v>
      </c>
      <c r="H48" s="117" t="s">
        <v>4300</v>
      </c>
      <c r="I48" s="120" t="s">
        <v>176</v>
      </c>
      <c r="J48" s="102" t="s">
        <v>4374</v>
      </c>
      <c r="K48" s="122" t="s">
        <v>37</v>
      </c>
    </row>
    <row r="49" ht="22.5" customHeight="1">
      <c r="A49" s="119">
        <v>46.0</v>
      </c>
      <c r="B49" s="104" t="s">
        <v>4399</v>
      </c>
      <c r="C49" s="104" t="s">
        <v>4400</v>
      </c>
      <c r="D49" s="119">
        <v>9.182371668E9</v>
      </c>
      <c r="E49" s="104" t="s">
        <v>534</v>
      </c>
      <c r="F49" s="104" t="s">
        <v>4401</v>
      </c>
      <c r="G49" s="102" t="s">
        <v>4299</v>
      </c>
      <c r="H49" s="117" t="s">
        <v>4300</v>
      </c>
      <c r="I49" s="118" t="s">
        <v>1729</v>
      </c>
      <c r="J49" s="104" t="s">
        <v>1729</v>
      </c>
      <c r="K49" s="122" t="s">
        <v>37</v>
      </c>
    </row>
    <row r="50" ht="22.5" customHeight="1">
      <c r="A50" s="116">
        <v>47.0</v>
      </c>
      <c r="B50" s="102" t="s">
        <v>943</v>
      </c>
      <c r="C50" s="102" t="s">
        <v>944</v>
      </c>
      <c r="D50" s="116">
        <v>9.903878905E9</v>
      </c>
      <c r="E50" s="102" t="s">
        <v>11</v>
      </c>
      <c r="F50" s="102" t="s">
        <v>4402</v>
      </c>
      <c r="G50" s="102" t="s">
        <v>4299</v>
      </c>
      <c r="H50" s="117" t="s">
        <v>4300</v>
      </c>
      <c r="I50" s="121" t="s">
        <v>1731</v>
      </c>
      <c r="J50" s="102" t="s">
        <v>4403</v>
      </c>
      <c r="K50" s="122" t="s">
        <v>37</v>
      </c>
    </row>
    <row r="51" ht="22.5" customHeight="1">
      <c r="A51" s="119">
        <v>48.0</v>
      </c>
      <c r="B51" s="104" t="s">
        <v>4404</v>
      </c>
      <c r="C51" s="104" t="s">
        <v>4405</v>
      </c>
      <c r="D51" s="119">
        <v>8.252821225E9</v>
      </c>
      <c r="E51" s="104" t="s">
        <v>229</v>
      </c>
      <c r="F51" s="104" t="s">
        <v>309</v>
      </c>
      <c r="G51" s="102" t="s">
        <v>4299</v>
      </c>
      <c r="H51" s="117" t="s">
        <v>4300</v>
      </c>
      <c r="I51" s="121" t="s">
        <v>1731</v>
      </c>
      <c r="J51" s="104" t="s">
        <v>4406</v>
      </c>
      <c r="K51" s="122" t="s">
        <v>37</v>
      </c>
    </row>
    <row r="52" ht="22.5" customHeight="1">
      <c r="A52" s="116">
        <v>49.0</v>
      </c>
      <c r="B52" s="102" t="s">
        <v>4407</v>
      </c>
      <c r="C52" s="102" t="s">
        <v>4408</v>
      </c>
      <c r="D52" s="116">
        <v>9.1786946E9</v>
      </c>
      <c r="E52" s="102" t="s">
        <v>11</v>
      </c>
      <c r="F52" s="102" t="s">
        <v>4409</v>
      </c>
      <c r="G52" s="102" t="s">
        <v>4299</v>
      </c>
      <c r="H52" s="117" t="s">
        <v>4300</v>
      </c>
      <c r="I52" s="120" t="s">
        <v>176</v>
      </c>
      <c r="J52" s="102" t="s">
        <v>4410</v>
      </c>
      <c r="K52" s="122" t="s">
        <v>37</v>
      </c>
    </row>
    <row r="53" ht="22.5" customHeight="1">
      <c r="A53" s="119">
        <v>50.0</v>
      </c>
      <c r="B53" s="104" t="s">
        <v>4411</v>
      </c>
      <c r="C53" s="104" t="s">
        <v>4412</v>
      </c>
      <c r="D53" s="119">
        <v>9.631171307E9</v>
      </c>
      <c r="E53" s="104" t="s">
        <v>229</v>
      </c>
      <c r="F53" s="104" t="s">
        <v>4413</v>
      </c>
      <c r="G53" s="102" t="s">
        <v>4299</v>
      </c>
      <c r="H53" s="117" t="s">
        <v>4300</v>
      </c>
      <c r="I53" s="121" t="s">
        <v>1731</v>
      </c>
      <c r="J53" s="104" t="s">
        <v>4406</v>
      </c>
      <c r="K53" s="122" t="s">
        <v>37</v>
      </c>
    </row>
    <row r="54" ht="22.5" customHeight="1">
      <c r="A54" s="116">
        <v>51.0</v>
      </c>
      <c r="B54" s="102" t="s">
        <v>946</v>
      </c>
      <c r="C54" s="102" t="s">
        <v>947</v>
      </c>
      <c r="D54" s="116">
        <v>9.658945461E9</v>
      </c>
      <c r="E54" s="102" t="s">
        <v>11</v>
      </c>
      <c r="F54" s="102" t="s">
        <v>939</v>
      </c>
      <c r="G54" s="102" t="s">
        <v>4299</v>
      </c>
      <c r="H54" s="117" t="s">
        <v>4300</v>
      </c>
      <c r="I54" s="121" t="s">
        <v>1731</v>
      </c>
      <c r="J54" s="102" t="s">
        <v>4403</v>
      </c>
      <c r="K54" s="122" t="s">
        <v>37</v>
      </c>
    </row>
    <row r="55" ht="22.5" customHeight="1">
      <c r="A55" s="119">
        <v>52.0</v>
      </c>
      <c r="B55" s="104" t="s">
        <v>4414</v>
      </c>
      <c r="C55" s="104" t="s">
        <v>4415</v>
      </c>
      <c r="D55" s="119">
        <v>6.265105239E9</v>
      </c>
      <c r="E55" s="113"/>
      <c r="F55" s="104" t="s">
        <v>4416</v>
      </c>
      <c r="G55" s="102" t="s">
        <v>4299</v>
      </c>
      <c r="H55" s="117" t="s">
        <v>4300</v>
      </c>
      <c r="I55" s="118" t="s">
        <v>1729</v>
      </c>
      <c r="J55" s="104" t="s">
        <v>1729</v>
      </c>
      <c r="K55" s="122" t="s">
        <v>37</v>
      </c>
    </row>
    <row r="56" ht="22.5" customHeight="1">
      <c r="A56" s="116">
        <v>53.0</v>
      </c>
      <c r="B56" s="102" t="s">
        <v>4417</v>
      </c>
      <c r="C56" s="102" t="s">
        <v>4418</v>
      </c>
      <c r="D56" s="116">
        <v>7.204842899E9</v>
      </c>
      <c r="E56" s="102" t="s">
        <v>398</v>
      </c>
      <c r="F56" s="102" t="s">
        <v>4419</v>
      </c>
      <c r="G56" s="102" t="s">
        <v>4299</v>
      </c>
      <c r="H56" s="117" t="s">
        <v>4300</v>
      </c>
      <c r="I56" s="118" t="s">
        <v>1729</v>
      </c>
      <c r="J56" s="102" t="s">
        <v>1729</v>
      </c>
      <c r="K56" s="122" t="s">
        <v>37</v>
      </c>
    </row>
    <row r="57" ht="22.5" customHeight="1">
      <c r="A57" s="119">
        <v>54.0</v>
      </c>
      <c r="B57" s="104" t="s">
        <v>4420</v>
      </c>
      <c r="C57" s="104" t="s">
        <v>4421</v>
      </c>
      <c r="D57" s="119">
        <v>9.9999E9</v>
      </c>
      <c r="E57" s="104" t="s">
        <v>11</v>
      </c>
      <c r="F57" s="104" t="s">
        <v>239</v>
      </c>
      <c r="G57" s="102" t="s">
        <v>4299</v>
      </c>
      <c r="H57" s="117" t="s">
        <v>4300</v>
      </c>
      <c r="I57" s="120" t="s">
        <v>176</v>
      </c>
      <c r="J57" s="104" t="s">
        <v>1967</v>
      </c>
      <c r="K57" s="122" t="s">
        <v>37</v>
      </c>
    </row>
    <row r="58" ht="22.5" customHeight="1">
      <c r="A58" s="116">
        <v>55.0</v>
      </c>
      <c r="B58" s="102" t="s">
        <v>4422</v>
      </c>
      <c r="C58" s="102" t="s">
        <v>4423</v>
      </c>
      <c r="D58" s="116">
        <v>9.848487182E9</v>
      </c>
      <c r="E58" s="102" t="s">
        <v>534</v>
      </c>
      <c r="F58" s="102" t="s">
        <v>4424</v>
      </c>
      <c r="G58" s="102" t="s">
        <v>4299</v>
      </c>
      <c r="H58" s="117" t="s">
        <v>4300</v>
      </c>
      <c r="I58" s="123" t="s">
        <v>2581</v>
      </c>
      <c r="J58" s="102" t="s">
        <v>4425</v>
      </c>
      <c r="K58" s="122" t="s">
        <v>37</v>
      </c>
    </row>
    <row r="59" ht="22.5" customHeight="1">
      <c r="A59" s="119">
        <v>56.0</v>
      </c>
      <c r="B59" s="104" t="s">
        <v>4426</v>
      </c>
      <c r="C59" s="104" t="s">
        <v>4427</v>
      </c>
      <c r="D59" s="119">
        <v>8.144470772E9</v>
      </c>
      <c r="E59" s="104" t="s">
        <v>11</v>
      </c>
      <c r="F59" s="113"/>
      <c r="G59" s="102" t="s">
        <v>4299</v>
      </c>
      <c r="H59" s="117" t="s">
        <v>4300</v>
      </c>
      <c r="I59" s="121" t="s">
        <v>1731</v>
      </c>
      <c r="J59" s="104" t="s">
        <v>4428</v>
      </c>
      <c r="K59" s="122" t="s">
        <v>37</v>
      </c>
    </row>
    <row r="60" ht="22.5" customHeight="1">
      <c r="A60" s="116">
        <v>57.0</v>
      </c>
      <c r="B60" s="102" t="s">
        <v>4429</v>
      </c>
      <c r="C60" s="102" t="s">
        <v>4430</v>
      </c>
      <c r="D60" s="116">
        <v>7.086152089E9</v>
      </c>
      <c r="E60" s="102" t="s">
        <v>335</v>
      </c>
      <c r="F60" s="102" t="s">
        <v>4431</v>
      </c>
      <c r="G60" s="102" t="s">
        <v>4299</v>
      </c>
      <c r="H60" s="117" t="s">
        <v>4300</v>
      </c>
      <c r="I60" s="118" t="s">
        <v>1729</v>
      </c>
      <c r="J60" s="102" t="s">
        <v>86</v>
      </c>
      <c r="K60" s="122" t="s">
        <v>37</v>
      </c>
    </row>
    <row r="61" ht="22.5" customHeight="1">
      <c r="A61" s="119">
        <v>58.0</v>
      </c>
      <c r="B61" s="104" t="s">
        <v>4432</v>
      </c>
      <c r="C61" s="104" t="s">
        <v>4433</v>
      </c>
      <c r="D61" s="119">
        <v>9.692300419E9</v>
      </c>
      <c r="E61" s="104" t="s">
        <v>11</v>
      </c>
      <c r="F61" s="104" t="s">
        <v>4434</v>
      </c>
      <c r="G61" s="102" t="s">
        <v>4299</v>
      </c>
      <c r="H61" s="117" t="s">
        <v>4300</v>
      </c>
      <c r="I61" s="123" t="s">
        <v>2581</v>
      </c>
      <c r="J61" s="104" t="s">
        <v>4435</v>
      </c>
      <c r="K61" s="122" t="s">
        <v>37</v>
      </c>
    </row>
    <row r="62" ht="22.5" customHeight="1">
      <c r="A62" s="116">
        <v>59.0</v>
      </c>
      <c r="B62" s="102" t="s">
        <v>4436</v>
      </c>
      <c r="C62" s="102" t="s">
        <v>4437</v>
      </c>
      <c r="D62" s="116">
        <v>9.308645993E9</v>
      </c>
      <c r="E62" s="102" t="s">
        <v>229</v>
      </c>
      <c r="F62" s="102" t="s">
        <v>1059</v>
      </c>
      <c r="G62" s="102" t="s">
        <v>4299</v>
      </c>
      <c r="H62" s="117" t="s">
        <v>4300</v>
      </c>
      <c r="I62" s="123" t="s">
        <v>2581</v>
      </c>
      <c r="J62" s="102" t="s">
        <v>4438</v>
      </c>
      <c r="K62" s="122" t="s">
        <v>37</v>
      </c>
    </row>
    <row r="63" ht="22.5" customHeight="1">
      <c r="A63" s="119">
        <v>60.0</v>
      </c>
      <c r="B63" s="104" t="s">
        <v>4439</v>
      </c>
      <c r="C63" s="104" t="s">
        <v>4440</v>
      </c>
      <c r="D63" s="119">
        <v>8.885225939E9</v>
      </c>
      <c r="E63" s="104" t="s">
        <v>534</v>
      </c>
      <c r="F63" s="104" t="s">
        <v>2924</v>
      </c>
      <c r="G63" s="102" t="s">
        <v>4299</v>
      </c>
      <c r="H63" s="117" t="s">
        <v>4300</v>
      </c>
      <c r="I63" s="118" t="s">
        <v>1729</v>
      </c>
      <c r="J63" s="104" t="s">
        <v>86</v>
      </c>
      <c r="K63" s="122" t="s">
        <v>37</v>
      </c>
    </row>
    <row r="64" ht="22.5" customHeight="1">
      <c r="A64" s="116">
        <v>61.0</v>
      </c>
      <c r="B64" s="102" t="s">
        <v>4441</v>
      </c>
      <c r="C64" s="102" t="s">
        <v>4442</v>
      </c>
      <c r="D64" s="116">
        <v>7.663992429E9</v>
      </c>
      <c r="E64" s="102" t="s">
        <v>229</v>
      </c>
      <c r="F64" s="102" t="s">
        <v>4443</v>
      </c>
      <c r="G64" s="102" t="s">
        <v>4299</v>
      </c>
      <c r="H64" s="117" t="s">
        <v>4300</v>
      </c>
      <c r="I64" s="118" t="s">
        <v>1729</v>
      </c>
      <c r="J64" s="102" t="s">
        <v>1729</v>
      </c>
      <c r="K64" s="122" t="s">
        <v>37</v>
      </c>
    </row>
    <row r="65" ht="22.5" customHeight="1">
      <c r="A65" s="119">
        <v>62.0</v>
      </c>
      <c r="B65" s="104" t="s">
        <v>4444</v>
      </c>
      <c r="C65" s="104" t="s">
        <v>4445</v>
      </c>
      <c r="D65" s="119">
        <v>9.798502658E9</v>
      </c>
      <c r="E65" s="104" t="s">
        <v>229</v>
      </c>
      <c r="F65" s="104" t="s">
        <v>4446</v>
      </c>
      <c r="G65" s="102" t="s">
        <v>4299</v>
      </c>
      <c r="H65" s="117" t="s">
        <v>4300</v>
      </c>
      <c r="I65" s="118" t="s">
        <v>1729</v>
      </c>
      <c r="J65" s="104" t="s">
        <v>86</v>
      </c>
      <c r="K65" s="122" t="s">
        <v>37</v>
      </c>
    </row>
    <row r="66" ht="22.5" customHeight="1">
      <c r="A66" s="116">
        <v>63.0</v>
      </c>
      <c r="B66" s="102" t="s">
        <v>4447</v>
      </c>
      <c r="C66" s="102" t="s">
        <v>4448</v>
      </c>
      <c r="D66" s="116">
        <v>7.2059709E9</v>
      </c>
      <c r="E66" s="102" t="s">
        <v>11</v>
      </c>
      <c r="F66" s="102" t="s">
        <v>4449</v>
      </c>
      <c r="G66" s="102" t="s">
        <v>4299</v>
      </c>
      <c r="H66" s="117" t="s">
        <v>4300</v>
      </c>
      <c r="I66" s="121" t="s">
        <v>1731</v>
      </c>
      <c r="J66" s="102" t="s">
        <v>4450</v>
      </c>
      <c r="K66" s="122" t="s">
        <v>37</v>
      </c>
    </row>
    <row r="67" ht="22.5" customHeight="1">
      <c r="A67" s="119">
        <v>64.0</v>
      </c>
      <c r="B67" s="104" t="s">
        <v>4451</v>
      </c>
      <c r="C67" s="104" t="s">
        <v>4452</v>
      </c>
      <c r="D67" s="119">
        <v>7.250185708E9</v>
      </c>
      <c r="E67" s="104" t="s">
        <v>229</v>
      </c>
      <c r="F67" s="104" t="s">
        <v>4453</v>
      </c>
      <c r="G67" s="102" t="s">
        <v>4299</v>
      </c>
      <c r="H67" s="117" t="s">
        <v>4300</v>
      </c>
      <c r="I67" s="118" t="s">
        <v>1729</v>
      </c>
      <c r="J67" s="104" t="s">
        <v>86</v>
      </c>
      <c r="K67" s="122" t="s">
        <v>37</v>
      </c>
    </row>
    <row r="68" ht="22.5" customHeight="1">
      <c r="A68" s="116">
        <v>65.0</v>
      </c>
      <c r="B68" s="102" t="s">
        <v>4454</v>
      </c>
      <c r="C68" s="102" t="s">
        <v>4455</v>
      </c>
      <c r="D68" s="116">
        <v>9.178433228E9</v>
      </c>
      <c r="E68" s="102" t="s">
        <v>11</v>
      </c>
      <c r="F68" s="102" t="s">
        <v>459</v>
      </c>
      <c r="G68" s="102" t="s">
        <v>4299</v>
      </c>
      <c r="H68" s="117" t="s">
        <v>4300</v>
      </c>
      <c r="I68" s="124" t="s">
        <v>427</v>
      </c>
      <c r="J68" s="102" t="s">
        <v>427</v>
      </c>
      <c r="K68" s="122" t="s">
        <v>37</v>
      </c>
    </row>
    <row r="69" ht="22.5" customHeight="1">
      <c r="A69" s="119">
        <v>66.0</v>
      </c>
      <c r="B69" s="104" t="s">
        <v>4456</v>
      </c>
      <c r="C69" s="104" t="s">
        <v>4457</v>
      </c>
      <c r="D69" s="119">
        <v>9.771044375E9</v>
      </c>
      <c r="E69" s="104" t="s">
        <v>229</v>
      </c>
      <c r="F69" s="104" t="s">
        <v>4458</v>
      </c>
      <c r="G69" s="102" t="s">
        <v>4299</v>
      </c>
      <c r="H69" s="117" t="s">
        <v>4300</v>
      </c>
      <c r="I69" s="118" t="s">
        <v>1729</v>
      </c>
      <c r="J69" s="104" t="s">
        <v>86</v>
      </c>
      <c r="K69" s="122" t="s">
        <v>37</v>
      </c>
    </row>
    <row r="70" ht="22.5" customHeight="1">
      <c r="A70" s="116">
        <v>67.0</v>
      </c>
      <c r="B70" s="102" t="s">
        <v>4459</v>
      </c>
      <c r="C70" s="102" t="s">
        <v>4460</v>
      </c>
      <c r="D70" s="116">
        <v>7.853842314E9</v>
      </c>
      <c r="E70" s="102" t="s">
        <v>11</v>
      </c>
      <c r="F70" s="102" t="s">
        <v>4461</v>
      </c>
      <c r="G70" s="102" t="s">
        <v>4299</v>
      </c>
      <c r="H70" s="117" t="s">
        <v>4300</v>
      </c>
      <c r="I70" s="121" t="s">
        <v>1731</v>
      </c>
      <c r="J70" s="102" t="s">
        <v>4462</v>
      </c>
      <c r="K70" s="122" t="s">
        <v>37</v>
      </c>
    </row>
    <row r="71" ht="22.5" customHeight="1">
      <c r="A71" s="119">
        <v>68.0</v>
      </c>
      <c r="B71" s="104" t="s">
        <v>4463</v>
      </c>
      <c r="C71" s="104" t="s">
        <v>4464</v>
      </c>
      <c r="D71" s="119">
        <v>8.348155189E9</v>
      </c>
      <c r="E71" s="104" t="s">
        <v>211</v>
      </c>
      <c r="F71" s="104" t="s">
        <v>3817</v>
      </c>
      <c r="G71" s="102" t="s">
        <v>4299</v>
      </c>
      <c r="H71" s="117" t="s">
        <v>4300</v>
      </c>
      <c r="I71" s="120" t="s">
        <v>176</v>
      </c>
      <c r="J71" s="104" t="s">
        <v>4465</v>
      </c>
      <c r="K71" s="122" t="s">
        <v>37</v>
      </c>
    </row>
    <row r="72" ht="22.5" customHeight="1">
      <c r="A72" s="116">
        <v>69.0</v>
      </c>
      <c r="B72" s="102" t="s">
        <v>4466</v>
      </c>
      <c r="C72" s="102" t="s">
        <v>4467</v>
      </c>
      <c r="D72" s="116">
        <v>9.800522698E9</v>
      </c>
      <c r="E72" s="102" t="s">
        <v>211</v>
      </c>
      <c r="F72" s="111"/>
      <c r="G72" s="102" t="s">
        <v>4299</v>
      </c>
      <c r="H72" s="117" t="s">
        <v>4300</v>
      </c>
      <c r="I72" s="120" t="s">
        <v>176</v>
      </c>
      <c r="J72" s="102" t="s">
        <v>4465</v>
      </c>
      <c r="K72" s="122" t="s">
        <v>37</v>
      </c>
    </row>
    <row r="73" ht="22.5" customHeight="1">
      <c r="A73" s="119">
        <v>70.0</v>
      </c>
      <c r="B73" s="104" t="s">
        <v>4468</v>
      </c>
      <c r="C73" s="104" t="s">
        <v>4469</v>
      </c>
      <c r="D73" s="119">
        <v>9.155009109E9</v>
      </c>
      <c r="E73" s="104" t="s">
        <v>229</v>
      </c>
      <c r="F73" s="104" t="s">
        <v>4470</v>
      </c>
      <c r="G73" s="102" t="s">
        <v>4299</v>
      </c>
      <c r="H73" s="117" t="s">
        <v>4300</v>
      </c>
      <c r="I73" s="118" t="s">
        <v>1729</v>
      </c>
      <c r="J73" s="104" t="s">
        <v>86</v>
      </c>
      <c r="K73" s="122" t="s">
        <v>37</v>
      </c>
    </row>
    <row r="74" ht="22.5" customHeight="1">
      <c r="A74" s="116">
        <v>71.0</v>
      </c>
      <c r="B74" s="102" t="s">
        <v>4471</v>
      </c>
      <c r="C74" s="102" t="s">
        <v>4472</v>
      </c>
      <c r="D74" s="116">
        <v>9.391545484E9</v>
      </c>
      <c r="E74" s="102" t="s">
        <v>534</v>
      </c>
      <c r="F74" s="102" t="s">
        <v>4473</v>
      </c>
      <c r="G74" s="102" t="s">
        <v>4299</v>
      </c>
      <c r="H74" s="117" t="s">
        <v>4300</v>
      </c>
      <c r="I74" s="118" t="s">
        <v>1729</v>
      </c>
      <c r="J74" s="102" t="s">
        <v>86</v>
      </c>
      <c r="K74" s="122" t="s">
        <v>37</v>
      </c>
    </row>
    <row r="75" ht="22.5" customHeight="1">
      <c r="A75" s="119">
        <v>72.0</v>
      </c>
      <c r="B75" s="104" t="s">
        <v>4474</v>
      </c>
      <c r="C75" s="104" t="s">
        <v>4475</v>
      </c>
      <c r="D75" s="119">
        <v>9.43775774E9</v>
      </c>
      <c r="E75" s="104" t="s">
        <v>1085</v>
      </c>
      <c r="F75" s="104" t="s">
        <v>4476</v>
      </c>
      <c r="G75" s="102" t="s">
        <v>4299</v>
      </c>
      <c r="H75" s="117" t="s">
        <v>4300</v>
      </c>
      <c r="I75" s="120" t="s">
        <v>176</v>
      </c>
      <c r="J75" s="104" t="s">
        <v>4374</v>
      </c>
      <c r="K75" s="122" t="s">
        <v>37</v>
      </c>
    </row>
    <row r="76" ht="22.5" customHeight="1">
      <c r="A76" s="116">
        <v>73.0</v>
      </c>
      <c r="B76" s="102" t="s">
        <v>4477</v>
      </c>
      <c r="C76" s="102" t="s">
        <v>4478</v>
      </c>
      <c r="D76" s="116">
        <v>9.040664506E9</v>
      </c>
      <c r="E76" s="102" t="s">
        <v>229</v>
      </c>
      <c r="F76" s="102" t="s">
        <v>4479</v>
      </c>
      <c r="G76" s="102" t="s">
        <v>4299</v>
      </c>
      <c r="H76" s="117" t="s">
        <v>4300</v>
      </c>
      <c r="I76" s="120" t="s">
        <v>176</v>
      </c>
      <c r="J76" s="102" t="s">
        <v>4374</v>
      </c>
      <c r="K76" s="122" t="s">
        <v>37</v>
      </c>
    </row>
    <row r="77" ht="22.5" customHeight="1">
      <c r="A77" s="119">
        <v>74.0</v>
      </c>
      <c r="B77" s="104" t="s">
        <v>4480</v>
      </c>
      <c r="C77" s="104" t="s">
        <v>4481</v>
      </c>
      <c r="D77" s="119">
        <v>9.755894776E9</v>
      </c>
      <c r="E77" s="104" t="s">
        <v>993</v>
      </c>
      <c r="F77" s="104" t="s">
        <v>4482</v>
      </c>
      <c r="G77" s="102" t="s">
        <v>4299</v>
      </c>
      <c r="H77" s="117" t="s">
        <v>4300</v>
      </c>
      <c r="I77" s="118" t="s">
        <v>1729</v>
      </c>
      <c r="J77" s="104" t="s">
        <v>86</v>
      </c>
      <c r="K77" s="122" t="s">
        <v>37</v>
      </c>
    </row>
    <row r="78" ht="22.5" customHeight="1">
      <c r="A78" s="116">
        <v>75.0</v>
      </c>
      <c r="B78" s="102" t="s">
        <v>4483</v>
      </c>
      <c r="C78" s="102" t="s">
        <v>4484</v>
      </c>
      <c r="D78" s="116">
        <v>7.407431444E9</v>
      </c>
      <c r="E78" s="102" t="s">
        <v>211</v>
      </c>
      <c r="F78" s="102" t="s">
        <v>80</v>
      </c>
      <c r="G78" s="102" t="s">
        <v>4299</v>
      </c>
      <c r="H78" s="117" t="s">
        <v>4300</v>
      </c>
      <c r="I78" s="120" t="s">
        <v>176</v>
      </c>
      <c r="J78" s="102" t="s">
        <v>4374</v>
      </c>
      <c r="K78" s="122" t="s">
        <v>37</v>
      </c>
    </row>
    <row r="79" ht="22.5" customHeight="1">
      <c r="A79" s="119">
        <v>76.0</v>
      </c>
      <c r="B79" s="104" t="s">
        <v>4485</v>
      </c>
      <c r="C79" s="104" t="s">
        <v>4486</v>
      </c>
      <c r="D79" s="119">
        <v>7.797992589E9</v>
      </c>
      <c r="E79" s="104" t="s">
        <v>534</v>
      </c>
      <c r="F79" s="104" t="s">
        <v>497</v>
      </c>
      <c r="G79" s="102" t="s">
        <v>4299</v>
      </c>
      <c r="H79" s="117" t="s">
        <v>4300</v>
      </c>
      <c r="I79" s="124" t="s">
        <v>427</v>
      </c>
      <c r="J79" s="104" t="s">
        <v>3832</v>
      </c>
      <c r="K79" s="122" t="s">
        <v>37</v>
      </c>
    </row>
    <row r="80" ht="22.5" customHeight="1">
      <c r="A80" s="116">
        <v>77.0</v>
      </c>
      <c r="B80" s="102" t="s">
        <v>4487</v>
      </c>
      <c r="C80" s="102" t="s">
        <v>4488</v>
      </c>
      <c r="D80" s="116">
        <v>9.078137297E9</v>
      </c>
      <c r="E80" s="102" t="s">
        <v>11</v>
      </c>
      <c r="F80" s="102" t="s">
        <v>4449</v>
      </c>
      <c r="G80" s="102" t="s">
        <v>4299</v>
      </c>
      <c r="H80" s="117" t="s">
        <v>4300</v>
      </c>
      <c r="I80" s="123" t="s">
        <v>2581</v>
      </c>
      <c r="J80" s="125">
        <v>2.1180555555555554</v>
      </c>
      <c r="K80" s="122" t="s">
        <v>37</v>
      </c>
    </row>
    <row r="81" ht="22.5" customHeight="1">
      <c r="A81" s="119">
        <v>78.0</v>
      </c>
      <c r="B81" s="104" t="s">
        <v>4489</v>
      </c>
      <c r="C81" s="104" t="s">
        <v>4490</v>
      </c>
      <c r="D81" s="119">
        <v>7.064554727E9</v>
      </c>
      <c r="E81" s="104" t="s">
        <v>11</v>
      </c>
      <c r="F81" s="104" t="s">
        <v>4449</v>
      </c>
      <c r="G81" s="102" t="s">
        <v>4299</v>
      </c>
      <c r="H81" s="117" t="s">
        <v>4300</v>
      </c>
      <c r="I81" s="126" t="s">
        <v>1967</v>
      </c>
      <c r="J81" s="104" t="s">
        <v>4491</v>
      </c>
      <c r="K81" s="122" t="s">
        <v>37</v>
      </c>
    </row>
    <row r="82" ht="22.5" customHeight="1">
      <c r="A82" s="116">
        <v>79.0</v>
      </c>
      <c r="B82" s="102" t="s">
        <v>4492</v>
      </c>
      <c r="C82" s="102" t="s">
        <v>4493</v>
      </c>
      <c r="D82" s="116">
        <v>8.092044592E9</v>
      </c>
      <c r="E82" s="102" t="s">
        <v>1085</v>
      </c>
      <c r="F82" s="102" t="s">
        <v>4494</v>
      </c>
      <c r="G82" s="102" t="s">
        <v>4299</v>
      </c>
      <c r="H82" s="117" t="s">
        <v>4300</v>
      </c>
      <c r="I82" s="120" t="s">
        <v>176</v>
      </c>
      <c r="J82" s="102" t="s">
        <v>4374</v>
      </c>
      <c r="K82" s="122" t="s">
        <v>37</v>
      </c>
    </row>
    <row r="83" ht="22.5" customHeight="1">
      <c r="A83" s="119">
        <v>80.0</v>
      </c>
      <c r="B83" s="104" t="s">
        <v>4495</v>
      </c>
      <c r="C83" s="104" t="s">
        <v>4496</v>
      </c>
      <c r="D83" s="119">
        <v>9.431603015E9</v>
      </c>
      <c r="E83" s="104" t="s">
        <v>229</v>
      </c>
      <c r="F83" s="104" t="s">
        <v>4497</v>
      </c>
      <c r="G83" s="102" t="s">
        <v>4299</v>
      </c>
      <c r="H83" s="117" t="s">
        <v>4300</v>
      </c>
      <c r="I83" s="120" t="s">
        <v>176</v>
      </c>
      <c r="J83" s="104" t="s">
        <v>662</v>
      </c>
      <c r="K83" s="122" t="s">
        <v>37</v>
      </c>
    </row>
    <row r="84" ht="22.5" customHeight="1">
      <c r="A84" s="116">
        <v>81.0</v>
      </c>
      <c r="B84" s="102" t="s">
        <v>4498</v>
      </c>
      <c r="C84" s="102" t="s">
        <v>4499</v>
      </c>
      <c r="D84" s="116">
        <v>8.249880771E9</v>
      </c>
      <c r="E84" s="102" t="s">
        <v>11</v>
      </c>
      <c r="F84" s="102" t="s">
        <v>525</v>
      </c>
      <c r="G84" s="102" t="s">
        <v>4299</v>
      </c>
      <c r="H84" s="117" t="s">
        <v>4300</v>
      </c>
      <c r="I84" s="120" t="s">
        <v>176</v>
      </c>
      <c r="J84" s="102" t="s">
        <v>4374</v>
      </c>
      <c r="K84" s="122" t="s">
        <v>37</v>
      </c>
    </row>
    <row r="85" ht="22.5" customHeight="1">
      <c r="A85" s="119">
        <v>82.0</v>
      </c>
      <c r="B85" s="104" t="s">
        <v>4500</v>
      </c>
      <c r="C85" s="104" t="s">
        <v>4501</v>
      </c>
      <c r="D85" s="119">
        <v>9.335104173E9</v>
      </c>
      <c r="E85" s="104" t="s">
        <v>344</v>
      </c>
      <c r="F85" s="104" t="s">
        <v>4502</v>
      </c>
      <c r="G85" s="102" t="s">
        <v>4299</v>
      </c>
      <c r="H85" s="117" t="s">
        <v>4300</v>
      </c>
      <c r="I85" s="120" t="s">
        <v>176</v>
      </c>
      <c r="J85" s="104" t="s">
        <v>4374</v>
      </c>
      <c r="K85" s="122" t="s">
        <v>37</v>
      </c>
    </row>
    <row r="86" ht="22.5" customHeight="1">
      <c r="A86" s="116">
        <v>83.0</v>
      </c>
      <c r="B86" s="102" t="s">
        <v>4503</v>
      </c>
      <c r="C86" s="102" t="s">
        <v>4504</v>
      </c>
      <c r="D86" s="116">
        <v>9.69291464E9</v>
      </c>
      <c r="E86" s="102" t="s">
        <v>11</v>
      </c>
      <c r="F86" s="102" t="s">
        <v>200</v>
      </c>
      <c r="G86" s="102" t="s">
        <v>4299</v>
      </c>
      <c r="H86" s="117" t="s">
        <v>4300</v>
      </c>
      <c r="I86" s="121" t="s">
        <v>1731</v>
      </c>
      <c r="J86" s="102" t="s">
        <v>4505</v>
      </c>
      <c r="K86" s="122" t="s">
        <v>37</v>
      </c>
    </row>
    <row r="87" ht="22.5" customHeight="1">
      <c r="A87" s="119">
        <v>84.0</v>
      </c>
      <c r="B87" s="104" t="s">
        <v>4506</v>
      </c>
      <c r="C87" s="104" t="s">
        <v>4507</v>
      </c>
      <c r="D87" s="119">
        <v>9.418612876E9</v>
      </c>
      <c r="E87" s="104" t="s">
        <v>4508</v>
      </c>
      <c r="F87" s="104" t="s">
        <v>4509</v>
      </c>
      <c r="G87" s="102" t="s">
        <v>4299</v>
      </c>
      <c r="H87" s="117" t="s">
        <v>4300</v>
      </c>
      <c r="I87" s="118" t="s">
        <v>1729</v>
      </c>
      <c r="J87" s="104" t="s">
        <v>86</v>
      </c>
      <c r="K87" s="122" t="s">
        <v>37</v>
      </c>
    </row>
    <row r="88" ht="22.5" customHeight="1">
      <c r="A88" s="116">
        <v>85.0</v>
      </c>
      <c r="B88" s="102" t="s">
        <v>4510</v>
      </c>
      <c r="C88" s="102" t="s">
        <v>4511</v>
      </c>
      <c r="D88" s="116">
        <v>6.207030558E9</v>
      </c>
      <c r="E88" s="102" t="s">
        <v>229</v>
      </c>
      <c r="F88" s="102" t="s">
        <v>317</v>
      </c>
      <c r="G88" s="102" t="s">
        <v>4299</v>
      </c>
      <c r="H88" s="117" t="s">
        <v>4300</v>
      </c>
      <c r="I88" s="118" t="s">
        <v>1729</v>
      </c>
      <c r="J88" s="102" t="s">
        <v>1729</v>
      </c>
      <c r="K88" s="122" t="s">
        <v>37</v>
      </c>
    </row>
    <row r="89" ht="22.5" customHeight="1">
      <c r="A89" s="119">
        <v>86.0</v>
      </c>
      <c r="B89" s="104" t="s">
        <v>4512</v>
      </c>
      <c r="C89" s="104" t="s">
        <v>4513</v>
      </c>
      <c r="D89" s="119">
        <v>9.801787454E9</v>
      </c>
      <c r="E89" s="104" t="s">
        <v>229</v>
      </c>
      <c r="F89" s="104" t="s">
        <v>105</v>
      </c>
      <c r="G89" s="102" t="s">
        <v>4299</v>
      </c>
      <c r="H89" s="117" t="s">
        <v>4300</v>
      </c>
      <c r="I89" s="120" t="s">
        <v>176</v>
      </c>
      <c r="J89" s="104" t="s">
        <v>4374</v>
      </c>
      <c r="K89" s="122" t="s">
        <v>37</v>
      </c>
    </row>
    <row r="90" ht="22.5" customHeight="1">
      <c r="A90" s="116">
        <v>87.0</v>
      </c>
      <c r="B90" s="102" t="s">
        <v>4514</v>
      </c>
      <c r="C90" s="102" t="s">
        <v>4515</v>
      </c>
      <c r="D90" s="116">
        <v>6.371887149E9</v>
      </c>
      <c r="E90" s="102" t="s">
        <v>11</v>
      </c>
      <c r="F90" s="102" t="s">
        <v>4516</v>
      </c>
      <c r="G90" s="102" t="s">
        <v>4299</v>
      </c>
      <c r="H90" s="117" t="s">
        <v>4300</v>
      </c>
      <c r="I90" s="126" t="s">
        <v>1967</v>
      </c>
      <c r="J90" s="102" t="s">
        <v>4491</v>
      </c>
      <c r="K90" s="122" t="s">
        <v>37</v>
      </c>
    </row>
    <row r="91" ht="22.5" customHeight="1">
      <c r="A91" s="119">
        <v>88.0</v>
      </c>
      <c r="B91" s="104" t="s">
        <v>4517</v>
      </c>
      <c r="C91" s="104" t="s">
        <v>4518</v>
      </c>
      <c r="D91" s="119">
        <v>8.97884965E9</v>
      </c>
      <c r="E91" s="104" t="s">
        <v>534</v>
      </c>
      <c r="F91" s="104" t="s">
        <v>4519</v>
      </c>
      <c r="G91" s="102" t="s">
        <v>4299</v>
      </c>
      <c r="H91" s="117" t="s">
        <v>4300</v>
      </c>
      <c r="I91" s="118" t="s">
        <v>1729</v>
      </c>
      <c r="J91" s="104" t="s">
        <v>86</v>
      </c>
      <c r="K91" s="122" t="s">
        <v>37</v>
      </c>
    </row>
    <row r="92" ht="22.5" customHeight="1">
      <c r="A92" s="116">
        <v>89.0</v>
      </c>
      <c r="B92" s="102" t="s">
        <v>4520</v>
      </c>
      <c r="C92" s="102" t="s">
        <v>4521</v>
      </c>
      <c r="D92" s="116">
        <v>9.931972165E9</v>
      </c>
      <c r="E92" s="102" t="s">
        <v>1085</v>
      </c>
      <c r="F92" s="102" t="s">
        <v>4522</v>
      </c>
      <c r="G92" s="102" t="s">
        <v>4299</v>
      </c>
      <c r="H92" s="117" t="s">
        <v>4300</v>
      </c>
      <c r="I92" s="124" t="s">
        <v>427</v>
      </c>
      <c r="J92" s="102" t="s">
        <v>3832</v>
      </c>
      <c r="K92" s="122" t="s">
        <v>37</v>
      </c>
    </row>
    <row r="93" ht="22.5" customHeight="1">
      <c r="A93" s="119">
        <v>90.0</v>
      </c>
      <c r="B93" s="104" t="s">
        <v>4523</v>
      </c>
      <c r="C93" s="104" t="s">
        <v>4524</v>
      </c>
      <c r="D93" s="119">
        <v>9.44196207E9</v>
      </c>
      <c r="E93" s="104" t="s">
        <v>1104</v>
      </c>
      <c r="F93" s="104" t="s">
        <v>4525</v>
      </c>
      <c r="G93" s="102" t="s">
        <v>4299</v>
      </c>
      <c r="H93" s="117" t="s">
        <v>4300</v>
      </c>
      <c r="I93" s="118" t="s">
        <v>1729</v>
      </c>
      <c r="J93" s="104" t="s">
        <v>1729</v>
      </c>
      <c r="K93" s="122" t="s">
        <v>37</v>
      </c>
    </row>
    <row r="94" ht="22.5" customHeight="1">
      <c r="A94" s="116">
        <v>91.0</v>
      </c>
      <c r="B94" s="102" t="s">
        <v>4526</v>
      </c>
      <c r="C94" s="102" t="s">
        <v>4527</v>
      </c>
      <c r="D94" s="116">
        <v>7.854043899E9</v>
      </c>
      <c r="E94" s="102" t="s">
        <v>11</v>
      </c>
      <c r="F94" s="102" t="s">
        <v>4528</v>
      </c>
      <c r="G94" s="102" t="s">
        <v>4299</v>
      </c>
      <c r="H94" s="117" t="s">
        <v>4300</v>
      </c>
      <c r="I94" s="126" t="s">
        <v>1967</v>
      </c>
      <c r="J94" s="102" t="s">
        <v>4529</v>
      </c>
      <c r="K94" s="122" t="s">
        <v>37</v>
      </c>
    </row>
    <row r="95" ht="22.5" customHeight="1">
      <c r="A95" s="119">
        <v>92.0</v>
      </c>
      <c r="B95" s="104" t="s">
        <v>4530</v>
      </c>
      <c r="C95" s="104" t="s">
        <v>4531</v>
      </c>
      <c r="D95" s="119">
        <v>6.370243589E9</v>
      </c>
      <c r="E95" s="104" t="s">
        <v>11</v>
      </c>
      <c r="F95" s="104" t="s">
        <v>4532</v>
      </c>
      <c r="G95" s="102" t="s">
        <v>4299</v>
      </c>
      <c r="H95" s="117" t="s">
        <v>4300</v>
      </c>
      <c r="I95" s="121" t="s">
        <v>1731</v>
      </c>
      <c r="J95" s="104" t="s">
        <v>4533</v>
      </c>
      <c r="K95" s="122" t="s">
        <v>37</v>
      </c>
    </row>
    <row r="96" ht="22.5" customHeight="1">
      <c r="A96" s="116">
        <v>93.0</v>
      </c>
      <c r="B96" s="102" t="s">
        <v>4534</v>
      </c>
      <c r="C96" s="102" t="s">
        <v>4535</v>
      </c>
      <c r="D96" s="116">
        <v>8.986718408E9</v>
      </c>
      <c r="E96" s="102" t="s">
        <v>11</v>
      </c>
      <c r="F96" s="102" t="s">
        <v>1051</v>
      </c>
      <c r="G96" s="102" t="s">
        <v>4299</v>
      </c>
      <c r="H96" s="117" t="s">
        <v>4300</v>
      </c>
      <c r="I96" s="118" t="s">
        <v>1729</v>
      </c>
      <c r="J96" s="102" t="s">
        <v>1729</v>
      </c>
      <c r="K96" s="122" t="s">
        <v>37</v>
      </c>
    </row>
    <row r="97" ht="22.5" customHeight="1">
      <c r="A97" s="119">
        <v>94.0</v>
      </c>
      <c r="B97" s="104" t="s">
        <v>4536</v>
      </c>
      <c r="C97" s="104" t="s">
        <v>4537</v>
      </c>
      <c r="D97" s="119">
        <v>9.373387774E9</v>
      </c>
      <c r="E97" s="104" t="s">
        <v>369</v>
      </c>
      <c r="F97" s="104" t="s">
        <v>4538</v>
      </c>
      <c r="G97" s="102" t="s">
        <v>4299</v>
      </c>
      <c r="H97" s="117" t="s">
        <v>4300</v>
      </c>
      <c r="I97" s="118" t="s">
        <v>1729</v>
      </c>
      <c r="J97" s="104" t="s">
        <v>1729</v>
      </c>
      <c r="K97" s="122" t="s">
        <v>37</v>
      </c>
    </row>
    <row r="98" ht="22.5" customHeight="1">
      <c r="A98" s="116">
        <v>95.0</v>
      </c>
      <c r="B98" s="102" t="s">
        <v>4539</v>
      </c>
      <c r="C98" s="102" t="s">
        <v>4540</v>
      </c>
      <c r="D98" s="116">
        <v>9.874654247E9</v>
      </c>
      <c r="E98" s="102" t="s">
        <v>211</v>
      </c>
      <c r="F98" s="102" t="s">
        <v>66</v>
      </c>
      <c r="G98" s="102" t="s">
        <v>4299</v>
      </c>
      <c r="H98" s="117" t="s">
        <v>4300</v>
      </c>
      <c r="I98" s="118" t="s">
        <v>1729</v>
      </c>
      <c r="J98" s="102" t="s">
        <v>1729</v>
      </c>
      <c r="K98" s="122" t="s">
        <v>37</v>
      </c>
    </row>
    <row r="99" ht="22.5" customHeight="1">
      <c r="A99" s="119">
        <v>96.0</v>
      </c>
      <c r="B99" s="104" t="s">
        <v>4541</v>
      </c>
      <c r="C99" s="104" t="s">
        <v>4542</v>
      </c>
      <c r="D99" s="119">
        <v>9.934605507E9</v>
      </c>
      <c r="E99" s="104" t="s">
        <v>229</v>
      </c>
      <c r="F99" s="104" t="s">
        <v>34</v>
      </c>
      <c r="G99" s="102" t="s">
        <v>4299</v>
      </c>
      <c r="H99" s="117" t="s">
        <v>4300</v>
      </c>
      <c r="I99" s="118" t="s">
        <v>1729</v>
      </c>
      <c r="J99" s="104" t="s">
        <v>4543</v>
      </c>
      <c r="K99" s="122" t="s">
        <v>37</v>
      </c>
    </row>
    <row r="100" ht="22.5" customHeight="1">
      <c r="A100" s="116">
        <v>97.0</v>
      </c>
      <c r="B100" s="102" t="s">
        <v>4544</v>
      </c>
      <c r="C100" s="102" t="s">
        <v>4545</v>
      </c>
      <c r="D100" s="116">
        <v>7.991195091E9</v>
      </c>
      <c r="E100" s="102" t="s">
        <v>229</v>
      </c>
      <c r="F100" s="102" t="s">
        <v>934</v>
      </c>
      <c r="G100" s="102" t="s">
        <v>4299</v>
      </c>
      <c r="H100" s="117" t="s">
        <v>4300</v>
      </c>
      <c r="I100" s="118" t="s">
        <v>1729</v>
      </c>
      <c r="J100" s="102" t="s">
        <v>86</v>
      </c>
      <c r="K100" s="122" t="s">
        <v>37</v>
      </c>
    </row>
    <row r="101" ht="22.5" customHeight="1">
      <c r="A101" s="119">
        <v>98.0</v>
      </c>
      <c r="B101" s="104" t="s">
        <v>4546</v>
      </c>
      <c r="C101" s="104" t="s">
        <v>4547</v>
      </c>
      <c r="D101" s="119">
        <v>9.523411572E9</v>
      </c>
      <c r="E101" s="104" t="s">
        <v>229</v>
      </c>
      <c r="F101" s="104" t="s">
        <v>4548</v>
      </c>
      <c r="G101" s="102" t="s">
        <v>4299</v>
      </c>
      <c r="H101" s="117" t="s">
        <v>4300</v>
      </c>
      <c r="I101" s="126" t="s">
        <v>1967</v>
      </c>
      <c r="J101" s="104" t="s">
        <v>4549</v>
      </c>
      <c r="K101" s="122" t="s">
        <v>37</v>
      </c>
    </row>
    <row r="102" ht="22.5" customHeight="1">
      <c r="A102" s="116">
        <v>99.0</v>
      </c>
      <c r="B102" s="102" t="s">
        <v>4550</v>
      </c>
      <c r="C102" s="102" t="s">
        <v>4551</v>
      </c>
      <c r="D102" s="116">
        <v>9.938962076E9</v>
      </c>
      <c r="E102" s="102" t="s">
        <v>11</v>
      </c>
      <c r="F102" s="102" t="s">
        <v>385</v>
      </c>
      <c r="G102" s="102" t="s">
        <v>4299</v>
      </c>
      <c r="H102" s="117" t="s">
        <v>4300</v>
      </c>
      <c r="I102" s="120" t="s">
        <v>176</v>
      </c>
      <c r="J102" s="102" t="s">
        <v>666</v>
      </c>
      <c r="K102" s="122" t="s">
        <v>37</v>
      </c>
    </row>
    <row r="103" ht="22.5" customHeight="1">
      <c r="A103" s="119">
        <v>100.0</v>
      </c>
      <c r="B103" s="104" t="s">
        <v>4552</v>
      </c>
      <c r="C103" s="104" t="s">
        <v>4553</v>
      </c>
      <c r="D103" s="119">
        <v>6.206114983E9</v>
      </c>
      <c r="E103" s="104" t="s">
        <v>229</v>
      </c>
      <c r="F103" s="104" t="s">
        <v>4554</v>
      </c>
      <c r="G103" s="102" t="s">
        <v>4299</v>
      </c>
      <c r="H103" s="117" t="s">
        <v>4300</v>
      </c>
      <c r="I103" s="120" t="s">
        <v>176</v>
      </c>
      <c r="J103" s="104" t="s">
        <v>666</v>
      </c>
      <c r="K103" s="122" t="s">
        <v>37</v>
      </c>
    </row>
    <row r="104" ht="22.5" customHeight="1">
      <c r="A104" s="116">
        <v>101.0</v>
      </c>
      <c r="B104" s="102" t="s">
        <v>4555</v>
      </c>
      <c r="C104" s="102" t="s">
        <v>4556</v>
      </c>
      <c r="D104" s="116">
        <v>7.780747469E9</v>
      </c>
      <c r="E104" s="102" t="s">
        <v>534</v>
      </c>
      <c r="F104" s="102" t="s">
        <v>4557</v>
      </c>
      <c r="G104" s="102" t="s">
        <v>4299</v>
      </c>
      <c r="H104" s="117" t="s">
        <v>4300</v>
      </c>
      <c r="I104" s="120" t="s">
        <v>176</v>
      </c>
      <c r="J104" s="102" t="s">
        <v>666</v>
      </c>
      <c r="K104" s="122" t="s">
        <v>37</v>
      </c>
    </row>
    <row r="105" ht="22.5" customHeight="1">
      <c r="A105" s="119">
        <v>102.0</v>
      </c>
      <c r="B105" s="104" t="s">
        <v>4558</v>
      </c>
      <c r="C105" s="104" t="s">
        <v>4559</v>
      </c>
      <c r="D105" s="119">
        <v>7.853005961E9</v>
      </c>
      <c r="E105" s="104" t="s">
        <v>11</v>
      </c>
      <c r="F105" s="104" t="s">
        <v>4449</v>
      </c>
      <c r="G105" s="102" t="s">
        <v>4299</v>
      </c>
      <c r="H105" s="117" t="s">
        <v>4300</v>
      </c>
      <c r="I105" s="120" t="s">
        <v>176</v>
      </c>
      <c r="J105" s="104" t="s">
        <v>662</v>
      </c>
      <c r="K105" s="122" t="s">
        <v>37</v>
      </c>
    </row>
    <row r="106" ht="22.5" customHeight="1">
      <c r="A106" s="116">
        <v>103.0</v>
      </c>
      <c r="B106" s="102" t="s">
        <v>4560</v>
      </c>
      <c r="C106" s="102" t="s">
        <v>4561</v>
      </c>
      <c r="D106" s="116">
        <v>8.754057693E9</v>
      </c>
      <c r="E106" s="102" t="s">
        <v>1104</v>
      </c>
      <c r="F106" s="102" t="s">
        <v>4562</v>
      </c>
      <c r="G106" s="102" t="s">
        <v>4299</v>
      </c>
      <c r="H106" s="117" t="s">
        <v>4300</v>
      </c>
      <c r="I106" s="118" t="s">
        <v>1729</v>
      </c>
      <c r="J106" s="102" t="s">
        <v>86</v>
      </c>
      <c r="K106" s="122" t="s">
        <v>37</v>
      </c>
    </row>
    <row r="107" ht="22.5" customHeight="1">
      <c r="A107" s="119">
        <v>104.0</v>
      </c>
      <c r="B107" s="104" t="s">
        <v>4563</v>
      </c>
      <c r="C107" s="104" t="s">
        <v>4564</v>
      </c>
      <c r="D107" s="119">
        <v>7.051909288E9</v>
      </c>
      <c r="E107" s="104" t="s">
        <v>4565</v>
      </c>
      <c r="F107" s="104" t="s">
        <v>4566</v>
      </c>
      <c r="G107" s="102" t="s">
        <v>4299</v>
      </c>
      <c r="H107" s="117" t="s">
        <v>4300</v>
      </c>
      <c r="I107" s="118" t="s">
        <v>1729</v>
      </c>
      <c r="J107" s="104" t="s">
        <v>86</v>
      </c>
      <c r="K107" s="122" t="s">
        <v>37</v>
      </c>
    </row>
    <row r="108" ht="22.5" customHeight="1">
      <c r="A108" s="116">
        <v>105.0</v>
      </c>
      <c r="B108" s="102" t="s">
        <v>4567</v>
      </c>
      <c r="C108" s="102" t="s">
        <v>4568</v>
      </c>
      <c r="D108" s="116">
        <v>9.387697238E9</v>
      </c>
      <c r="E108" s="102" t="s">
        <v>335</v>
      </c>
      <c r="F108" s="102" t="s">
        <v>4569</v>
      </c>
      <c r="G108" s="102" t="s">
        <v>4299</v>
      </c>
      <c r="H108" s="117" t="s">
        <v>4300</v>
      </c>
      <c r="I108" s="118" t="s">
        <v>1729</v>
      </c>
      <c r="J108" s="102" t="s">
        <v>86</v>
      </c>
      <c r="K108" s="122" t="s">
        <v>37</v>
      </c>
    </row>
    <row r="109" ht="22.5" customHeight="1">
      <c r="A109" s="119">
        <v>106.0</v>
      </c>
      <c r="B109" s="104" t="s">
        <v>4570</v>
      </c>
      <c r="C109" s="104" t="s">
        <v>4571</v>
      </c>
      <c r="D109" s="119">
        <v>9.123948688E9</v>
      </c>
      <c r="E109" s="104" t="s">
        <v>211</v>
      </c>
      <c r="F109" s="104" t="s">
        <v>66</v>
      </c>
      <c r="G109" s="102" t="s">
        <v>4299</v>
      </c>
      <c r="H109" s="117" t="s">
        <v>4300</v>
      </c>
      <c r="I109" s="123" t="s">
        <v>2581</v>
      </c>
      <c r="J109" s="104" t="s">
        <v>4572</v>
      </c>
      <c r="K109" s="122" t="s">
        <v>37</v>
      </c>
    </row>
    <row r="110" ht="22.5" customHeight="1">
      <c r="A110" s="116">
        <v>107.0</v>
      </c>
      <c r="B110" s="102" t="s">
        <v>4573</v>
      </c>
      <c r="C110" s="102" t="s">
        <v>4574</v>
      </c>
      <c r="D110" s="116">
        <v>9.933924386E9</v>
      </c>
      <c r="E110" s="102" t="s">
        <v>211</v>
      </c>
      <c r="F110" s="111"/>
      <c r="G110" s="102" t="s">
        <v>4299</v>
      </c>
      <c r="H110" s="117" t="s">
        <v>4300</v>
      </c>
      <c r="I110" s="126" t="s">
        <v>1967</v>
      </c>
      <c r="J110" s="102" t="s">
        <v>4575</v>
      </c>
      <c r="K110" s="122" t="s">
        <v>37</v>
      </c>
    </row>
    <row r="111" ht="22.5" customHeight="1">
      <c r="A111" s="119">
        <v>108.0</v>
      </c>
      <c r="B111" s="104" t="s">
        <v>4576</v>
      </c>
      <c r="C111" s="104" t="s">
        <v>4577</v>
      </c>
      <c r="D111" s="119">
        <v>8.32929737E9</v>
      </c>
      <c r="E111" s="104" t="s">
        <v>369</v>
      </c>
      <c r="F111" s="104" t="s">
        <v>370</v>
      </c>
      <c r="G111" s="102" t="s">
        <v>4299</v>
      </c>
      <c r="H111" s="117" t="s">
        <v>4300</v>
      </c>
      <c r="I111" s="118" t="s">
        <v>1729</v>
      </c>
      <c r="J111" s="104" t="s">
        <v>1729</v>
      </c>
      <c r="K111" s="122" t="s">
        <v>37</v>
      </c>
    </row>
    <row r="112" ht="22.5" customHeight="1">
      <c r="A112" s="116">
        <v>109.0</v>
      </c>
      <c r="B112" s="102" t="s">
        <v>4578</v>
      </c>
      <c r="C112" s="102" t="s">
        <v>4579</v>
      </c>
      <c r="D112" s="116">
        <v>9.093588772E9</v>
      </c>
      <c r="E112" s="102" t="s">
        <v>211</v>
      </c>
      <c r="F112" s="102" t="s">
        <v>211</v>
      </c>
      <c r="G112" s="102" t="s">
        <v>4299</v>
      </c>
      <c r="H112" s="117" t="s">
        <v>4300</v>
      </c>
      <c r="I112" s="118" t="s">
        <v>1729</v>
      </c>
      <c r="J112" s="102" t="s">
        <v>1729</v>
      </c>
      <c r="K112" s="122" t="s">
        <v>37</v>
      </c>
    </row>
    <row r="113" ht="22.5" customHeight="1">
      <c r="A113" s="119">
        <v>110.0</v>
      </c>
      <c r="B113" s="104" t="s">
        <v>4580</v>
      </c>
      <c r="C113" s="104" t="s">
        <v>4581</v>
      </c>
      <c r="D113" s="119">
        <v>8.292173648E9</v>
      </c>
      <c r="E113" s="104" t="s">
        <v>229</v>
      </c>
      <c r="F113" s="104" t="s">
        <v>4582</v>
      </c>
      <c r="G113" s="102" t="s">
        <v>4299</v>
      </c>
      <c r="H113" s="117" t="s">
        <v>4300</v>
      </c>
      <c r="I113" s="123" t="s">
        <v>2581</v>
      </c>
      <c r="J113" s="104" t="s">
        <v>4583</v>
      </c>
      <c r="K113" s="122" t="s">
        <v>37</v>
      </c>
    </row>
    <row r="114" ht="22.5" customHeight="1">
      <c r="A114" s="116">
        <v>111.0</v>
      </c>
      <c r="B114" s="102" t="s">
        <v>4584</v>
      </c>
      <c r="C114" s="102" t="s">
        <v>4585</v>
      </c>
      <c r="D114" s="116">
        <v>9.437190354E9</v>
      </c>
      <c r="E114" s="102" t="s">
        <v>11</v>
      </c>
      <c r="F114" s="111"/>
      <c r="G114" s="102" t="s">
        <v>4299</v>
      </c>
      <c r="H114" s="117" t="s">
        <v>4300</v>
      </c>
      <c r="I114" s="120" t="s">
        <v>176</v>
      </c>
      <c r="J114" s="102" t="s">
        <v>4586</v>
      </c>
      <c r="K114" s="122" t="s">
        <v>37</v>
      </c>
    </row>
    <row r="115" ht="22.5" customHeight="1">
      <c r="A115" s="119">
        <v>112.0</v>
      </c>
      <c r="B115" s="104" t="s">
        <v>4587</v>
      </c>
      <c r="C115" s="104" t="s">
        <v>4588</v>
      </c>
      <c r="D115" s="119">
        <v>9.304609008E9</v>
      </c>
      <c r="E115" s="104" t="s">
        <v>229</v>
      </c>
      <c r="F115" s="104" t="s">
        <v>90</v>
      </c>
      <c r="G115" s="102" t="s">
        <v>4299</v>
      </c>
      <c r="H115" s="117" t="s">
        <v>4300</v>
      </c>
      <c r="I115" s="118" t="s">
        <v>1729</v>
      </c>
      <c r="J115" s="104" t="s">
        <v>1729</v>
      </c>
      <c r="K115" s="122" t="s">
        <v>37</v>
      </c>
    </row>
    <row r="116" ht="22.5" customHeight="1">
      <c r="A116" s="116">
        <v>113.0</v>
      </c>
      <c r="B116" s="102" t="s">
        <v>4589</v>
      </c>
      <c r="C116" s="102" t="s">
        <v>4590</v>
      </c>
      <c r="D116" s="116">
        <v>9.733507696E9</v>
      </c>
      <c r="E116" s="102" t="s">
        <v>211</v>
      </c>
      <c r="F116" s="102" t="s">
        <v>4591</v>
      </c>
      <c r="G116" s="102" t="s">
        <v>4299</v>
      </c>
      <c r="H116" s="117" t="s">
        <v>4300</v>
      </c>
      <c r="I116" s="120" t="s">
        <v>176</v>
      </c>
      <c r="J116" s="102" t="s">
        <v>4592</v>
      </c>
      <c r="K116" s="122" t="s">
        <v>37</v>
      </c>
    </row>
    <row r="117" ht="22.5" customHeight="1">
      <c r="A117" s="119">
        <v>114.0</v>
      </c>
      <c r="B117" s="104" t="s">
        <v>4593</v>
      </c>
      <c r="C117" s="104" t="s">
        <v>4594</v>
      </c>
      <c r="D117" s="119">
        <v>9.05445644E9</v>
      </c>
      <c r="E117" s="104" t="s">
        <v>579</v>
      </c>
      <c r="F117" s="104" t="s">
        <v>4595</v>
      </c>
      <c r="G117" s="102" t="s">
        <v>4299</v>
      </c>
      <c r="H117" s="117" t="s">
        <v>4300</v>
      </c>
      <c r="I117" s="118" t="s">
        <v>1729</v>
      </c>
      <c r="J117" s="104" t="s">
        <v>86</v>
      </c>
      <c r="K117" s="122" t="s">
        <v>37</v>
      </c>
    </row>
    <row r="118" ht="22.5" customHeight="1">
      <c r="A118" s="116">
        <v>115.0</v>
      </c>
      <c r="B118" s="102" t="s">
        <v>4596</v>
      </c>
      <c r="C118" s="102" t="s">
        <v>4597</v>
      </c>
      <c r="D118" s="116">
        <v>9.430439714E9</v>
      </c>
      <c r="E118" s="102" t="s">
        <v>229</v>
      </c>
      <c r="F118" s="102" t="s">
        <v>4598</v>
      </c>
      <c r="G118" s="102" t="s">
        <v>4299</v>
      </c>
      <c r="H118" s="117" t="s">
        <v>4300</v>
      </c>
      <c r="I118" s="121" t="s">
        <v>1731</v>
      </c>
      <c r="J118" s="102" t="s">
        <v>4599</v>
      </c>
      <c r="K118" s="122" t="s">
        <v>37</v>
      </c>
    </row>
    <row r="119" ht="22.5" customHeight="1">
      <c r="A119" s="119">
        <v>116.0</v>
      </c>
      <c r="B119" s="104" t="s">
        <v>4600</v>
      </c>
      <c r="C119" s="104" t="s">
        <v>4601</v>
      </c>
      <c r="D119" s="119">
        <v>9.938861015E9</v>
      </c>
      <c r="E119" s="104" t="s">
        <v>11</v>
      </c>
      <c r="F119" s="104" t="s">
        <v>4409</v>
      </c>
      <c r="G119" s="102" t="s">
        <v>4299</v>
      </c>
      <c r="H119" s="117" t="s">
        <v>4300</v>
      </c>
      <c r="I119" s="120" t="s">
        <v>176</v>
      </c>
      <c r="J119" s="104" t="s">
        <v>4602</v>
      </c>
      <c r="K119" s="122" t="s">
        <v>37</v>
      </c>
    </row>
    <row r="120" ht="22.5" customHeight="1">
      <c r="A120" s="116">
        <v>117.0</v>
      </c>
      <c r="B120" s="102" t="s">
        <v>4603</v>
      </c>
      <c r="C120" s="102" t="s">
        <v>4604</v>
      </c>
      <c r="D120" s="116">
        <v>9.438206196E9</v>
      </c>
      <c r="E120" s="102" t="s">
        <v>11</v>
      </c>
      <c r="F120" s="102" t="s">
        <v>918</v>
      </c>
      <c r="G120" s="102" t="s">
        <v>4299</v>
      </c>
      <c r="H120" s="117" t="s">
        <v>4300</v>
      </c>
      <c r="I120" s="121" t="s">
        <v>1731</v>
      </c>
      <c r="J120" s="102" t="s">
        <v>4599</v>
      </c>
      <c r="K120" s="122" t="s">
        <v>37</v>
      </c>
    </row>
    <row r="121" ht="22.5" customHeight="1">
      <c r="A121" s="119">
        <v>118.0</v>
      </c>
      <c r="B121" s="104" t="s">
        <v>4605</v>
      </c>
      <c r="C121" s="104" t="s">
        <v>4606</v>
      </c>
      <c r="D121" s="119">
        <v>9.494272409E9</v>
      </c>
      <c r="E121" s="104" t="s">
        <v>205</v>
      </c>
      <c r="F121" s="104" t="s">
        <v>3755</v>
      </c>
      <c r="G121" s="102" t="s">
        <v>4299</v>
      </c>
      <c r="H121" s="117" t="s">
        <v>4300</v>
      </c>
      <c r="I121" s="121" t="s">
        <v>1731</v>
      </c>
      <c r="J121" s="104" t="s">
        <v>4599</v>
      </c>
      <c r="K121" s="122" t="s">
        <v>37</v>
      </c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63"/>
    <col customWidth="1" min="4" max="4" width="17.5"/>
    <col customWidth="1" min="7" max="8" width="36.25"/>
    <col customWidth="1" min="9" max="9" width="14.38"/>
    <col customWidth="1" min="10" max="10" width="13.0"/>
  </cols>
  <sheetData>
    <row r="2" ht="22.5" customHeight="1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40" t="s">
        <v>901</v>
      </c>
      <c r="I2" s="4" t="s">
        <v>7</v>
      </c>
      <c r="J2" s="3" t="s">
        <v>8</v>
      </c>
      <c r="K2" s="5" t="s">
        <v>9</v>
      </c>
    </row>
    <row r="3" ht="22.5" customHeight="1">
      <c r="G3" s="54"/>
      <c r="H3" s="115"/>
      <c r="I3" s="54"/>
      <c r="K3" s="11" t="s">
        <v>16</v>
      </c>
    </row>
  </sheetData>
  <dataValidations>
    <dataValidation type="list" allowBlank="1" sqref="K3">
      <formula1>"Calude AI,Meta Lead"</formula1>
    </dataValidation>
    <dataValidation type="list" allowBlank="1" showErrorMessage="1" sqref="I3">
      <formula1>"Intersted,Follow up Required,Not Internsted,Not Reachable,Campus Visit,Wrong Number,Not Called"</formula1>
    </dataValidation>
    <dataValidation type="list" allowBlank="1" showErrorMessage="1" sqref="G3">
      <formula1>"Faculty 1,Faculty 2"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63"/>
    <col customWidth="1" min="4" max="4" width="17.5"/>
    <col customWidth="1" min="7" max="8" width="36.25"/>
    <col customWidth="1" min="9" max="9" width="14.38"/>
    <col customWidth="1" min="10" max="10" width="13.0"/>
  </cols>
  <sheetData>
    <row r="2" ht="22.5" customHeight="1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40" t="s">
        <v>901</v>
      </c>
      <c r="I2" s="4" t="s">
        <v>7</v>
      </c>
      <c r="J2" s="3" t="s">
        <v>8</v>
      </c>
      <c r="K2" s="5" t="s">
        <v>9</v>
      </c>
    </row>
    <row r="3" ht="22.5" customHeight="1">
      <c r="G3" s="54"/>
      <c r="H3" s="115"/>
      <c r="I3" s="54"/>
      <c r="K3" s="11" t="s">
        <v>16</v>
      </c>
    </row>
  </sheetData>
  <dataValidations>
    <dataValidation type="list" allowBlank="1" sqref="K3">
      <formula1>"Calude AI,Meta Lead"</formula1>
    </dataValidation>
    <dataValidation type="list" allowBlank="1" showErrorMessage="1" sqref="I3">
      <formula1>"Intersted,Follow up Required,Not Internsted,Not Reachable,Campus Visit,Wrong Number,Not Called"</formula1>
    </dataValidation>
    <dataValidation type="list" allowBlank="1" showErrorMessage="1" sqref="G3">
      <formula1>"Faculty 1,Faculty 2"</formula1>
    </dataValidation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5"/>
    <col customWidth="1" min="4" max="4" width="17.5"/>
    <col customWidth="1" min="7" max="8" width="36.25"/>
    <col customWidth="1" min="9" max="9" width="14.38"/>
    <col customWidth="1" min="10" max="10" width="13.0"/>
    <col customWidth="1" min="11" max="11" width="17.63"/>
  </cols>
  <sheetData>
    <row r="2" ht="22.5" customHeight="1">
      <c r="A2" s="40" t="s">
        <v>902</v>
      </c>
      <c r="B2" s="40" t="s">
        <v>4607</v>
      </c>
      <c r="C2" s="40" t="s">
        <v>4608</v>
      </c>
      <c r="D2" s="40" t="s">
        <v>4609</v>
      </c>
      <c r="E2" s="40" t="s">
        <v>4610</v>
      </c>
      <c r="F2" s="40" t="s">
        <v>4611</v>
      </c>
      <c r="G2" s="40" t="s">
        <v>4612</v>
      </c>
      <c r="H2" s="40" t="s">
        <v>4613</v>
      </c>
      <c r="I2" s="127" t="s">
        <v>4614</v>
      </c>
      <c r="J2" s="40" t="s">
        <v>4615</v>
      </c>
      <c r="K2" s="128" t="s">
        <v>4616</v>
      </c>
    </row>
    <row r="3" ht="22.5" customHeight="1">
      <c r="B3" s="129" t="s">
        <v>4617</v>
      </c>
      <c r="D3" s="130">
        <v>6.297599347E9</v>
      </c>
      <c r="E3" s="42" t="s">
        <v>211</v>
      </c>
      <c r="F3" s="42" t="s">
        <v>4618</v>
      </c>
      <c r="G3" s="11" t="s">
        <v>4619</v>
      </c>
      <c r="H3" s="42"/>
      <c r="I3" s="54"/>
      <c r="K3" s="11" t="s">
        <v>16</v>
      </c>
    </row>
    <row r="4" ht="22.5" customHeight="1">
      <c r="A4" s="43"/>
      <c r="B4" s="131" t="s">
        <v>4620</v>
      </c>
      <c r="C4" s="43"/>
      <c r="D4" s="132">
        <v>7.60201241E9</v>
      </c>
      <c r="E4" s="42" t="s">
        <v>211</v>
      </c>
      <c r="F4" s="42" t="s">
        <v>4618</v>
      </c>
      <c r="G4" s="11" t="s">
        <v>4619</v>
      </c>
      <c r="H4" s="42"/>
      <c r="I4" s="133"/>
      <c r="J4" s="42" t="s">
        <v>4621</v>
      </c>
      <c r="K4" s="11" t="s">
        <v>16</v>
      </c>
    </row>
    <row r="5" ht="22.5" customHeight="1">
      <c r="A5" s="43"/>
      <c r="B5" s="129" t="s">
        <v>4622</v>
      </c>
      <c r="C5" s="43"/>
      <c r="D5" s="130">
        <v>7.699329522E9</v>
      </c>
      <c r="E5" s="42" t="s">
        <v>211</v>
      </c>
      <c r="F5" s="42" t="s">
        <v>4618</v>
      </c>
      <c r="G5" s="11" t="s">
        <v>4619</v>
      </c>
      <c r="H5" s="42"/>
      <c r="I5" s="133"/>
      <c r="K5" s="11" t="s">
        <v>16</v>
      </c>
    </row>
    <row r="6" ht="22.5" customHeight="1">
      <c r="A6" s="43"/>
      <c r="B6" s="131" t="s">
        <v>4623</v>
      </c>
      <c r="C6" s="43"/>
      <c r="D6" s="132">
        <v>9.332198985E9</v>
      </c>
      <c r="E6" s="42" t="s">
        <v>211</v>
      </c>
      <c r="F6" s="42" t="s">
        <v>4618</v>
      </c>
      <c r="G6" s="11" t="s">
        <v>4619</v>
      </c>
      <c r="H6" s="42"/>
      <c r="I6" s="133"/>
      <c r="K6" s="11" t="s">
        <v>16</v>
      </c>
    </row>
    <row r="7" ht="22.5" customHeight="1">
      <c r="A7" s="43"/>
      <c r="B7" s="129" t="s">
        <v>4624</v>
      </c>
      <c r="C7" s="43"/>
      <c r="D7" s="130">
        <v>7.319014366E9</v>
      </c>
      <c r="E7" s="42" t="s">
        <v>211</v>
      </c>
      <c r="F7" s="42" t="s">
        <v>4618</v>
      </c>
      <c r="G7" s="11" t="s">
        <v>4619</v>
      </c>
      <c r="H7" s="42"/>
      <c r="I7" s="133"/>
      <c r="K7" s="11" t="s">
        <v>16</v>
      </c>
    </row>
    <row r="8" ht="22.5" customHeight="1">
      <c r="A8" s="43"/>
      <c r="B8" s="131" t="s">
        <v>4625</v>
      </c>
      <c r="C8" s="43"/>
      <c r="D8" s="132">
        <v>8.348044908E9</v>
      </c>
      <c r="E8" s="42" t="s">
        <v>211</v>
      </c>
      <c r="F8" s="42" t="s">
        <v>4618</v>
      </c>
      <c r="G8" s="11" t="s">
        <v>4619</v>
      </c>
      <c r="H8" s="42"/>
      <c r="I8" s="133"/>
      <c r="K8" s="11" t="s">
        <v>16</v>
      </c>
    </row>
    <row r="9" ht="22.5" customHeight="1">
      <c r="A9" s="43"/>
      <c r="B9" s="129" t="s">
        <v>4626</v>
      </c>
      <c r="C9" s="43"/>
      <c r="D9" s="130">
        <v>9.002915181E9</v>
      </c>
      <c r="E9" s="42" t="s">
        <v>211</v>
      </c>
      <c r="F9" s="42" t="s">
        <v>4618</v>
      </c>
      <c r="G9" s="11" t="s">
        <v>4619</v>
      </c>
      <c r="H9" s="42"/>
      <c r="I9" s="133"/>
      <c r="K9" s="11" t="s">
        <v>16</v>
      </c>
    </row>
    <row r="10" ht="22.5" customHeight="1">
      <c r="A10" s="43"/>
      <c r="B10" s="131" t="s">
        <v>4627</v>
      </c>
      <c r="C10" s="43"/>
      <c r="D10" s="132">
        <v>9.932266825E9</v>
      </c>
      <c r="E10" s="42" t="s">
        <v>211</v>
      </c>
      <c r="F10" s="42" t="s">
        <v>4618</v>
      </c>
      <c r="G10" s="11" t="s">
        <v>4619</v>
      </c>
      <c r="H10" s="42"/>
      <c r="I10" s="133"/>
      <c r="K10" s="11" t="s">
        <v>16</v>
      </c>
    </row>
    <row r="11" ht="22.5" customHeight="1">
      <c r="A11" s="43"/>
      <c r="B11" s="129" t="s">
        <v>4628</v>
      </c>
      <c r="C11" s="43"/>
      <c r="D11" s="130">
        <v>8.348924917E9</v>
      </c>
      <c r="E11" s="42" t="s">
        <v>211</v>
      </c>
      <c r="F11" s="42" t="s">
        <v>4618</v>
      </c>
      <c r="G11" s="11" t="s">
        <v>4619</v>
      </c>
      <c r="H11" s="42"/>
      <c r="I11" s="133"/>
      <c r="K11" s="11" t="s">
        <v>16</v>
      </c>
    </row>
    <row r="12" ht="22.5" customHeight="1">
      <c r="A12" s="43"/>
      <c r="B12" s="131" t="s">
        <v>4629</v>
      </c>
      <c r="C12" s="43"/>
      <c r="D12" s="132">
        <v>9.64154352E9</v>
      </c>
      <c r="E12" s="42" t="s">
        <v>211</v>
      </c>
      <c r="F12" s="42" t="s">
        <v>4618</v>
      </c>
      <c r="G12" s="11" t="s">
        <v>4619</v>
      </c>
      <c r="H12" s="42"/>
      <c r="I12" s="133"/>
      <c r="K12" s="11" t="s">
        <v>16</v>
      </c>
    </row>
    <row r="13" ht="22.5" customHeight="1">
      <c r="A13" s="43"/>
      <c r="B13" s="129" t="s">
        <v>4630</v>
      </c>
      <c r="C13" s="43"/>
      <c r="D13" s="130">
        <v>8.967261324E9</v>
      </c>
      <c r="E13" s="42" t="s">
        <v>211</v>
      </c>
      <c r="F13" s="42" t="s">
        <v>4618</v>
      </c>
      <c r="G13" s="11" t="s">
        <v>4619</v>
      </c>
      <c r="H13" s="42"/>
      <c r="I13" s="133"/>
      <c r="K13" s="11" t="s">
        <v>16</v>
      </c>
    </row>
    <row r="14" ht="22.5" customHeight="1">
      <c r="A14" s="43"/>
      <c r="B14" s="131" t="s">
        <v>4631</v>
      </c>
      <c r="C14" s="43"/>
      <c r="D14" s="132">
        <v>8.167477951E9</v>
      </c>
      <c r="E14" s="42" t="s">
        <v>211</v>
      </c>
      <c r="F14" s="42" t="s">
        <v>4618</v>
      </c>
      <c r="G14" s="11" t="s">
        <v>4619</v>
      </c>
      <c r="H14" s="42"/>
      <c r="I14" s="133"/>
      <c r="J14" s="43"/>
      <c r="K14" s="11" t="s">
        <v>16</v>
      </c>
    </row>
    <row r="15" ht="22.5" customHeight="1">
      <c r="A15" s="43"/>
      <c r="B15" s="129" t="s">
        <v>4632</v>
      </c>
      <c r="C15" s="43"/>
      <c r="D15" s="130">
        <v>8.918922657E9</v>
      </c>
      <c r="E15" s="42" t="s">
        <v>211</v>
      </c>
      <c r="F15" s="42" t="s">
        <v>4618</v>
      </c>
      <c r="G15" s="11" t="s">
        <v>4619</v>
      </c>
      <c r="H15" s="42"/>
      <c r="I15" s="133"/>
      <c r="J15" s="43"/>
      <c r="K15" s="11" t="s">
        <v>16</v>
      </c>
    </row>
    <row r="16" ht="22.5" customHeight="1">
      <c r="A16" s="43"/>
      <c r="B16" s="131" t="s">
        <v>4633</v>
      </c>
      <c r="C16" s="43"/>
      <c r="D16" s="132">
        <v>7.586910588E9</v>
      </c>
      <c r="E16" s="42" t="s">
        <v>211</v>
      </c>
      <c r="F16" s="42" t="s">
        <v>4618</v>
      </c>
      <c r="G16" s="11" t="s">
        <v>4619</v>
      </c>
      <c r="H16" s="42"/>
      <c r="I16" s="133"/>
      <c r="J16" s="43"/>
      <c r="K16" s="11" t="s">
        <v>16</v>
      </c>
    </row>
    <row r="17" ht="22.5" customHeight="1">
      <c r="A17" s="43"/>
      <c r="B17" s="129" t="s">
        <v>4634</v>
      </c>
      <c r="C17" s="43"/>
      <c r="D17" s="130">
        <v>9.932663728E9</v>
      </c>
      <c r="E17" s="42" t="s">
        <v>211</v>
      </c>
      <c r="F17" s="42" t="s">
        <v>4618</v>
      </c>
      <c r="G17" s="11" t="s">
        <v>4619</v>
      </c>
      <c r="H17" s="42"/>
      <c r="I17" s="133"/>
      <c r="J17" s="43"/>
      <c r="K17" s="11" t="s">
        <v>16</v>
      </c>
    </row>
    <row r="18" ht="22.5" customHeight="1">
      <c r="A18" s="43"/>
      <c r="B18" s="131" t="s">
        <v>4635</v>
      </c>
      <c r="C18" s="43"/>
      <c r="D18" s="132">
        <v>7.602819789E9</v>
      </c>
      <c r="E18" s="42" t="s">
        <v>211</v>
      </c>
      <c r="F18" s="42" t="s">
        <v>4618</v>
      </c>
      <c r="G18" s="11" t="s">
        <v>4619</v>
      </c>
      <c r="H18" s="42"/>
      <c r="I18" s="133"/>
      <c r="J18" s="43"/>
      <c r="K18" s="11" t="s">
        <v>16</v>
      </c>
    </row>
    <row r="19" ht="22.5" customHeight="1">
      <c r="A19" s="43"/>
      <c r="B19" s="129" t="s">
        <v>4636</v>
      </c>
      <c r="C19" s="43"/>
      <c r="D19" s="130">
        <v>8.918160289E9</v>
      </c>
      <c r="E19" s="42" t="s">
        <v>211</v>
      </c>
      <c r="F19" s="42" t="s">
        <v>4618</v>
      </c>
      <c r="G19" s="11" t="s">
        <v>4619</v>
      </c>
      <c r="H19" s="42"/>
      <c r="I19" s="133"/>
      <c r="J19" s="43"/>
      <c r="K19" s="11" t="s">
        <v>16</v>
      </c>
    </row>
    <row r="20" ht="22.5" customHeight="1">
      <c r="A20" s="43"/>
      <c r="B20" s="131" t="s">
        <v>4637</v>
      </c>
      <c r="C20" s="43"/>
      <c r="D20" s="132">
        <v>8.695305895E9</v>
      </c>
      <c r="E20" s="42" t="s">
        <v>211</v>
      </c>
      <c r="F20" s="42" t="s">
        <v>4618</v>
      </c>
      <c r="G20" s="11" t="s">
        <v>4619</v>
      </c>
      <c r="H20" s="42"/>
      <c r="I20" s="133"/>
      <c r="J20" s="43"/>
      <c r="K20" s="11" t="s">
        <v>16</v>
      </c>
    </row>
    <row r="21" ht="22.5" customHeight="1">
      <c r="A21" s="43"/>
      <c r="B21" s="129" t="s">
        <v>4638</v>
      </c>
      <c r="C21" s="43"/>
      <c r="D21" s="130">
        <v>7.001700267E9</v>
      </c>
      <c r="E21" s="42" t="s">
        <v>211</v>
      </c>
      <c r="F21" s="42" t="s">
        <v>4618</v>
      </c>
      <c r="G21" s="11" t="s">
        <v>4619</v>
      </c>
      <c r="H21" s="42"/>
      <c r="I21" s="133"/>
      <c r="J21" s="43"/>
      <c r="K21" s="11" t="s">
        <v>16</v>
      </c>
    </row>
    <row r="22" ht="22.5" customHeight="1">
      <c r="A22" s="43"/>
      <c r="B22" s="131" t="s">
        <v>4639</v>
      </c>
      <c r="C22" s="43"/>
      <c r="D22" s="132">
        <v>8.96700638E9</v>
      </c>
      <c r="E22" s="42" t="s">
        <v>211</v>
      </c>
      <c r="F22" s="42" t="s">
        <v>4618</v>
      </c>
      <c r="G22" s="11" t="s">
        <v>4619</v>
      </c>
      <c r="H22" s="42"/>
      <c r="I22" s="133"/>
      <c r="J22" s="43"/>
      <c r="K22" s="11" t="s">
        <v>16</v>
      </c>
    </row>
    <row r="23" ht="22.5" customHeight="1">
      <c r="A23" s="43"/>
      <c r="B23" s="129" t="s">
        <v>4640</v>
      </c>
      <c r="C23" s="43"/>
      <c r="D23" s="130">
        <v>7.047929199E9</v>
      </c>
      <c r="E23" s="42" t="s">
        <v>211</v>
      </c>
      <c r="F23" s="42" t="s">
        <v>4618</v>
      </c>
      <c r="G23" s="11" t="s">
        <v>4619</v>
      </c>
      <c r="H23" s="42"/>
      <c r="I23" s="133"/>
      <c r="J23" s="43"/>
      <c r="K23" s="11" t="s">
        <v>16</v>
      </c>
    </row>
    <row r="24" ht="22.5" customHeight="1">
      <c r="A24" s="43"/>
      <c r="B24" s="131" t="s">
        <v>4641</v>
      </c>
      <c r="C24" s="43"/>
      <c r="D24" s="132">
        <v>9.932825814E9</v>
      </c>
      <c r="E24" s="42" t="s">
        <v>211</v>
      </c>
      <c r="F24" s="42" t="s">
        <v>4618</v>
      </c>
      <c r="G24" s="11" t="s">
        <v>4619</v>
      </c>
      <c r="H24" s="42"/>
      <c r="I24" s="133"/>
      <c r="J24" s="43"/>
      <c r="K24" s="11" t="s">
        <v>16</v>
      </c>
    </row>
    <row r="25" ht="22.5" customHeight="1">
      <c r="A25" s="43"/>
      <c r="B25" s="129" t="s">
        <v>4642</v>
      </c>
      <c r="C25" s="43"/>
      <c r="D25" s="130">
        <v>9.474716463E9</v>
      </c>
      <c r="E25" s="42" t="s">
        <v>211</v>
      </c>
      <c r="F25" s="42" t="s">
        <v>4618</v>
      </c>
      <c r="G25" s="11" t="s">
        <v>4619</v>
      </c>
      <c r="H25" s="42"/>
      <c r="I25" s="133"/>
      <c r="J25" s="43"/>
      <c r="K25" s="11" t="s">
        <v>16</v>
      </c>
    </row>
    <row r="26" ht="22.5" customHeight="1">
      <c r="A26" s="43"/>
      <c r="B26" s="131" t="s">
        <v>4643</v>
      </c>
      <c r="C26" s="43"/>
      <c r="D26" s="132">
        <v>9.641061975E9</v>
      </c>
      <c r="E26" s="42" t="s">
        <v>211</v>
      </c>
      <c r="F26" s="42" t="s">
        <v>4618</v>
      </c>
      <c r="G26" s="11" t="s">
        <v>4619</v>
      </c>
      <c r="H26" s="42"/>
      <c r="I26" s="133"/>
      <c r="J26" s="43"/>
      <c r="K26" s="11" t="s">
        <v>16</v>
      </c>
    </row>
    <row r="27" ht="22.5" customHeight="1">
      <c r="A27" s="43"/>
      <c r="B27" s="129" t="s">
        <v>4644</v>
      </c>
      <c r="C27" s="43"/>
      <c r="D27" s="130">
        <v>9.907044393E9</v>
      </c>
      <c r="E27" s="42" t="s">
        <v>211</v>
      </c>
      <c r="F27" s="42" t="s">
        <v>4618</v>
      </c>
      <c r="G27" s="11" t="s">
        <v>4619</v>
      </c>
      <c r="H27" s="42"/>
      <c r="I27" s="133"/>
      <c r="J27" s="43"/>
      <c r="K27" s="11" t="s">
        <v>16</v>
      </c>
    </row>
    <row r="28" ht="22.5" customHeight="1">
      <c r="A28" s="43"/>
      <c r="B28" s="131" t="s">
        <v>4645</v>
      </c>
      <c r="C28" s="43"/>
      <c r="D28" s="132">
        <v>8.250682521E9</v>
      </c>
      <c r="E28" s="42" t="s">
        <v>211</v>
      </c>
      <c r="F28" s="42" t="s">
        <v>4618</v>
      </c>
      <c r="G28" s="11" t="s">
        <v>4619</v>
      </c>
      <c r="H28" s="42"/>
      <c r="I28" s="133"/>
      <c r="J28" s="43"/>
      <c r="K28" s="11" t="s">
        <v>16</v>
      </c>
    </row>
    <row r="29" ht="22.5" customHeight="1">
      <c r="A29" s="43"/>
      <c r="B29" s="129" t="s">
        <v>4646</v>
      </c>
      <c r="C29" s="43"/>
      <c r="D29" s="130">
        <v>9.883938502E9</v>
      </c>
      <c r="E29" s="42" t="s">
        <v>211</v>
      </c>
      <c r="F29" s="42" t="s">
        <v>4618</v>
      </c>
      <c r="G29" s="11" t="s">
        <v>4619</v>
      </c>
      <c r="H29" s="42"/>
      <c r="I29" s="133"/>
      <c r="J29" s="43"/>
      <c r="K29" s="11" t="s">
        <v>16</v>
      </c>
    </row>
    <row r="30" ht="22.5" customHeight="1">
      <c r="A30" s="43"/>
      <c r="B30" s="131" t="s">
        <v>4647</v>
      </c>
      <c r="C30" s="43"/>
      <c r="D30" s="132">
        <v>7.602558509E9</v>
      </c>
      <c r="E30" s="42" t="s">
        <v>211</v>
      </c>
      <c r="F30" s="42" t="s">
        <v>4618</v>
      </c>
      <c r="G30" s="11" t="s">
        <v>4619</v>
      </c>
      <c r="H30" s="42"/>
      <c r="I30" s="133"/>
      <c r="J30" s="43"/>
      <c r="K30" s="11" t="s">
        <v>16</v>
      </c>
    </row>
    <row r="31" ht="22.5" customHeight="1">
      <c r="A31" s="43"/>
      <c r="B31" s="129" t="s">
        <v>4648</v>
      </c>
      <c r="C31" s="43"/>
      <c r="D31" s="130">
        <v>9.564015854E9</v>
      </c>
      <c r="E31" s="42" t="s">
        <v>211</v>
      </c>
      <c r="F31" s="42" t="s">
        <v>4618</v>
      </c>
      <c r="G31" s="11" t="s">
        <v>4619</v>
      </c>
      <c r="H31" s="42"/>
      <c r="I31" s="133"/>
      <c r="J31" s="43"/>
      <c r="K31" s="11" t="s">
        <v>16</v>
      </c>
    </row>
    <row r="32" ht="22.5" customHeight="1">
      <c r="A32" s="43"/>
      <c r="B32" s="131" t="s">
        <v>4649</v>
      </c>
      <c r="C32" s="43"/>
      <c r="D32" s="132">
        <v>9.933498078E9</v>
      </c>
      <c r="E32" s="42" t="s">
        <v>211</v>
      </c>
      <c r="F32" s="42" t="s">
        <v>4618</v>
      </c>
      <c r="G32" s="11" t="s">
        <v>4619</v>
      </c>
      <c r="H32" s="42"/>
      <c r="I32" s="133"/>
      <c r="J32" s="43"/>
      <c r="K32" s="11" t="s">
        <v>16</v>
      </c>
    </row>
    <row r="33" ht="22.5" customHeight="1">
      <c r="A33" s="43"/>
      <c r="B33" s="129" t="s">
        <v>4650</v>
      </c>
      <c r="C33" s="43"/>
      <c r="D33" s="130">
        <v>6.295709875E9</v>
      </c>
      <c r="E33" s="42" t="s">
        <v>211</v>
      </c>
      <c r="F33" s="42" t="s">
        <v>4618</v>
      </c>
      <c r="G33" s="11" t="s">
        <v>4619</v>
      </c>
      <c r="H33" s="42"/>
      <c r="I33" s="133"/>
      <c r="J33" s="43"/>
      <c r="K33" s="11" t="s">
        <v>16</v>
      </c>
    </row>
    <row r="34" ht="22.5" customHeight="1">
      <c r="A34" s="43"/>
      <c r="B34" s="131" t="s">
        <v>4651</v>
      </c>
      <c r="C34" s="43"/>
      <c r="D34" s="132">
        <v>6.295510365E9</v>
      </c>
      <c r="E34" s="42" t="s">
        <v>211</v>
      </c>
      <c r="F34" s="42" t="s">
        <v>4618</v>
      </c>
      <c r="G34" s="11" t="s">
        <v>4619</v>
      </c>
      <c r="H34" s="42"/>
      <c r="I34" s="133"/>
      <c r="J34" s="43"/>
      <c r="K34" s="11" t="s">
        <v>16</v>
      </c>
    </row>
    <row r="35" ht="22.5" customHeight="1">
      <c r="A35" s="43"/>
      <c r="B35" s="129" t="s">
        <v>4652</v>
      </c>
      <c r="C35" s="43"/>
      <c r="D35" s="130">
        <v>9.733699292E9</v>
      </c>
      <c r="E35" s="42" t="s">
        <v>211</v>
      </c>
      <c r="F35" s="42" t="s">
        <v>4618</v>
      </c>
      <c r="G35" s="11" t="s">
        <v>4619</v>
      </c>
      <c r="H35" s="42"/>
      <c r="I35" s="133"/>
      <c r="J35" s="43"/>
      <c r="K35" s="11" t="s">
        <v>16</v>
      </c>
    </row>
    <row r="36" ht="22.5" customHeight="1">
      <c r="A36" s="43"/>
      <c r="B36" s="131" t="s">
        <v>4653</v>
      </c>
      <c r="C36" s="43"/>
      <c r="D36" s="132">
        <v>8.001849448E9</v>
      </c>
      <c r="E36" s="42" t="s">
        <v>211</v>
      </c>
      <c r="F36" s="42" t="s">
        <v>4618</v>
      </c>
      <c r="G36" s="11" t="s">
        <v>4619</v>
      </c>
      <c r="H36" s="42"/>
      <c r="I36" s="133"/>
      <c r="J36" s="43"/>
      <c r="K36" s="11" t="s">
        <v>16</v>
      </c>
    </row>
    <row r="37" ht="22.5" customHeight="1">
      <c r="A37" s="43"/>
      <c r="B37" s="129" t="s">
        <v>4654</v>
      </c>
      <c r="C37" s="43"/>
      <c r="D37" s="130">
        <v>9.679755177E9</v>
      </c>
      <c r="E37" s="42" t="s">
        <v>211</v>
      </c>
      <c r="F37" s="42" t="s">
        <v>4618</v>
      </c>
      <c r="G37" s="11" t="s">
        <v>4619</v>
      </c>
      <c r="H37" s="42"/>
      <c r="I37" s="133"/>
      <c r="J37" s="43"/>
      <c r="K37" s="11" t="s">
        <v>16</v>
      </c>
    </row>
    <row r="38" ht="22.5" customHeight="1">
      <c r="A38" s="43"/>
      <c r="B38" s="131" t="s">
        <v>4655</v>
      </c>
      <c r="C38" s="43"/>
      <c r="D38" s="132">
        <v>9.90761019E9</v>
      </c>
      <c r="E38" s="42" t="s">
        <v>211</v>
      </c>
      <c r="F38" s="42" t="s">
        <v>4618</v>
      </c>
      <c r="G38" s="11" t="s">
        <v>4619</v>
      </c>
      <c r="H38" s="42"/>
      <c r="I38" s="133"/>
      <c r="J38" s="43"/>
      <c r="K38" s="11" t="s">
        <v>16</v>
      </c>
    </row>
    <row r="39" ht="22.5" customHeight="1">
      <c r="A39" s="43"/>
      <c r="B39" s="129" t="s">
        <v>4656</v>
      </c>
      <c r="C39" s="43"/>
      <c r="D39" s="130">
        <v>9.932729155E9</v>
      </c>
      <c r="E39" s="42" t="s">
        <v>211</v>
      </c>
      <c r="F39" s="42" t="s">
        <v>4618</v>
      </c>
      <c r="G39" s="11" t="s">
        <v>4619</v>
      </c>
      <c r="H39" s="42"/>
      <c r="I39" s="133"/>
      <c r="J39" s="43"/>
      <c r="K39" s="11" t="s">
        <v>16</v>
      </c>
    </row>
    <row r="40" ht="22.5" customHeight="1">
      <c r="A40" s="43"/>
      <c r="B40" s="131" t="s">
        <v>4657</v>
      </c>
      <c r="C40" s="43"/>
      <c r="D40" s="132">
        <v>7.001272308E9</v>
      </c>
      <c r="E40" s="42" t="s">
        <v>211</v>
      </c>
      <c r="F40" s="42" t="s">
        <v>4618</v>
      </c>
      <c r="G40" s="11" t="s">
        <v>4619</v>
      </c>
      <c r="H40" s="42"/>
      <c r="I40" s="133"/>
      <c r="J40" s="43"/>
      <c r="K40" s="11" t="s">
        <v>16</v>
      </c>
    </row>
    <row r="41" ht="22.5" customHeight="1">
      <c r="A41" s="43"/>
      <c r="B41" s="129" t="s">
        <v>4658</v>
      </c>
      <c r="C41" s="43"/>
      <c r="D41" s="130">
        <v>7.90846643E9</v>
      </c>
      <c r="E41" s="42" t="s">
        <v>211</v>
      </c>
      <c r="F41" s="42" t="s">
        <v>4618</v>
      </c>
      <c r="G41" s="11" t="s">
        <v>4619</v>
      </c>
      <c r="H41" s="42"/>
      <c r="I41" s="133"/>
      <c r="J41" s="43"/>
      <c r="K41" s="11" t="s">
        <v>16</v>
      </c>
    </row>
    <row r="42" ht="22.5" customHeight="1">
      <c r="A42" s="43"/>
      <c r="B42" s="131" t="s">
        <v>4659</v>
      </c>
      <c r="C42" s="43"/>
      <c r="D42" s="132">
        <v>7.047134699E9</v>
      </c>
      <c r="E42" s="42" t="s">
        <v>211</v>
      </c>
      <c r="F42" s="42" t="s">
        <v>4618</v>
      </c>
      <c r="G42" s="10" t="s">
        <v>4660</v>
      </c>
      <c r="H42" s="9"/>
      <c r="I42" s="10" t="s">
        <v>161</v>
      </c>
      <c r="J42" s="9" t="s">
        <v>4661</v>
      </c>
      <c r="K42" s="11" t="s">
        <v>16</v>
      </c>
    </row>
    <row r="43" ht="22.5" customHeight="1">
      <c r="A43" s="43"/>
      <c r="B43" s="129" t="s">
        <v>4662</v>
      </c>
      <c r="C43" s="43"/>
      <c r="D43" s="130">
        <v>9.647886065E9</v>
      </c>
      <c r="E43" s="42" t="s">
        <v>211</v>
      </c>
      <c r="F43" s="42" t="s">
        <v>4618</v>
      </c>
      <c r="G43" s="10" t="s">
        <v>4660</v>
      </c>
      <c r="H43" s="9"/>
      <c r="I43" s="10" t="s">
        <v>427</v>
      </c>
      <c r="J43" s="43"/>
      <c r="K43" s="11" t="s">
        <v>16</v>
      </c>
    </row>
    <row r="44" ht="22.5" customHeight="1">
      <c r="A44" s="43"/>
      <c r="B44" s="131" t="s">
        <v>4663</v>
      </c>
      <c r="C44" s="43"/>
      <c r="D44" s="132">
        <v>8.250416118E9</v>
      </c>
      <c r="E44" s="42" t="s">
        <v>211</v>
      </c>
      <c r="F44" s="42" t="s">
        <v>4618</v>
      </c>
      <c r="G44" s="10" t="s">
        <v>4660</v>
      </c>
      <c r="H44" s="9"/>
      <c r="I44" s="133"/>
      <c r="J44" s="9" t="s">
        <v>4664</v>
      </c>
      <c r="K44" s="11" t="s">
        <v>16</v>
      </c>
    </row>
    <row r="45" ht="22.5" customHeight="1">
      <c r="A45" s="43"/>
      <c r="B45" s="129" t="s">
        <v>4665</v>
      </c>
      <c r="C45" s="43"/>
      <c r="D45" s="130">
        <v>7.602713301E9</v>
      </c>
      <c r="E45" s="42" t="s">
        <v>211</v>
      </c>
      <c r="F45" s="42" t="s">
        <v>4618</v>
      </c>
      <c r="G45" s="10" t="s">
        <v>4660</v>
      </c>
      <c r="H45" s="9"/>
      <c r="I45" s="10" t="s">
        <v>176</v>
      </c>
      <c r="J45" s="43"/>
      <c r="K45" s="11" t="s">
        <v>16</v>
      </c>
    </row>
    <row r="46" ht="22.5" customHeight="1">
      <c r="A46" s="43"/>
      <c r="B46" s="131" t="s">
        <v>4666</v>
      </c>
      <c r="C46" s="43"/>
      <c r="D46" s="132">
        <v>9.933530645E9</v>
      </c>
      <c r="E46" s="42" t="s">
        <v>211</v>
      </c>
      <c r="F46" s="42" t="s">
        <v>4618</v>
      </c>
      <c r="G46" s="10" t="s">
        <v>4660</v>
      </c>
      <c r="H46" s="9"/>
      <c r="I46" s="10" t="s">
        <v>427</v>
      </c>
      <c r="J46" s="9"/>
      <c r="K46" s="11" t="s">
        <v>16</v>
      </c>
    </row>
    <row r="47" ht="22.5" customHeight="1">
      <c r="A47" s="43"/>
      <c r="B47" s="129" t="s">
        <v>4667</v>
      </c>
      <c r="C47" s="43"/>
      <c r="D47" s="130">
        <v>7.865972587E9</v>
      </c>
      <c r="E47" s="42" t="s">
        <v>211</v>
      </c>
      <c r="F47" s="42" t="s">
        <v>4618</v>
      </c>
      <c r="G47" s="10" t="s">
        <v>4660</v>
      </c>
      <c r="H47" s="9"/>
      <c r="I47" s="133"/>
      <c r="J47" s="9" t="s">
        <v>4664</v>
      </c>
      <c r="K47" s="11" t="s">
        <v>16</v>
      </c>
    </row>
    <row r="48" ht="22.5" customHeight="1">
      <c r="A48" s="43"/>
      <c r="B48" s="131" t="s">
        <v>4668</v>
      </c>
      <c r="C48" s="43"/>
      <c r="D48" s="132">
        <v>9.883002381E9</v>
      </c>
      <c r="E48" s="42" t="s">
        <v>211</v>
      </c>
      <c r="F48" s="42" t="s">
        <v>4618</v>
      </c>
      <c r="G48" s="10" t="s">
        <v>4660</v>
      </c>
      <c r="H48" s="9"/>
      <c r="I48" s="10" t="s">
        <v>161</v>
      </c>
      <c r="J48" s="43"/>
      <c r="K48" s="11" t="s">
        <v>16</v>
      </c>
    </row>
    <row r="49" ht="22.5" customHeight="1">
      <c r="A49" s="43"/>
      <c r="B49" s="129" t="s">
        <v>4669</v>
      </c>
      <c r="C49" s="43"/>
      <c r="D49" s="130">
        <v>9.06471107E9</v>
      </c>
      <c r="E49" s="42" t="s">
        <v>211</v>
      </c>
      <c r="F49" s="42" t="s">
        <v>4618</v>
      </c>
      <c r="G49" s="10" t="s">
        <v>4660</v>
      </c>
      <c r="H49" s="9"/>
      <c r="I49" s="133"/>
      <c r="J49" s="9" t="s">
        <v>4664</v>
      </c>
      <c r="K49" s="11" t="s">
        <v>16</v>
      </c>
    </row>
    <row r="50" ht="22.5" customHeight="1">
      <c r="A50" s="43"/>
      <c r="B50" s="131" t="s">
        <v>4670</v>
      </c>
      <c r="C50" s="43"/>
      <c r="D50" s="132">
        <v>9.635413779E9</v>
      </c>
      <c r="E50" s="42" t="s">
        <v>211</v>
      </c>
      <c r="F50" s="42" t="s">
        <v>4618</v>
      </c>
      <c r="G50" s="10" t="s">
        <v>4660</v>
      </c>
      <c r="H50" s="9"/>
      <c r="I50" s="10" t="s">
        <v>161</v>
      </c>
      <c r="J50" s="43"/>
      <c r="K50" s="11" t="s">
        <v>16</v>
      </c>
    </row>
    <row r="51" ht="22.5" customHeight="1">
      <c r="A51" s="43"/>
      <c r="B51" s="129" t="s">
        <v>4671</v>
      </c>
      <c r="C51" s="43"/>
      <c r="D51" s="130">
        <v>8.250781052E9</v>
      </c>
      <c r="E51" s="42" t="s">
        <v>211</v>
      </c>
      <c r="F51" s="42" t="s">
        <v>4618</v>
      </c>
      <c r="G51" s="10" t="s">
        <v>4660</v>
      </c>
      <c r="H51" s="9"/>
      <c r="I51" s="10" t="s">
        <v>176</v>
      </c>
      <c r="J51" s="43"/>
      <c r="K51" s="11" t="s">
        <v>16</v>
      </c>
    </row>
    <row r="52" ht="22.5" customHeight="1">
      <c r="A52" s="43"/>
      <c r="B52" s="131" t="s">
        <v>4672</v>
      </c>
      <c r="C52" s="43"/>
      <c r="D52" s="132">
        <v>8.391828483E9</v>
      </c>
      <c r="E52" s="42" t="s">
        <v>211</v>
      </c>
      <c r="F52" s="42" t="s">
        <v>4618</v>
      </c>
      <c r="G52" s="10" t="s">
        <v>4660</v>
      </c>
      <c r="H52" s="9"/>
      <c r="I52" s="10" t="s">
        <v>176</v>
      </c>
      <c r="J52" s="43"/>
      <c r="K52" s="11" t="s">
        <v>16</v>
      </c>
    </row>
    <row r="53" ht="22.5" customHeight="1">
      <c r="A53" s="43"/>
      <c r="B53" s="129" t="s">
        <v>4673</v>
      </c>
      <c r="C53" s="43"/>
      <c r="D53" s="130">
        <v>9.932212286E9</v>
      </c>
      <c r="E53" s="42" t="s">
        <v>211</v>
      </c>
      <c r="F53" s="42" t="s">
        <v>4618</v>
      </c>
      <c r="G53" s="10" t="s">
        <v>4660</v>
      </c>
      <c r="H53" s="9"/>
      <c r="I53" s="133"/>
      <c r="J53" s="9" t="s">
        <v>4674</v>
      </c>
      <c r="K53" s="11" t="s">
        <v>16</v>
      </c>
    </row>
    <row r="54" ht="22.5" customHeight="1">
      <c r="A54" s="43"/>
      <c r="B54" s="131" t="s">
        <v>4675</v>
      </c>
      <c r="C54" s="43"/>
      <c r="D54" s="132">
        <v>9.002703971E9</v>
      </c>
      <c r="E54" s="42" t="s">
        <v>211</v>
      </c>
      <c r="F54" s="42" t="s">
        <v>4618</v>
      </c>
      <c r="G54" s="10" t="s">
        <v>4660</v>
      </c>
      <c r="H54" s="9"/>
      <c r="I54" s="10" t="s">
        <v>161</v>
      </c>
      <c r="J54" s="43"/>
      <c r="K54" s="11" t="s">
        <v>16</v>
      </c>
    </row>
    <row r="55" ht="22.5" customHeight="1">
      <c r="A55" s="43"/>
      <c r="B55" s="129" t="s">
        <v>4676</v>
      </c>
      <c r="C55" s="43"/>
      <c r="D55" s="130">
        <v>9.733585769E9</v>
      </c>
      <c r="E55" s="42" t="s">
        <v>211</v>
      </c>
      <c r="F55" s="42" t="s">
        <v>4618</v>
      </c>
      <c r="G55" s="10" t="s">
        <v>4660</v>
      </c>
      <c r="H55" s="9"/>
      <c r="I55" s="133"/>
      <c r="J55" s="9" t="s">
        <v>4677</v>
      </c>
      <c r="K55" s="11" t="s">
        <v>16</v>
      </c>
    </row>
    <row r="56" ht="22.5" customHeight="1">
      <c r="A56" s="43"/>
      <c r="B56" s="131" t="s">
        <v>4678</v>
      </c>
      <c r="C56" s="43"/>
      <c r="D56" s="132">
        <v>9.382075871E9</v>
      </c>
      <c r="E56" s="42" t="s">
        <v>211</v>
      </c>
      <c r="F56" s="42" t="s">
        <v>4618</v>
      </c>
      <c r="G56" s="10" t="s">
        <v>4660</v>
      </c>
      <c r="H56" s="9"/>
      <c r="I56" s="133"/>
      <c r="J56" s="9" t="s">
        <v>4679</v>
      </c>
      <c r="K56" s="11" t="s">
        <v>16</v>
      </c>
    </row>
    <row r="57" ht="22.5" customHeight="1">
      <c r="A57" s="43"/>
      <c r="B57" s="129" t="s">
        <v>4680</v>
      </c>
      <c r="C57" s="43"/>
      <c r="D57" s="130">
        <v>9.933615992E9</v>
      </c>
      <c r="E57" s="42" t="s">
        <v>211</v>
      </c>
      <c r="F57" s="42" t="s">
        <v>4618</v>
      </c>
      <c r="G57" s="10" t="s">
        <v>4660</v>
      </c>
      <c r="H57" s="9"/>
      <c r="I57" s="10" t="s">
        <v>161</v>
      </c>
      <c r="J57" s="43"/>
      <c r="K57" s="11" t="s">
        <v>16</v>
      </c>
    </row>
    <row r="58" ht="22.5" customHeight="1">
      <c r="A58" s="43"/>
      <c r="B58" s="131" t="s">
        <v>4681</v>
      </c>
      <c r="C58" s="43"/>
      <c r="D58" s="132">
        <v>9.63523248E9</v>
      </c>
      <c r="E58" s="42" t="s">
        <v>211</v>
      </c>
      <c r="F58" s="42" t="s">
        <v>4618</v>
      </c>
      <c r="G58" s="10" t="s">
        <v>4660</v>
      </c>
      <c r="H58" s="9"/>
      <c r="I58" s="10" t="s">
        <v>161</v>
      </c>
      <c r="J58" s="43"/>
      <c r="K58" s="11" t="s">
        <v>16</v>
      </c>
    </row>
    <row r="59" ht="22.5" customHeight="1">
      <c r="A59" s="43"/>
      <c r="B59" s="129" t="s">
        <v>4682</v>
      </c>
      <c r="C59" s="43"/>
      <c r="D59" s="130">
        <v>9.749917804E9</v>
      </c>
      <c r="E59" s="42" t="s">
        <v>211</v>
      </c>
      <c r="F59" s="42" t="s">
        <v>4618</v>
      </c>
      <c r="G59" s="10" t="s">
        <v>4660</v>
      </c>
      <c r="H59" s="9"/>
      <c r="I59" s="133"/>
      <c r="J59" s="43"/>
      <c r="K59" s="11" t="s">
        <v>16</v>
      </c>
    </row>
    <row r="60" ht="22.5" customHeight="1">
      <c r="A60" s="43"/>
      <c r="B60" s="131" t="s">
        <v>4683</v>
      </c>
      <c r="C60" s="43"/>
      <c r="D60" s="132">
        <v>9.800154968E9</v>
      </c>
      <c r="E60" s="42" t="s">
        <v>211</v>
      </c>
      <c r="F60" s="42" t="s">
        <v>4618</v>
      </c>
      <c r="G60" s="10" t="s">
        <v>4660</v>
      </c>
      <c r="H60" s="9"/>
      <c r="I60" s="133"/>
      <c r="J60" s="43"/>
      <c r="K60" s="11" t="s">
        <v>16</v>
      </c>
    </row>
    <row r="61" ht="22.5" customHeight="1">
      <c r="A61" s="43"/>
      <c r="B61" s="129" t="s">
        <v>4684</v>
      </c>
      <c r="C61" s="43"/>
      <c r="D61" s="130">
        <v>9.635984347E9</v>
      </c>
      <c r="E61" s="42" t="s">
        <v>211</v>
      </c>
      <c r="F61" s="42" t="s">
        <v>4618</v>
      </c>
      <c r="G61" s="10" t="s">
        <v>4660</v>
      </c>
      <c r="H61" s="9"/>
      <c r="I61" s="133"/>
      <c r="J61" s="43"/>
      <c r="K61" s="11" t="s">
        <v>16</v>
      </c>
    </row>
    <row r="62" ht="22.5" customHeight="1">
      <c r="A62" s="43"/>
      <c r="B62" s="131" t="s">
        <v>4685</v>
      </c>
      <c r="C62" s="43"/>
      <c r="D62" s="132">
        <v>8.159827267E9</v>
      </c>
      <c r="E62" s="42" t="s">
        <v>211</v>
      </c>
      <c r="F62" s="42" t="s">
        <v>4618</v>
      </c>
      <c r="G62" s="10" t="s">
        <v>4660</v>
      </c>
      <c r="H62" s="9"/>
      <c r="I62" s="133"/>
      <c r="J62" s="43"/>
      <c r="K62" s="11" t="s">
        <v>16</v>
      </c>
    </row>
    <row r="63" ht="22.5" customHeight="1">
      <c r="A63" s="43"/>
      <c r="B63" s="129" t="s">
        <v>4686</v>
      </c>
      <c r="C63" s="43"/>
      <c r="D63" s="130">
        <v>9.932109433E9</v>
      </c>
      <c r="E63" s="42" t="s">
        <v>211</v>
      </c>
      <c r="F63" s="42" t="s">
        <v>4618</v>
      </c>
      <c r="G63" s="10" t="s">
        <v>4660</v>
      </c>
      <c r="H63" s="9"/>
      <c r="I63" s="133"/>
      <c r="J63" s="43"/>
      <c r="K63" s="11" t="s">
        <v>16</v>
      </c>
    </row>
    <row r="64" ht="22.5" customHeight="1">
      <c r="A64" s="43"/>
      <c r="B64" s="131" t="s">
        <v>4687</v>
      </c>
      <c r="C64" s="43"/>
      <c r="D64" s="132">
        <v>9.635742323E9</v>
      </c>
      <c r="E64" s="42" t="s">
        <v>211</v>
      </c>
      <c r="F64" s="42" t="s">
        <v>4618</v>
      </c>
      <c r="G64" s="10" t="s">
        <v>4660</v>
      </c>
      <c r="H64" s="9"/>
      <c r="I64" s="133"/>
      <c r="J64" s="43"/>
      <c r="K64" s="11" t="s">
        <v>16</v>
      </c>
    </row>
    <row r="65" ht="22.5" customHeight="1">
      <c r="A65" s="43"/>
      <c r="B65" s="129" t="s">
        <v>4688</v>
      </c>
      <c r="C65" s="43"/>
      <c r="D65" s="130">
        <v>7.365901739E9</v>
      </c>
      <c r="E65" s="42" t="s">
        <v>211</v>
      </c>
      <c r="F65" s="42" t="s">
        <v>4618</v>
      </c>
      <c r="G65" s="10" t="s">
        <v>4660</v>
      </c>
      <c r="H65" s="9"/>
      <c r="I65" s="133"/>
      <c r="J65" s="43"/>
      <c r="K65" s="11" t="s">
        <v>16</v>
      </c>
    </row>
    <row r="66" ht="22.5" customHeight="1">
      <c r="A66" s="43"/>
      <c r="B66" s="131" t="s">
        <v>4689</v>
      </c>
      <c r="C66" s="43"/>
      <c r="D66" s="132">
        <v>9.933000802E9</v>
      </c>
      <c r="E66" s="42" t="s">
        <v>211</v>
      </c>
      <c r="F66" s="42" t="s">
        <v>4618</v>
      </c>
      <c r="G66" s="10" t="s">
        <v>4660</v>
      </c>
      <c r="H66" s="9"/>
      <c r="I66" s="133"/>
      <c r="J66" s="43"/>
      <c r="K66" s="11" t="s">
        <v>16</v>
      </c>
    </row>
    <row r="67" ht="22.5" customHeight="1">
      <c r="A67" s="43"/>
      <c r="B67" s="129" t="s">
        <v>4690</v>
      </c>
      <c r="C67" s="43"/>
      <c r="D67" s="130">
        <v>9.932620176E9</v>
      </c>
      <c r="E67" s="42" t="s">
        <v>211</v>
      </c>
      <c r="F67" s="42" t="s">
        <v>4618</v>
      </c>
      <c r="G67" s="10" t="s">
        <v>4660</v>
      </c>
      <c r="H67" s="9"/>
      <c r="I67" s="133"/>
      <c r="J67" s="43"/>
      <c r="K67" s="11" t="s">
        <v>16</v>
      </c>
    </row>
    <row r="68" ht="22.5" customHeight="1">
      <c r="A68" s="43"/>
      <c r="B68" s="131" t="s">
        <v>4691</v>
      </c>
      <c r="C68" s="43"/>
      <c r="D68" s="132">
        <v>9.832538726E9</v>
      </c>
      <c r="E68" s="42" t="s">
        <v>211</v>
      </c>
      <c r="F68" s="42" t="s">
        <v>4618</v>
      </c>
      <c r="G68" s="10" t="s">
        <v>4660</v>
      </c>
      <c r="H68" s="9"/>
      <c r="I68" s="133"/>
      <c r="J68" s="43"/>
      <c r="K68" s="11" t="s">
        <v>16</v>
      </c>
    </row>
    <row r="69" ht="22.5" customHeight="1">
      <c r="A69" s="43"/>
      <c r="B69" s="129" t="s">
        <v>4692</v>
      </c>
      <c r="C69" s="43"/>
      <c r="D69" s="130">
        <v>8.14597701E9</v>
      </c>
      <c r="E69" s="42" t="s">
        <v>211</v>
      </c>
      <c r="F69" s="42" t="s">
        <v>4618</v>
      </c>
      <c r="G69" s="10" t="s">
        <v>4660</v>
      </c>
      <c r="H69" s="9"/>
      <c r="I69" s="133"/>
      <c r="J69" s="43"/>
      <c r="K69" s="11" t="s">
        <v>16</v>
      </c>
    </row>
    <row r="70" ht="22.5" customHeight="1">
      <c r="A70" s="43"/>
      <c r="B70" s="131" t="s">
        <v>4693</v>
      </c>
      <c r="C70" s="43"/>
      <c r="D70" s="132">
        <v>6.297443702E9</v>
      </c>
      <c r="E70" s="42" t="s">
        <v>211</v>
      </c>
      <c r="F70" s="42" t="s">
        <v>4618</v>
      </c>
      <c r="G70" s="10" t="s">
        <v>4660</v>
      </c>
      <c r="H70" s="9"/>
      <c r="I70" s="133"/>
      <c r="J70" s="43"/>
      <c r="K70" s="11" t="s">
        <v>16</v>
      </c>
    </row>
    <row r="71" ht="22.5" customHeight="1">
      <c r="A71" s="43"/>
      <c r="B71" s="129" t="s">
        <v>4694</v>
      </c>
      <c r="C71" s="43"/>
      <c r="D71" s="130">
        <v>9.93373208E9</v>
      </c>
      <c r="E71" s="42" t="s">
        <v>211</v>
      </c>
      <c r="F71" s="42" t="s">
        <v>4618</v>
      </c>
      <c r="G71" s="10" t="s">
        <v>4660</v>
      </c>
      <c r="H71" s="9"/>
      <c r="I71" s="133"/>
      <c r="J71" s="43"/>
      <c r="K71" s="11" t="s">
        <v>16</v>
      </c>
    </row>
    <row r="72" ht="22.5" customHeight="1">
      <c r="A72" s="43"/>
      <c r="B72" s="131" t="s">
        <v>4695</v>
      </c>
      <c r="C72" s="43"/>
      <c r="D72" s="132">
        <v>9.73294868E9</v>
      </c>
      <c r="E72" s="42" t="s">
        <v>211</v>
      </c>
      <c r="F72" s="42" t="s">
        <v>4618</v>
      </c>
      <c r="G72" s="10" t="s">
        <v>4660</v>
      </c>
      <c r="H72" s="9"/>
      <c r="I72" s="133"/>
      <c r="J72" s="43"/>
      <c r="K72" s="11" t="s">
        <v>16</v>
      </c>
    </row>
    <row r="73" ht="22.5" customHeight="1">
      <c r="A73" s="43"/>
      <c r="B73" s="129" t="s">
        <v>4696</v>
      </c>
      <c r="C73" s="43"/>
      <c r="D73" s="130">
        <v>9.635856772E9</v>
      </c>
      <c r="E73" s="42" t="s">
        <v>211</v>
      </c>
      <c r="F73" s="42" t="s">
        <v>4618</v>
      </c>
      <c r="G73" s="10" t="s">
        <v>4660</v>
      </c>
      <c r="H73" s="9"/>
      <c r="I73" s="133"/>
      <c r="J73" s="43"/>
      <c r="K73" s="11" t="s">
        <v>16</v>
      </c>
    </row>
    <row r="74" ht="22.5" customHeight="1">
      <c r="A74" s="43"/>
      <c r="B74" s="131" t="s">
        <v>4697</v>
      </c>
      <c r="C74" s="43"/>
      <c r="D74" s="132">
        <v>9.932789708E9</v>
      </c>
      <c r="E74" s="42" t="s">
        <v>211</v>
      </c>
      <c r="F74" s="42" t="s">
        <v>4618</v>
      </c>
      <c r="G74" s="10" t="s">
        <v>4660</v>
      </c>
      <c r="H74" s="9"/>
      <c r="I74" s="133"/>
      <c r="J74" s="43"/>
      <c r="K74" s="11" t="s">
        <v>16</v>
      </c>
    </row>
    <row r="75" ht="22.5" customHeight="1">
      <c r="A75" s="43"/>
      <c r="B75" s="129" t="s">
        <v>4698</v>
      </c>
      <c r="C75" s="43"/>
      <c r="D75" s="130">
        <v>9.932491747E9</v>
      </c>
      <c r="E75" s="42" t="s">
        <v>211</v>
      </c>
      <c r="F75" s="42" t="s">
        <v>4618</v>
      </c>
      <c r="G75" s="10" t="s">
        <v>4660</v>
      </c>
      <c r="H75" s="9"/>
      <c r="I75" s="133"/>
      <c r="J75" s="43"/>
      <c r="K75" s="11" t="s">
        <v>16</v>
      </c>
    </row>
    <row r="76" ht="22.5" customHeight="1">
      <c r="A76" s="43"/>
      <c r="B76" s="131" t="s">
        <v>4699</v>
      </c>
      <c r="C76" s="43"/>
      <c r="D76" s="132">
        <v>8.972065587E9</v>
      </c>
      <c r="E76" s="42" t="s">
        <v>211</v>
      </c>
      <c r="F76" s="42" t="s">
        <v>4618</v>
      </c>
      <c r="G76" s="10" t="s">
        <v>4660</v>
      </c>
      <c r="H76" s="9"/>
      <c r="I76" s="133"/>
      <c r="J76" s="43"/>
      <c r="K76" s="11" t="s">
        <v>16</v>
      </c>
    </row>
    <row r="77" ht="22.5" customHeight="1">
      <c r="A77" s="43"/>
      <c r="B77" s="129" t="s">
        <v>4700</v>
      </c>
      <c r="C77" s="43"/>
      <c r="D77" s="130">
        <v>8.97223426E9</v>
      </c>
      <c r="E77" s="42" t="s">
        <v>211</v>
      </c>
      <c r="F77" s="42" t="s">
        <v>4618</v>
      </c>
      <c r="G77" s="10" t="s">
        <v>4660</v>
      </c>
      <c r="H77" s="9"/>
      <c r="I77" s="133"/>
      <c r="J77" s="43"/>
      <c r="K77" s="11" t="s">
        <v>16</v>
      </c>
    </row>
    <row r="78" ht="22.5" customHeight="1">
      <c r="A78" s="43"/>
      <c r="B78" s="131" t="s">
        <v>4701</v>
      </c>
      <c r="C78" s="43"/>
      <c r="D78" s="132">
        <v>6.296562651E9</v>
      </c>
      <c r="E78" s="42" t="s">
        <v>211</v>
      </c>
      <c r="F78" s="42" t="s">
        <v>4618</v>
      </c>
      <c r="G78" s="10" t="s">
        <v>4660</v>
      </c>
      <c r="H78" s="9"/>
      <c r="I78" s="133"/>
      <c r="J78" s="43"/>
      <c r="K78" s="11" t="s">
        <v>16</v>
      </c>
    </row>
    <row r="79" ht="22.5" customHeight="1">
      <c r="A79" s="43"/>
      <c r="B79" s="129" t="s">
        <v>4702</v>
      </c>
      <c r="C79" s="43"/>
      <c r="D79" s="130">
        <v>8.512989032E9</v>
      </c>
      <c r="E79" s="42" t="s">
        <v>211</v>
      </c>
      <c r="F79" s="42" t="s">
        <v>4618</v>
      </c>
      <c r="G79" s="10" t="s">
        <v>4660</v>
      </c>
      <c r="H79" s="9"/>
      <c r="I79" s="133"/>
      <c r="J79" s="43"/>
      <c r="K79" s="11" t="s">
        <v>16</v>
      </c>
    </row>
    <row r="80" ht="22.5" customHeight="1">
      <c r="A80" s="43"/>
      <c r="B80" s="131" t="s">
        <v>4703</v>
      </c>
      <c r="C80" s="43"/>
      <c r="D80" s="132">
        <v>8.436980611E9</v>
      </c>
      <c r="E80" s="42" t="s">
        <v>211</v>
      </c>
      <c r="F80" s="42" t="s">
        <v>4618</v>
      </c>
      <c r="G80" s="10" t="s">
        <v>4660</v>
      </c>
      <c r="H80" s="9"/>
      <c r="I80" s="133"/>
      <c r="J80" s="43"/>
      <c r="K80" s="11" t="s">
        <v>16</v>
      </c>
    </row>
    <row r="81" ht="22.5" customHeight="1">
      <c r="A81" s="43"/>
      <c r="B81" s="129" t="s">
        <v>4704</v>
      </c>
      <c r="C81" s="43"/>
      <c r="D81" s="130">
        <v>7.550855706E9</v>
      </c>
      <c r="E81" s="42" t="s">
        <v>211</v>
      </c>
      <c r="F81" s="42" t="s">
        <v>4618</v>
      </c>
      <c r="G81" s="10" t="s">
        <v>4660</v>
      </c>
      <c r="H81" s="9"/>
      <c r="I81" s="133"/>
      <c r="J81" s="43"/>
      <c r="K81" s="11" t="s">
        <v>16</v>
      </c>
    </row>
    <row r="82" ht="22.5" customHeight="1">
      <c r="A82" s="43"/>
      <c r="B82" s="131" t="s">
        <v>4705</v>
      </c>
      <c r="C82" s="43"/>
      <c r="D82" s="132">
        <v>8.116781358E9</v>
      </c>
      <c r="E82" s="42" t="s">
        <v>211</v>
      </c>
      <c r="F82" s="42" t="s">
        <v>4618</v>
      </c>
      <c r="G82" s="10" t="s">
        <v>4706</v>
      </c>
      <c r="H82" s="9"/>
      <c r="I82" s="133"/>
      <c r="J82" s="43"/>
      <c r="K82" s="11" t="s">
        <v>16</v>
      </c>
    </row>
    <row r="83" ht="22.5" customHeight="1">
      <c r="A83" s="43"/>
      <c r="B83" s="129" t="s">
        <v>4707</v>
      </c>
      <c r="C83" s="43"/>
      <c r="D83" s="130">
        <v>9.679178881E9</v>
      </c>
      <c r="E83" s="42" t="s">
        <v>211</v>
      </c>
      <c r="F83" s="9" t="s">
        <v>4708</v>
      </c>
      <c r="G83" s="10" t="s">
        <v>4706</v>
      </c>
      <c r="H83" s="9"/>
      <c r="I83" s="133"/>
      <c r="J83" s="43"/>
      <c r="K83" s="11" t="s">
        <v>16</v>
      </c>
    </row>
    <row r="84" ht="22.5" customHeight="1">
      <c r="A84" s="43"/>
      <c r="B84" s="131" t="s">
        <v>4709</v>
      </c>
      <c r="C84" s="43"/>
      <c r="D84" s="132">
        <v>7.363037054E9</v>
      </c>
      <c r="E84" s="42" t="s">
        <v>211</v>
      </c>
      <c r="F84" s="9" t="s">
        <v>4708</v>
      </c>
      <c r="G84" s="10" t="s">
        <v>4706</v>
      </c>
      <c r="H84" s="9"/>
      <c r="I84" s="133"/>
      <c r="J84" s="43"/>
      <c r="K84" s="11" t="s">
        <v>16</v>
      </c>
    </row>
    <row r="85" ht="22.5" customHeight="1">
      <c r="A85" s="43"/>
      <c r="B85" s="129" t="s">
        <v>4710</v>
      </c>
      <c r="C85" s="43"/>
      <c r="D85" s="130">
        <v>8.617835465E9</v>
      </c>
      <c r="E85" s="42" t="s">
        <v>211</v>
      </c>
      <c r="F85" s="9" t="s">
        <v>4708</v>
      </c>
      <c r="G85" s="10" t="s">
        <v>4706</v>
      </c>
      <c r="H85" s="9"/>
      <c r="I85" s="133"/>
      <c r="J85" s="43"/>
      <c r="K85" s="11" t="s">
        <v>16</v>
      </c>
    </row>
    <row r="86" ht="22.5" customHeight="1">
      <c r="A86" s="43"/>
      <c r="B86" s="131" t="s">
        <v>4711</v>
      </c>
      <c r="C86" s="43"/>
      <c r="D86" s="132">
        <v>6.295215696E9</v>
      </c>
      <c r="E86" s="42" t="s">
        <v>211</v>
      </c>
      <c r="F86" s="9" t="s">
        <v>4708</v>
      </c>
      <c r="G86" s="10" t="s">
        <v>4706</v>
      </c>
      <c r="H86" s="9"/>
      <c r="I86" s="133"/>
      <c r="J86" s="43"/>
      <c r="K86" s="11" t="s">
        <v>16</v>
      </c>
    </row>
    <row r="87" ht="22.5" customHeight="1">
      <c r="A87" s="43"/>
      <c r="B87" s="129" t="s">
        <v>4712</v>
      </c>
      <c r="C87" s="43"/>
      <c r="D87" s="130">
        <v>9.339821498E9</v>
      </c>
      <c r="E87" s="42" t="s">
        <v>211</v>
      </c>
      <c r="F87" s="9" t="s">
        <v>4708</v>
      </c>
      <c r="G87" s="10" t="s">
        <v>4706</v>
      </c>
      <c r="H87" s="9"/>
      <c r="I87" s="133"/>
      <c r="J87" s="43"/>
      <c r="K87" s="11" t="s">
        <v>16</v>
      </c>
    </row>
    <row r="88" ht="22.5" customHeight="1">
      <c r="A88" s="43"/>
      <c r="B88" s="131" t="s">
        <v>4713</v>
      </c>
      <c r="C88" s="43"/>
      <c r="D88" s="132">
        <v>9.749614752E9</v>
      </c>
      <c r="E88" s="42" t="s">
        <v>211</v>
      </c>
      <c r="F88" s="9" t="s">
        <v>4708</v>
      </c>
      <c r="G88" s="10" t="s">
        <v>4706</v>
      </c>
      <c r="H88" s="9"/>
      <c r="I88" s="133"/>
      <c r="J88" s="43"/>
      <c r="K88" s="11" t="s">
        <v>16</v>
      </c>
    </row>
    <row r="89" ht="22.5" customHeight="1">
      <c r="A89" s="43"/>
      <c r="B89" s="129" t="s">
        <v>4714</v>
      </c>
      <c r="C89" s="43"/>
      <c r="D89" s="130">
        <v>7.699603567E9</v>
      </c>
      <c r="E89" s="42" t="s">
        <v>211</v>
      </c>
      <c r="F89" s="9" t="s">
        <v>4708</v>
      </c>
      <c r="G89" s="10" t="s">
        <v>4706</v>
      </c>
      <c r="H89" s="9"/>
      <c r="I89" s="133"/>
      <c r="J89" s="43"/>
      <c r="K89" s="11" t="s">
        <v>16</v>
      </c>
    </row>
    <row r="90" ht="22.5" customHeight="1">
      <c r="A90" s="43"/>
      <c r="B90" s="131" t="s">
        <v>4715</v>
      </c>
      <c r="C90" s="43"/>
      <c r="D90" s="132">
        <v>8.207052722E9</v>
      </c>
      <c r="E90" s="42" t="s">
        <v>211</v>
      </c>
      <c r="F90" s="9" t="s">
        <v>4708</v>
      </c>
      <c r="G90" s="10" t="s">
        <v>4706</v>
      </c>
      <c r="H90" s="9"/>
      <c r="I90" s="133"/>
      <c r="J90" s="43"/>
      <c r="K90" s="11" t="s">
        <v>16</v>
      </c>
    </row>
    <row r="91" ht="22.5" customHeight="1">
      <c r="A91" s="43"/>
      <c r="B91" s="129" t="s">
        <v>4716</v>
      </c>
      <c r="C91" s="43"/>
      <c r="D91" s="130">
        <v>9.593963457E9</v>
      </c>
      <c r="E91" s="42" t="s">
        <v>211</v>
      </c>
      <c r="F91" s="9" t="s">
        <v>4708</v>
      </c>
      <c r="G91" s="10" t="s">
        <v>4706</v>
      </c>
      <c r="H91" s="9"/>
      <c r="I91" s="133"/>
      <c r="J91" s="43"/>
      <c r="K91" s="11" t="s">
        <v>16</v>
      </c>
    </row>
    <row r="92" ht="22.5" customHeight="1">
      <c r="A92" s="43"/>
      <c r="B92" s="131" t="s">
        <v>4717</v>
      </c>
      <c r="C92" s="43"/>
      <c r="D92" s="132">
        <v>9.641975992E9</v>
      </c>
      <c r="E92" s="42" t="s">
        <v>211</v>
      </c>
      <c r="F92" s="9" t="s">
        <v>4708</v>
      </c>
      <c r="G92" s="10" t="s">
        <v>4706</v>
      </c>
      <c r="H92" s="9"/>
      <c r="I92" s="133"/>
      <c r="J92" s="43"/>
      <c r="K92" s="11" t="s">
        <v>16</v>
      </c>
    </row>
    <row r="93" ht="22.5" customHeight="1">
      <c r="A93" s="43"/>
      <c r="B93" s="129" t="s">
        <v>4718</v>
      </c>
      <c r="C93" s="43"/>
      <c r="D93" s="130">
        <v>9.83238847E9</v>
      </c>
      <c r="E93" s="42" t="s">
        <v>211</v>
      </c>
      <c r="F93" s="9" t="s">
        <v>4708</v>
      </c>
      <c r="G93" s="10" t="s">
        <v>4706</v>
      </c>
      <c r="H93" s="9"/>
      <c r="I93" s="133"/>
      <c r="J93" s="43"/>
      <c r="K93" s="11" t="s">
        <v>16</v>
      </c>
    </row>
    <row r="94" ht="22.5" customHeight="1">
      <c r="A94" s="43"/>
      <c r="B94" s="131" t="s">
        <v>4719</v>
      </c>
      <c r="C94" s="43"/>
      <c r="D94" s="132">
        <v>8.967439976E9</v>
      </c>
      <c r="E94" s="42" t="s">
        <v>211</v>
      </c>
      <c r="F94" s="9" t="s">
        <v>4708</v>
      </c>
      <c r="G94" s="10" t="s">
        <v>4706</v>
      </c>
      <c r="H94" s="9"/>
      <c r="I94" s="133"/>
      <c r="J94" s="43"/>
      <c r="K94" s="11" t="s">
        <v>16</v>
      </c>
    </row>
    <row r="95" ht="22.5" customHeight="1">
      <c r="A95" s="43"/>
      <c r="B95" s="129" t="s">
        <v>4720</v>
      </c>
      <c r="C95" s="43"/>
      <c r="D95" s="130">
        <v>9.749609311E9</v>
      </c>
      <c r="E95" s="42" t="s">
        <v>211</v>
      </c>
      <c r="F95" s="9" t="s">
        <v>4708</v>
      </c>
      <c r="G95" s="10" t="s">
        <v>4706</v>
      </c>
      <c r="H95" s="9"/>
      <c r="I95" s="133"/>
      <c r="J95" s="43"/>
      <c r="K95" s="11" t="s">
        <v>16</v>
      </c>
    </row>
    <row r="96" ht="22.5" customHeight="1">
      <c r="A96" s="43"/>
      <c r="B96" s="131" t="s">
        <v>4721</v>
      </c>
      <c r="C96" s="43"/>
      <c r="D96" s="132">
        <v>9.832361202E9</v>
      </c>
      <c r="E96" s="42" t="s">
        <v>211</v>
      </c>
      <c r="F96" s="9" t="s">
        <v>4708</v>
      </c>
      <c r="G96" s="10" t="s">
        <v>4706</v>
      </c>
      <c r="H96" s="9"/>
      <c r="I96" s="133"/>
      <c r="J96" s="43"/>
      <c r="K96" s="11" t="s">
        <v>16</v>
      </c>
    </row>
    <row r="97" ht="22.5" customHeight="1">
      <c r="A97" s="43"/>
      <c r="B97" s="129" t="s">
        <v>4722</v>
      </c>
      <c r="C97" s="43"/>
      <c r="D97" s="130">
        <v>9.641473889E9</v>
      </c>
      <c r="E97" s="42" t="s">
        <v>211</v>
      </c>
      <c r="F97" s="9" t="s">
        <v>4708</v>
      </c>
      <c r="G97" s="10" t="s">
        <v>4706</v>
      </c>
      <c r="H97" s="9"/>
      <c r="I97" s="133"/>
      <c r="J97" s="43"/>
      <c r="K97" s="11" t="s">
        <v>16</v>
      </c>
    </row>
    <row r="98" ht="22.5" customHeight="1">
      <c r="A98" s="43"/>
      <c r="B98" s="131" t="s">
        <v>4723</v>
      </c>
      <c r="C98" s="43"/>
      <c r="D98" s="132">
        <v>9.064708228E9</v>
      </c>
      <c r="E98" s="42" t="s">
        <v>211</v>
      </c>
      <c r="F98" s="9" t="s">
        <v>4708</v>
      </c>
      <c r="G98" s="10" t="s">
        <v>4706</v>
      </c>
      <c r="H98" s="9"/>
      <c r="I98" s="133"/>
      <c r="J98" s="43"/>
      <c r="K98" s="11" t="s">
        <v>16</v>
      </c>
    </row>
    <row r="99" ht="22.5" customHeight="1">
      <c r="A99" s="43"/>
      <c r="B99" s="129" t="s">
        <v>4724</v>
      </c>
      <c r="C99" s="43"/>
      <c r="D99" s="130">
        <v>7.00121156E9</v>
      </c>
      <c r="E99" s="42" t="s">
        <v>211</v>
      </c>
      <c r="F99" s="9" t="s">
        <v>4708</v>
      </c>
      <c r="G99" s="10" t="s">
        <v>4706</v>
      </c>
      <c r="H99" s="9"/>
      <c r="I99" s="133"/>
      <c r="J99" s="43"/>
      <c r="K99" s="11" t="s">
        <v>16</v>
      </c>
    </row>
    <row r="100" ht="22.5" customHeight="1">
      <c r="A100" s="43"/>
      <c r="B100" s="131" t="s">
        <v>4725</v>
      </c>
      <c r="C100" s="43"/>
      <c r="D100" s="132">
        <v>8.597079307E9</v>
      </c>
      <c r="E100" s="42" t="s">
        <v>211</v>
      </c>
      <c r="F100" s="9" t="s">
        <v>4708</v>
      </c>
      <c r="G100" s="10" t="s">
        <v>4706</v>
      </c>
      <c r="H100" s="9"/>
      <c r="I100" s="133"/>
      <c r="J100" s="43"/>
      <c r="K100" s="11" t="s">
        <v>16</v>
      </c>
    </row>
    <row r="101" ht="22.5" customHeight="1">
      <c r="A101" s="43"/>
      <c r="B101" s="129" t="s">
        <v>4726</v>
      </c>
      <c r="C101" s="43"/>
      <c r="D101" s="130">
        <v>9.733075335E9</v>
      </c>
      <c r="E101" s="42" t="s">
        <v>211</v>
      </c>
      <c r="F101" s="9" t="s">
        <v>4708</v>
      </c>
      <c r="G101" s="10" t="s">
        <v>4706</v>
      </c>
      <c r="H101" s="9"/>
      <c r="I101" s="133"/>
      <c r="J101" s="43"/>
      <c r="K101" s="11" t="s">
        <v>16</v>
      </c>
    </row>
    <row r="102" ht="22.5" customHeight="1">
      <c r="A102" s="43"/>
      <c r="B102" s="131" t="s">
        <v>4727</v>
      </c>
      <c r="C102" s="43"/>
      <c r="D102" s="132">
        <v>9.832090348E9</v>
      </c>
      <c r="E102" s="42" t="s">
        <v>211</v>
      </c>
      <c r="F102" s="9" t="s">
        <v>4708</v>
      </c>
      <c r="G102" s="10" t="s">
        <v>4706</v>
      </c>
      <c r="H102" s="9"/>
      <c r="I102" s="133"/>
      <c r="J102" s="43"/>
      <c r="K102" s="11" t="s">
        <v>16</v>
      </c>
    </row>
    <row r="103" ht="22.5" customHeight="1">
      <c r="A103" s="43"/>
      <c r="B103" s="129" t="s">
        <v>4728</v>
      </c>
      <c r="C103" s="43"/>
      <c r="D103" s="130">
        <v>9.74912226E9</v>
      </c>
      <c r="E103" s="42" t="s">
        <v>211</v>
      </c>
      <c r="F103" s="9" t="s">
        <v>4708</v>
      </c>
      <c r="G103" s="10" t="s">
        <v>4706</v>
      </c>
      <c r="H103" s="9"/>
      <c r="I103" s="133"/>
      <c r="J103" s="43"/>
      <c r="K103" s="11" t="s">
        <v>16</v>
      </c>
    </row>
    <row r="104" ht="22.5" customHeight="1">
      <c r="A104" s="43"/>
      <c r="B104" s="131" t="s">
        <v>4729</v>
      </c>
      <c r="C104" s="43"/>
      <c r="D104" s="132">
        <v>7.797828725E9</v>
      </c>
      <c r="E104" s="42" t="s">
        <v>211</v>
      </c>
      <c r="F104" s="9" t="s">
        <v>4708</v>
      </c>
      <c r="G104" s="10" t="s">
        <v>4706</v>
      </c>
      <c r="H104" s="9"/>
      <c r="I104" s="133"/>
      <c r="J104" s="43"/>
      <c r="K104" s="11" t="s">
        <v>16</v>
      </c>
    </row>
    <row r="105" ht="22.5" customHeight="1">
      <c r="A105" s="43"/>
      <c r="B105" s="129" t="s">
        <v>4730</v>
      </c>
      <c r="C105" s="43"/>
      <c r="D105" s="130">
        <v>9.787595323E9</v>
      </c>
      <c r="E105" s="42" t="s">
        <v>211</v>
      </c>
      <c r="F105" s="9" t="s">
        <v>4708</v>
      </c>
      <c r="G105" s="10" t="s">
        <v>4706</v>
      </c>
      <c r="H105" s="9"/>
      <c r="I105" s="133"/>
      <c r="J105" s="43"/>
      <c r="K105" s="11" t="s">
        <v>16</v>
      </c>
    </row>
    <row r="106" ht="22.5" customHeight="1">
      <c r="A106" s="43"/>
      <c r="B106" s="131" t="s">
        <v>4731</v>
      </c>
      <c r="C106" s="43"/>
      <c r="D106" s="132">
        <v>9.593481659E9</v>
      </c>
      <c r="E106" s="42" t="s">
        <v>211</v>
      </c>
      <c r="F106" s="9" t="s">
        <v>4708</v>
      </c>
      <c r="G106" s="10" t="s">
        <v>4706</v>
      </c>
      <c r="H106" s="9"/>
      <c r="I106" s="133"/>
      <c r="J106" s="43"/>
      <c r="K106" s="11" t="s">
        <v>16</v>
      </c>
    </row>
    <row r="107" ht="22.5" customHeight="1">
      <c r="A107" s="43"/>
      <c r="B107" s="129" t="s">
        <v>4732</v>
      </c>
      <c r="C107" s="43"/>
      <c r="D107" s="130">
        <v>8.016686938E9</v>
      </c>
      <c r="E107" s="42" t="s">
        <v>211</v>
      </c>
      <c r="F107" s="9" t="s">
        <v>4708</v>
      </c>
      <c r="G107" s="10" t="s">
        <v>4706</v>
      </c>
      <c r="H107" s="9"/>
      <c r="I107" s="133"/>
      <c r="J107" s="43"/>
      <c r="K107" s="11" t="s">
        <v>16</v>
      </c>
    </row>
    <row r="108" ht="22.5" customHeight="1">
      <c r="A108" s="43"/>
      <c r="B108" s="131" t="s">
        <v>4733</v>
      </c>
      <c r="C108" s="43"/>
      <c r="D108" s="132">
        <v>9.733360582E9</v>
      </c>
      <c r="E108" s="42" t="s">
        <v>211</v>
      </c>
      <c r="F108" s="9" t="s">
        <v>4708</v>
      </c>
      <c r="G108" s="10" t="s">
        <v>4706</v>
      </c>
      <c r="H108" s="9"/>
      <c r="I108" s="133"/>
      <c r="J108" s="43"/>
      <c r="K108" s="11" t="s">
        <v>16</v>
      </c>
    </row>
    <row r="109" ht="22.5" customHeight="1">
      <c r="A109" s="43"/>
      <c r="B109" s="129" t="s">
        <v>4734</v>
      </c>
      <c r="C109" s="43"/>
      <c r="D109" s="130">
        <v>9.88304691E9</v>
      </c>
      <c r="E109" s="42" t="s">
        <v>211</v>
      </c>
      <c r="F109" s="9" t="s">
        <v>4708</v>
      </c>
      <c r="G109" s="10" t="s">
        <v>4706</v>
      </c>
      <c r="H109" s="9"/>
      <c r="I109" s="133"/>
      <c r="J109" s="43"/>
      <c r="K109" s="11" t="s">
        <v>16</v>
      </c>
    </row>
    <row r="110" ht="22.5" customHeight="1">
      <c r="A110" s="43"/>
      <c r="B110" s="131" t="s">
        <v>4735</v>
      </c>
      <c r="C110" s="43"/>
      <c r="D110" s="132">
        <v>9.641572231E9</v>
      </c>
      <c r="E110" s="42" t="s">
        <v>211</v>
      </c>
      <c r="F110" s="9" t="s">
        <v>4708</v>
      </c>
      <c r="G110" s="10" t="s">
        <v>4706</v>
      </c>
      <c r="H110" s="9"/>
      <c r="I110" s="133"/>
      <c r="J110" s="43"/>
      <c r="K110" s="11" t="s">
        <v>16</v>
      </c>
    </row>
    <row r="111" ht="22.5" customHeight="1">
      <c r="A111" s="43"/>
      <c r="B111" s="129" t="s">
        <v>4736</v>
      </c>
      <c r="C111" s="43"/>
      <c r="D111" s="130">
        <v>8.167449293E9</v>
      </c>
      <c r="E111" s="42" t="s">
        <v>211</v>
      </c>
      <c r="F111" s="9" t="s">
        <v>4708</v>
      </c>
      <c r="G111" s="10" t="s">
        <v>4706</v>
      </c>
      <c r="H111" s="9"/>
      <c r="I111" s="133"/>
      <c r="J111" s="43"/>
      <c r="K111" s="11" t="s">
        <v>16</v>
      </c>
    </row>
    <row r="112" ht="22.5" customHeight="1">
      <c r="A112" s="43"/>
      <c r="B112" s="131" t="s">
        <v>4737</v>
      </c>
      <c r="C112" s="43"/>
      <c r="D112" s="132">
        <v>9.832063576E9</v>
      </c>
      <c r="E112" s="42" t="s">
        <v>211</v>
      </c>
      <c r="F112" s="9" t="s">
        <v>4708</v>
      </c>
      <c r="G112" s="10" t="s">
        <v>4706</v>
      </c>
      <c r="H112" s="9"/>
      <c r="I112" s="133"/>
      <c r="J112" s="43"/>
      <c r="K112" s="11" t="s">
        <v>16</v>
      </c>
    </row>
    <row r="113" ht="22.5" customHeight="1">
      <c r="A113" s="43"/>
      <c r="B113" s="129" t="s">
        <v>4738</v>
      </c>
      <c r="C113" s="43"/>
      <c r="D113" s="130">
        <v>7.602805558E9</v>
      </c>
      <c r="E113" s="42" t="s">
        <v>211</v>
      </c>
      <c r="F113" s="9" t="s">
        <v>4708</v>
      </c>
      <c r="G113" s="10" t="s">
        <v>4706</v>
      </c>
      <c r="H113" s="9"/>
      <c r="I113" s="133"/>
      <c r="J113" s="43"/>
      <c r="K113" s="11" t="s">
        <v>16</v>
      </c>
    </row>
    <row r="114" ht="22.5" customHeight="1">
      <c r="A114" s="43"/>
      <c r="B114" s="131" t="s">
        <v>4739</v>
      </c>
      <c r="C114" s="43"/>
      <c r="D114" s="132">
        <v>7.679776023E9</v>
      </c>
      <c r="E114" s="42" t="s">
        <v>211</v>
      </c>
      <c r="F114" s="9" t="s">
        <v>4708</v>
      </c>
      <c r="G114" s="10" t="s">
        <v>4706</v>
      </c>
      <c r="H114" s="9"/>
      <c r="I114" s="133"/>
      <c r="J114" s="43"/>
      <c r="K114" s="11" t="s">
        <v>16</v>
      </c>
    </row>
    <row r="115" ht="22.5" customHeight="1">
      <c r="A115" s="43"/>
      <c r="B115" s="129" t="s">
        <v>4740</v>
      </c>
      <c r="C115" s="43"/>
      <c r="D115" s="130">
        <v>8.345026241E9</v>
      </c>
      <c r="E115" s="42" t="s">
        <v>211</v>
      </c>
      <c r="F115" s="9" t="s">
        <v>4708</v>
      </c>
      <c r="G115" s="10" t="s">
        <v>4706</v>
      </c>
      <c r="H115" s="9"/>
      <c r="I115" s="133"/>
      <c r="J115" s="43"/>
      <c r="K115" s="11" t="s">
        <v>16</v>
      </c>
    </row>
    <row r="116" ht="22.5" customHeight="1">
      <c r="A116" s="43"/>
      <c r="B116" s="131" t="s">
        <v>4741</v>
      </c>
      <c r="C116" s="43"/>
      <c r="D116" s="132">
        <v>9.47464415E9</v>
      </c>
      <c r="E116" s="42" t="s">
        <v>211</v>
      </c>
      <c r="F116" s="9" t="s">
        <v>4708</v>
      </c>
      <c r="G116" s="10" t="s">
        <v>4706</v>
      </c>
      <c r="H116" s="9"/>
      <c r="I116" s="133"/>
      <c r="J116" s="43"/>
      <c r="K116" s="11" t="s">
        <v>16</v>
      </c>
    </row>
    <row r="117" ht="22.5" customHeight="1">
      <c r="A117" s="43"/>
      <c r="B117" s="129" t="s">
        <v>4742</v>
      </c>
      <c r="C117" s="43"/>
      <c r="D117" s="130">
        <v>9.933818881E9</v>
      </c>
      <c r="E117" s="42" t="s">
        <v>211</v>
      </c>
      <c r="F117" s="9" t="s">
        <v>4708</v>
      </c>
      <c r="G117" s="10" t="s">
        <v>4706</v>
      </c>
      <c r="H117" s="9"/>
      <c r="I117" s="133"/>
      <c r="J117" s="43"/>
      <c r="K117" s="11" t="s">
        <v>16</v>
      </c>
    </row>
    <row r="118" ht="22.5" customHeight="1">
      <c r="A118" s="43"/>
      <c r="B118" s="131" t="s">
        <v>4743</v>
      </c>
      <c r="C118" s="43"/>
      <c r="D118" s="132">
        <v>9.002138832E9</v>
      </c>
      <c r="E118" s="42" t="s">
        <v>211</v>
      </c>
      <c r="F118" s="9" t="s">
        <v>4708</v>
      </c>
      <c r="G118" s="10" t="s">
        <v>4706</v>
      </c>
      <c r="H118" s="9"/>
      <c r="I118" s="133"/>
      <c r="J118" s="43"/>
      <c r="K118" s="11" t="s">
        <v>16</v>
      </c>
    </row>
    <row r="119" ht="22.5" customHeight="1">
      <c r="A119" s="43"/>
      <c r="B119" s="129" t="s">
        <v>4718</v>
      </c>
      <c r="C119" s="43"/>
      <c r="D119" s="130">
        <v>6.296736433E9</v>
      </c>
      <c r="E119" s="42" t="s">
        <v>211</v>
      </c>
      <c r="F119" s="9" t="s">
        <v>4708</v>
      </c>
      <c r="G119" s="10" t="s">
        <v>4706</v>
      </c>
      <c r="H119" s="9"/>
      <c r="I119" s="133"/>
      <c r="J119" s="43"/>
      <c r="K119" s="11" t="s">
        <v>16</v>
      </c>
    </row>
    <row r="120" ht="22.5" customHeight="1">
      <c r="A120" s="43"/>
      <c r="B120" s="131" t="s">
        <v>4744</v>
      </c>
      <c r="C120" s="43"/>
      <c r="D120" s="132">
        <v>9.091808285E9</v>
      </c>
      <c r="E120" s="42" t="s">
        <v>211</v>
      </c>
      <c r="F120" s="9" t="s">
        <v>4708</v>
      </c>
      <c r="G120" s="10" t="s">
        <v>4706</v>
      </c>
      <c r="H120" s="9"/>
      <c r="I120" s="133"/>
      <c r="J120" s="43"/>
      <c r="K120" s="11" t="s">
        <v>16</v>
      </c>
    </row>
    <row r="121" ht="22.5" customHeight="1">
      <c r="A121" s="43"/>
      <c r="B121" s="129" t="s">
        <v>4745</v>
      </c>
      <c r="C121" s="43"/>
      <c r="D121" s="130">
        <v>7.864996735E9</v>
      </c>
      <c r="E121" s="42" t="s">
        <v>211</v>
      </c>
      <c r="F121" s="9" t="s">
        <v>4708</v>
      </c>
      <c r="G121" s="10" t="s">
        <v>4706</v>
      </c>
      <c r="H121" s="9"/>
      <c r="I121" s="133"/>
      <c r="J121" s="43"/>
      <c r="K121" s="11" t="s">
        <v>16</v>
      </c>
    </row>
    <row r="122" ht="22.5" customHeight="1">
      <c r="A122" s="43"/>
      <c r="B122" s="131" t="s">
        <v>4746</v>
      </c>
      <c r="C122" s="43"/>
      <c r="D122" s="132">
        <v>8.167371506E9</v>
      </c>
      <c r="E122" s="42" t="s">
        <v>211</v>
      </c>
      <c r="F122" s="9" t="s">
        <v>4708</v>
      </c>
      <c r="G122" s="10" t="s">
        <v>4747</v>
      </c>
      <c r="H122" s="9"/>
      <c r="I122" s="133"/>
      <c r="J122" s="43"/>
      <c r="K122" s="11" t="s">
        <v>16</v>
      </c>
    </row>
    <row r="123" ht="22.5" customHeight="1">
      <c r="A123" s="43"/>
      <c r="B123" s="129" t="s">
        <v>4748</v>
      </c>
      <c r="C123" s="43"/>
      <c r="D123" s="130">
        <v>9.635052024E9</v>
      </c>
      <c r="E123" s="42" t="s">
        <v>211</v>
      </c>
      <c r="F123" s="9" t="s">
        <v>4708</v>
      </c>
      <c r="G123" s="10" t="s">
        <v>4747</v>
      </c>
      <c r="H123" s="9"/>
      <c r="I123" s="133"/>
      <c r="J123" s="43"/>
      <c r="K123" s="11" t="s">
        <v>16</v>
      </c>
    </row>
    <row r="124" ht="22.5" customHeight="1">
      <c r="A124" s="43"/>
      <c r="B124" s="131" t="s">
        <v>4749</v>
      </c>
      <c r="C124" s="43"/>
      <c r="D124" s="132">
        <v>9.800620584E9</v>
      </c>
      <c r="E124" s="42" t="s">
        <v>211</v>
      </c>
      <c r="F124" s="9" t="s">
        <v>4708</v>
      </c>
      <c r="G124" s="10" t="s">
        <v>4747</v>
      </c>
      <c r="H124" s="9"/>
      <c r="I124" s="133"/>
      <c r="J124" s="43"/>
      <c r="K124" s="11" t="s">
        <v>16</v>
      </c>
    </row>
    <row r="125" ht="22.5" customHeight="1">
      <c r="A125" s="43"/>
      <c r="B125" s="129" t="s">
        <v>4750</v>
      </c>
      <c r="C125" s="43"/>
      <c r="D125" s="130">
        <v>7.319250324E9</v>
      </c>
      <c r="E125" s="42" t="s">
        <v>211</v>
      </c>
      <c r="F125" s="9" t="s">
        <v>4708</v>
      </c>
      <c r="G125" s="10" t="s">
        <v>4747</v>
      </c>
      <c r="H125" s="9"/>
      <c r="I125" s="133"/>
      <c r="J125" s="43"/>
      <c r="K125" s="11" t="s">
        <v>16</v>
      </c>
    </row>
    <row r="126" ht="22.5" customHeight="1">
      <c r="A126" s="43"/>
      <c r="B126" s="131" t="s">
        <v>4751</v>
      </c>
      <c r="C126" s="43"/>
      <c r="D126" s="132">
        <v>7.501470214E9</v>
      </c>
      <c r="E126" s="42" t="s">
        <v>211</v>
      </c>
      <c r="F126" s="9" t="s">
        <v>4708</v>
      </c>
      <c r="G126" s="10" t="s">
        <v>4747</v>
      </c>
      <c r="H126" s="9"/>
      <c r="I126" s="133"/>
      <c r="J126" s="43"/>
      <c r="K126" s="11" t="s">
        <v>16</v>
      </c>
    </row>
    <row r="127" ht="22.5" customHeight="1">
      <c r="A127" s="43"/>
      <c r="B127" s="129" t="s">
        <v>4752</v>
      </c>
      <c r="C127" s="43"/>
      <c r="D127" s="130">
        <v>7.384848872E9</v>
      </c>
      <c r="E127" s="42" t="s">
        <v>211</v>
      </c>
      <c r="F127" s="9" t="s">
        <v>4708</v>
      </c>
      <c r="G127" s="10" t="s">
        <v>4747</v>
      </c>
      <c r="H127" s="9"/>
      <c r="I127" s="133"/>
      <c r="J127" s="43"/>
      <c r="K127" s="11" t="s">
        <v>16</v>
      </c>
    </row>
    <row r="128" ht="22.5" customHeight="1">
      <c r="A128" s="43"/>
      <c r="B128" s="131" t="s">
        <v>4753</v>
      </c>
      <c r="C128" s="43"/>
      <c r="D128" s="132">
        <v>9.832976448E9</v>
      </c>
      <c r="E128" s="42" t="s">
        <v>211</v>
      </c>
      <c r="F128" s="9" t="s">
        <v>4708</v>
      </c>
      <c r="G128" s="10" t="s">
        <v>4747</v>
      </c>
      <c r="H128" s="9"/>
      <c r="I128" s="133"/>
      <c r="J128" s="43"/>
      <c r="K128" s="11" t="s">
        <v>16</v>
      </c>
    </row>
    <row r="129" ht="22.5" customHeight="1">
      <c r="A129" s="43"/>
      <c r="B129" s="129" t="s">
        <v>4754</v>
      </c>
      <c r="C129" s="43"/>
      <c r="D129" s="130">
        <v>7.501404837E9</v>
      </c>
      <c r="E129" s="42" t="s">
        <v>211</v>
      </c>
      <c r="F129" s="9" t="s">
        <v>4708</v>
      </c>
      <c r="G129" s="10" t="s">
        <v>4747</v>
      </c>
      <c r="H129" s="9"/>
      <c r="I129" s="133"/>
      <c r="J129" s="43"/>
      <c r="K129" s="11" t="s">
        <v>16</v>
      </c>
    </row>
    <row r="130" ht="22.5" customHeight="1">
      <c r="A130" s="43"/>
      <c r="B130" s="131" t="s">
        <v>4755</v>
      </c>
      <c r="C130" s="43"/>
      <c r="D130" s="132">
        <v>6.295298081E9</v>
      </c>
      <c r="E130" s="42" t="s">
        <v>211</v>
      </c>
      <c r="F130" s="9" t="s">
        <v>4708</v>
      </c>
      <c r="G130" s="10" t="s">
        <v>4747</v>
      </c>
      <c r="H130" s="9"/>
      <c r="I130" s="133"/>
      <c r="J130" s="43"/>
      <c r="K130" s="11" t="s">
        <v>16</v>
      </c>
    </row>
    <row r="131" ht="22.5" customHeight="1">
      <c r="A131" s="43"/>
      <c r="B131" s="129" t="s">
        <v>4756</v>
      </c>
      <c r="C131" s="43"/>
      <c r="D131" s="130">
        <v>9.064226389E9</v>
      </c>
      <c r="E131" s="42" t="s">
        <v>211</v>
      </c>
      <c r="F131" s="9" t="s">
        <v>4708</v>
      </c>
      <c r="G131" s="10" t="s">
        <v>4747</v>
      </c>
      <c r="H131" s="9"/>
      <c r="I131" s="133"/>
      <c r="J131" s="43"/>
      <c r="K131" s="11" t="s">
        <v>16</v>
      </c>
    </row>
    <row r="132" ht="22.5" customHeight="1">
      <c r="A132" s="43"/>
      <c r="B132" s="131" t="s">
        <v>4757</v>
      </c>
      <c r="C132" s="43"/>
      <c r="D132" s="132">
        <v>8.670232166E9</v>
      </c>
      <c r="E132" s="42" t="s">
        <v>211</v>
      </c>
      <c r="F132" s="9" t="s">
        <v>4708</v>
      </c>
      <c r="G132" s="10" t="s">
        <v>4747</v>
      </c>
      <c r="H132" s="9"/>
      <c r="I132" s="133"/>
      <c r="J132" s="43"/>
      <c r="K132" s="11" t="s">
        <v>16</v>
      </c>
    </row>
    <row r="133" ht="22.5" customHeight="1">
      <c r="A133" s="43"/>
      <c r="B133" s="129" t="s">
        <v>4758</v>
      </c>
      <c r="C133" s="43"/>
      <c r="D133" s="130">
        <v>9.547591754E9</v>
      </c>
      <c r="E133" s="42" t="s">
        <v>211</v>
      </c>
      <c r="F133" s="9" t="s">
        <v>4708</v>
      </c>
      <c r="G133" s="10" t="s">
        <v>4747</v>
      </c>
      <c r="H133" s="9"/>
      <c r="I133" s="133"/>
      <c r="J133" s="43"/>
      <c r="K133" s="11" t="s">
        <v>16</v>
      </c>
    </row>
    <row r="134" ht="22.5" customHeight="1">
      <c r="A134" s="43"/>
      <c r="B134" s="131" t="s">
        <v>4759</v>
      </c>
      <c r="C134" s="43"/>
      <c r="D134" s="132">
        <v>9.665350241E9</v>
      </c>
      <c r="E134" s="42" t="s">
        <v>211</v>
      </c>
      <c r="F134" s="9" t="s">
        <v>4708</v>
      </c>
      <c r="G134" s="10" t="s">
        <v>4747</v>
      </c>
      <c r="H134" s="9"/>
      <c r="I134" s="133"/>
      <c r="J134" s="43"/>
      <c r="K134" s="11" t="s">
        <v>16</v>
      </c>
    </row>
    <row r="135" ht="22.5" customHeight="1">
      <c r="A135" s="43"/>
      <c r="B135" s="129" t="s">
        <v>4760</v>
      </c>
      <c r="C135" s="43"/>
      <c r="D135" s="130">
        <v>8.96738497E9</v>
      </c>
      <c r="E135" s="42" t="s">
        <v>211</v>
      </c>
      <c r="F135" s="9" t="s">
        <v>4708</v>
      </c>
      <c r="G135" s="10" t="s">
        <v>4747</v>
      </c>
      <c r="H135" s="9"/>
      <c r="I135" s="133"/>
      <c r="J135" s="43"/>
      <c r="K135" s="11" t="s">
        <v>16</v>
      </c>
    </row>
    <row r="136" ht="22.5" customHeight="1">
      <c r="A136" s="43"/>
      <c r="B136" s="131" t="s">
        <v>4761</v>
      </c>
      <c r="C136" s="43"/>
      <c r="D136" s="132">
        <v>8.918405114E9</v>
      </c>
      <c r="E136" s="42" t="s">
        <v>211</v>
      </c>
      <c r="F136" s="9" t="s">
        <v>4708</v>
      </c>
      <c r="G136" s="10" t="s">
        <v>4747</v>
      </c>
      <c r="H136" s="9"/>
      <c r="I136" s="133"/>
      <c r="J136" s="43"/>
      <c r="K136" s="11" t="s">
        <v>16</v>
      </c>
    </row>
    <row r="137" ht="22.5" customHeight="1">
      <c r="A137" s="43"/>
      <c r="B137" s="129" t="s">
        <v>4762</v>
      </c>
      <c r="C137" s="43"/>
      <c r="D137" s="130">
        <v>9.474631012E9</v>
      </c>
      <c r="E137" s="42" t="s">
        <v>211</v>
      </c>
      <c r="F137" s="9" t="s">
        <v>4708</v>
      </c>
      <c r="G137" s="10" t="s">
        <v>4747</v>
      </c>
      <c r="H137" s="9"/>
      <c r="I137" s="133"/>
      <c r="J137" s="43"/>
      <c r="K137" s="11" t="s">
        <v>16</v>
      </c>
    </row>
    <row r="138" ht="22.5" customHeight="1">
      <c r="A138" s="43"/>
      <c r="B138" s="131" t="s">
        <v>4763</v>
      </c>
      <c r="C138" s="43"/>
      <c r="D138" s="132">
        <v>9.635146695E9</v>
      </c>
      <c r="E138" s="42" t="s">
        <v>211</v>
      </c>
      <c r="F138" s="9" t="s">
        <v>4708</v>
      </c>
      <c r="G138" s="10" t="s">
        <v>4747</v>
      </c>
      <c r="H138" s="9"/>
      <c r="I138" s="133"/>
      <c r="J138" s="43"/>
      <c r="K138" s="11" t="s">
        <v>16</v>
      </c>
    </row>
    <row r="139" ht="22.5" customHeight="1">
      <c r="A139" s="43"/>
      <c r="B139" s="129" t="s">
        <v>4764</v>
      </c>
      <c r="C139" s="43"/>
      <c r="D139" s="130">
        <v>8.670575802E9</v>
      </c>
      <c r="E139" s="42" t="s">
        <v>211</v>
      </c>
      <c r="F139" s="9" t="s">
        <v>4708</v>
      </c>
      <c r="G139" s="10" t="s">
        <v>4747</v>
      </c>
      <c r="H139" s="9"/>
      <c r="I139" s="133"/>
      <c r="J139" s="43"/>
      <c r="K139" s="11" t="s">
        <v>16</v>
      </c>
    </row>
    <row r="140" ht="22.5" customHeight="1">
      <c r="A140" s="43"/>
      <c r="B140" s="131" t="s">
        <v>4765</v>
      </c>
      <c r="C140" s="43"/>
      <c r="D140" s="132">
        <v>8.768169846E9</v>
      </c>
      <c r="E140" s="42" t="s">
        <v>211</v>
      </c>
      <c r="F140" s="9" t="s">
        <v>4708</v>
      </c>
      <c r="G140" s="10" t="s">
        <v>4747</v>
      </c>
      <c r="H140" s="9"/>
      <c r="I140" s="133"/>
      <c r="J140" s="43"/>
      <c r="K140" s="11" t="s">
        <v>16</v>
      </c>
    </row>
    <row r="141" ht="22.5" customHeight="1">
      <c r="A141" s="43"/>
      <c r="B141" s="129" t="s">
        <v>4766</v>
      </c>
      <c r="C141" s="43"/>
      <c r="D141" s="130">
        <v>9.734934199E9</v>
      </c>
      <c r="E141" s="42" t="s">
        <v>211</v>
      </c>
      <c r="F141" s="9" t="s">
        <v>4708</v>
      </c>
      <c r="G141" s="10" t="s">
        <v>4747</v>
      </c>
      <c r="H141" s="9"/>
      <c r="I141" s="133"/>
      <c r="J141" s="43"/>
      <c r="K141" s="11" t="s">
        <v>16</v>
      </c>
    </row>
    <row r="142" ht="22.5" customHeight="1">
      <c r="A142" s="43"/>
      <c r="B142" s="131" t="s">
        <v>4767</v>
      </c>
      <c r="C142" s="43"/>
      <c r="D142" s="132">
        <v>8.392046503E9</v>
      </c>
      <c r="E142" s="42" t="s">
        <v>211</v>
      </c>
      <c r="F142" s="9" t="s">
        <v>4708</v>
      </c>
      <c r="G142" s="10" t="s">
        <v>4747</v>
      </c>
      <c r="H142" s="9"/>
      <c r="I142" s="133"/>
      <c r="J142" s="43"/>
      <c r="K142" s="11" t="s">
        <v>16</v>
      </c>
    </row>
    <row r="143" ht="22.5" customHeight="1">
      <c r="A143" s="43"/>
      <c r="B143" s="129" t="s">
        <v>4768</v>
      </c>
      <c r="C143" s="43"/>
      <c r="D143" s="130">
        <v>8.653964455E9</v>
      </c>
      <c r="E143" s="42" t="s">
        <v>211</v>
      </c>
      <c r="F143" s="9" t="s">
        <v>4708</v>
      </c>
      <c r="G143" s="10" t="s">
        <v>4747</v>
      </c>
      <c r="H143" s="9"/>
      <c r="I143" s="133"/>
      <c r="J143" s="43"/>
      <c r="K143" s="11" t="s">
        <v>16</v>
      </c>
    </row>
    <row r="144" ht="22.5" customHeight="1">
      <c r="A144" s="43"/>
      <c r="B144" s="131" t="s">
        <v>4769</v>
      </c>
      <c r="C144" s="43"/>
      <c r="D144" s="132">
        <v>9.887399645E9</v>
      </c>
      <c r="E144" s="42" t="s">
        <v>211</v>
      </c>
      <c r="F144" s="9" t="s">
        <v>4708</v>
      </c>
      <c r="G144" s="10" t="s">
        <v>4747</v>
      </c>
      <c r="H144" s="9"/>
      <c r="I144" s="133"/>
      <c r="J144" s="43"/>
      <c r="K144" s="11" t="s">
        <v>16</v>
      </c>
    </row>
    <row r="145" ht="22.5" customHeight="1">
      <c r="A145" s="43"/>
      <c r="B145" s="129" t="s">
        <v>4770</v>
      </c>
      <c r="C145" s="43"/>
      <c r="D145" s="130">
        <v>7.029759975E9</v>
      </c>
      <c r="E145" s="42" t="s">
        <v>211</v>
      </c>
      <c r="F145" s="9" t="s">
        <v>4708</v>
      </c>
      <c r="G145" s="10" t="s">
        <v>4747</v>
      </c>
      <c r="H145" s="9"/>
      <c r="I145" s="133"/>
      <c r="J145" s="43"/>
      <c r="K145" s="11" t="s">
        <v>16</v>
      </c>
    </row>
    <row r="146" ht="22.5" customHeight="1">
      <c r="A146" s="43"/>
      <c r="B146" s="131" t="s">
        <v>4771</v>
      </c>
      <c r="C146" s="43"/>
      <c r="D146" s="132">
        <v>6.294447721E9</v>
      </c>
      <c r="E146" s="42" t="s">
        <v>211</v>
      </c>
      <c r="F146" s="9" t="s">
        <v>4708</v>
      </c>
      <c r="G146" s="10" t="s">
        <v>4747</v>
      </c>
      <c r="H146" s="9"/>
      <c r="I146" s="133"/>
      <c r="J146" s="43"/>
      <c r="K146" s="11" t="s">
        <v>16</v>
      </c>
    </row>
    <row r="147" ht="22.5" customHeight="1">
      <c r="A147" s="43"/>
      <c r="B147" s="129" t="s">
        <v>4772</v>
      </c>
      <c r="C147" s="43"/>
      <c r="D147" s="130">
        <v>7.718372235E9</v>
      </c>
      <c r="E147" s="42" t="s">
        <v>211</v>
      </c>
      <c r="F147" s="9" t="s">
        <v>4708</v>
      </c>
      <c r="G147" s="10" t="s">
        <v>4747</v>
      </c>
      <c r="H147" s="9"/>
      <c r="I147" s="133"/>
      <c r="J147" s="43"/>
      <c r="K147" s="11" t="s">
        <v>16</v>
      </c>
    </row>
    <row r="148" ht="22.5" customHeight="1">
      <c r="A148" s="43"/>
      <c r="B148" s="131" t="s">
        <v>4773</v>
      </c>
      <c r="C148" s="43"/>
      <c r="D148" s="132">
        <v>7.60192746E9</v>
      </c>
      <c r="E148" s="42" t="s">
        <v>211</v>
      </c>
      <c r="F148" s="9" t="s">
        <v>4708</v>
      </c>
      <c r="G148" s="10" t="s">
        <v>4747</v>
      </c>
      <c r="H148" s="9"/>
      <c r="I148" s="133"/>
      <c r="J148" s="43"/>
      <c r="K148" s="11" t="s">
        <v>16</v>
      </c>
    </row>
    <row r="149" ht="22.5" customHeight="1">
      <c r="A149" s="43"/>
      <c r="B149" s="129" t="s">
        <v>4774</v>
      </c>
      <c r="C149" s="43"/>
      <c r="D149" s="130">
        <v>8.972767756E9</v>
      </c>
      <c r="E149" s="42" t="s">
        <v>211</v>
      </c>
      <c r="F149" s="9" t="s">
        <v>4708</v>
      </c>
      <c r="G149" s="10" t="s">
        <v>4747</v>
      </c>
      <c r="H149" s="9"/>
      <c r="I149" s="133"/>
      <c r="J149" s="43"/>
      <c r="K149" s="11" t="s">
        <v>16</v>
      </c>
    </row>
    <row r="150" ht="22.5" customHeight="1">
      <c r="A150" s="43"/>
      <c r="B150" s="131" t="s">
        <v>4775</v>
      </c>
      <c r="C150" s="43"/>
      <c r="D150" s="132">
        <v>7.501148825E9</v>
      </c>
      <c r="E150" s="42" t="s">
        <v>211</v>
      </c>
      <c r="F150" s="9" t="s">
        <v>4708</v>
      </c>
      <c r="G150" s="10" t="s">
        <v>4747</v>
      </c>
      <c r="H150" s="9"/>
      <c r="I150" s="133"/>
      <c r="J150" s="43"/>
      <c r="K150" s="11" t="s">
        <v>16</v>
      </c>
    </row>
    <row r="151" ht="22.5" customHeight="1">
      <c r="A151" s="43"/>
      <c r="B151" s="129" t="s">
        <v>4776</v>
      </c>
      <c r="C151" s="43"/>
      <c r="D151" s="130">
        <v>8.509700824E9</v>
      </c>
      <c r="E151" s="42" t="s">
        <v>211</v>
      </c>
      <c r="F151" s="9" t="s">
        <v>4708</v>
      </c>
      <c r="G151" s="10" t="s">
        <v>4747</v>
      </c>
      <c r="H151" s="9"/>
      <c r="I151" s="133"/>
      <c r="J151" s="43"/>
      <c r="K151" s="11" t="s">
        <v>16</v>
      </c>
    </row>
    <row r="152" ht="22.5" customHeight="1">
      <c r="A152" s="43"/>
      <c r="B152" s="131" t="s">
        <v>4777</v>
      </c>
      <c r="C152" s="43"/>
      <c r="D152" s="132">
        <v>6.296107338E9</v>
      </c>
      <c r="E152" s="42" t="s">
        <v>211</v>
      </c>
      <c r="F152" s="9" t="s">
        <v>4708</v>
      </c>
      <c r="G152" s="10" t="s">
        <v>4747</v>
      </c>
      <c r="H152" s="9"/>
      <c r="I152" s="133"/>
      <c r="J152" s="43"/>
      <c r="K152" s="11" t="s">
        <v>16</v>
      </c>
    </row>
    <row r="153" ht="22.5" customHeight="1">
      <c r="A153" s="43"/>
      <c r="B153" s="129" t="s">
        <v>4778</v>
      </c>
      <c r="C153" s="43"/>
      <c r="D153" s="130">
        <v>8.77784377E9</v>
      </c>
      <c r="E153" s="42" t="s">
        <v>211</v>
      </c>
      <c r="F153" s="9" t="s">
        <v>4708</v>
      </c>
      <c r="G153" s="10" t="s">
        <v>4747</v>
      </c>
      <c r="H153" s="9"/>
      <c r="I153" s="133"/>
      <c r="J153" s="43"/>
      <c r="K153" s="11" t="s">
        <v>16</v>
      </c>
    </row>
    <row r="154" ht="22.5" customHeight="1">
      <c r="A154" s="43"/>
      <c r="B154" s="131" t="s">
        <v>4779</v>
      </c>
      <c r="C154" s="43"/>
      <c r="D154" s="132">
        <v>8.944033517E9</v>
      </c>
      <c r="E154" s="42" t="s">
        <v>211</v>
      </c>
      <c r="F154" s="9" t="s">
        <v>4708</v>
      </c>
      <c r="G154" s="10" t="s">
        <v>4747</v>
      </c>
      <c r="H154" s="9"/>
      <c r="I154" s="133"/>
      <c r="J154" s="43"/>
      <c r="K154" s="11" t="s">
        <v>16</v>
      </c>
    </row>
    <row r="155" ht="22.5" customHeight="1">
      <c r="A155" s="43"/>
      <c r="B155" s="129" t="s">
        <v>4780</v>
      </c>
      <c r="C155" s="43"/>
      <c r="D155" s="130">
        <v>7.872663398E9</v>
      </c>
      <c r="E155" s="42" t="s">
        <v>211</v>
      </c>
      <c r="F155" s="9" t="s">
        <v>4708</v>
      </c>
      <c r="G155" s="10" t="s">
        <v>4747</v>
      </c>
      <c r="H155" s="9"/>
      <c r="I155" s="133"/>
      <c r="J155" s="43"/>
      <c r="K155" s="11" t="s">
        <v>16</v>
      </c>
    </row>
    <row r="156" ht="22.5" customHeight="1">
      <c r="A156" s="43"/>
      <c r="B156" s="131" t="s">
        <v>4781</v>
      </c>
      <c r="C156" s="43"/>
      <c r="D156" s="132">
        <v>8.617470007E9</v>
      </c>
      <c r="E156" s="42" t="s">
        <v>211</v>
      </c>
      <c r="F156" s="9" t="s">
        <v>4708</v>
      </c>
      <c r="G156" s="10" t="s">
        <v>4747</v>
      </c>
      <c r="H156" s="9"/>
      <c r="I156" s="133"/>
      <c r="J156" s="43"/>
      <c r="K156" s="11" t="s">
        <v>16</v>
      </c>
    </row>
    <row r="157" ht="22.5" customHeight="1">
      <c r="A157" s="43"/>
      <c r="B157" s="129" t="s">
        <v>4782</v>
      </c>
      <c r="C157" s="43"/>
      <c r="D157" s="130">
        <v>8.101098449E9</v>
      </c>
      <c r="E157" s="42" t="s">
        <v>211</v>
      </c>
      <c r="F157" s="9" t="s">
        <v>4708</v>
      </c>
      <c r="G157" s="10" t="s">
        <v>4747</v>
      </c>
      <c r="H157" s="9"/>
      <c r="I157" s="133"/>
      <c r="J157" s="43"/>
      <c r="K157" s="11" t="s">
        <v>16</v>
      </c>
    </row>
    <row r="158" ht="22.5" customHeight="1">
      <c r="A158" s="43"/>
      <c r="B158" s="131" t="s">
        <v>4783</v>
      </c>
      <c r="C158" s="43"/>
      <c r="D158" s="132">
        <v>8.695097821E9</v>
      </c>
      <c r="E158" s="42" t="s">
        <v>211</v>
      </c>
      <c r="F158" s="9" t="s">
        <v>4708</v>
      </c>
      <c r="G158" s="10" t="s">
        <v>4747</v>
      </c>
      <c r="H158" s="9"/>
      <c r="I158" s="133"/>
      <c r="J158" s="43"/>
      <c r="K158" s="11" t="s">
        <v>16</v>
      </c>
    </row>
    <row r="159" ht="22.5" customHeight="1">
      <c r="A159" s="43"/>
      <c r="B159" s="129" t="s">
        <v>4784</v>
      </c>
      <c r="C159" s="43"/>
      <c r="D159" s="130">
        <v>9.800583032E9</v>
      </c>
      <c r="E159" s="42" t="s">
        <v>211</v>
      </c>
      <c r="F159" s="9" t="s">
        <v>4708</v>
      </c>
      <c r="G159" s="10" t="s">
        <v>4747</v>
      </c>
      <c r="H159" s="9"/>
      <c r="I159" s="133"/>
      <c r="J159" s="43"/>
      <c r="K159" s="11" t="s">
        <v>16</v>
      </c>
    </row>
    <row r="160" ht="22.5" customHeight="1">
      <c r="A160" s="43"/>
      <c r="B160" s="131" t="s">
        <v>4785</v>
      </c>
      <c r="C160" s="43"/>
      <c r="D160" s="132">
        <v>7.479302881E9</v>
      </c>
      <c r="E160" s="42" t="s">
        <v>211</v>
      </c>
      <c r="F160" s="9" t="s">
        <v>4708</v>
      </c>
      <c r="G160" s="10" t="s">
        <v>4747</v>
      </c>
      <c r="H160" s="9"/>
      <c r="I160" s="133"/>
      <c r="J160" s="43"/>
      <c r="K160" s="11" t="s">
        <v>16</v>
      </c>
    </row>
    <row r="161" ht="22.5" customHeight="1">
      <c r="A161" s="43"/>
      <c r="B161" s="129" t="s">
        <v>4786</v>
      </c>
      <c r="C161" s="43"/>
      <c r="D161" s="130">
        <v>6.294588305E9</v>
      </c>
      <c r="E161" s="42" t="s">
        <v>211</v>
      </c>
      <c r="F161" s="9" t="s">
        <v>4708</v>
      </c>
      <c r="G161" s="10" t="s">
        <v>4747</v>
      </c>
      <c r="H161" s="9"/>
      <c r="I161" s="133"/>
      <c r="J161" s="43"/>
      <c r="K161" s="11" t="s">
        <v>16</v>
      </c>
    </row>
    <row r="162" ht="22.5" customHeight="1">
      <c r="A162" s="43"/>
      <c r="B162" s="131" t="s">
        <v>4787</v>
      </c>
      <c r="C162" s="43"/>
      <c r="D162" s="132">
        <v>8.016205015E9</v>
      </c>
      <c r="E162" s="42" t="s">
        <v>211</v>
      </c>
      <c r="F162" s="9" t="s">
        <v>4708</v>
      </c>
      <c r="G162" s="10" t="s">
        <v>4788</v>
      </c>
      <c r="H162" s="9"/>
      <c r="I162" s="133"/>
      <c r="J162" s="43"/>
      <c r="K162" s="11" t="s">
        <v>16</v>
      </c>
    </row>
    <row r="163" ht="22.5" customHeight="1">
      <c r="A163" s="43"/>
      <c r="B163" s="129" t="s">
        <v>4789</v>
      </c>
      <c r="C163" s="43"/>
      <c r="D163" s="130">
        <v>9.064627068E9</v>
      </c>
      <c r="E163" s="42" t="s">
        <v>211</v>
      </c>
      <c r="F163" s="9" t="s">
        <v>4708</v>
      </c>
      <c r="G163" s="10" t="s">
        <v>4788</v>
      </c>
      <c r="H163" s="9"/>
      <c r="I163" s="133"/>
      <c r="J163" s="43"/>
      <c r="K163" s="11" t="s">
        <v>16</v>
      </c>
    </row>
    <row r="164" ht="22.5" customHeight="1">
      <c r="A164" s="43"/>
      <c r="B164" s="131" t="s">
        <v>4790</v>
      </c>
      <c r="C164" s="43"/>
      <c r="D164" s="132">
        <v>7.872060396E9</v>
      </c>
      <c r="E164" s="42" t="s">
        <v>211</v>
      </c>
      <c r="F164" s="9" t="s">
        <v>4708</v>
      </c>
      <c r="G164" s="10" t="s">
        <v>4788</v>
      </c>
      <c r="H164" s="9"/>
      <c r="I164" s="133"/>
      <c r="J164" s="43"/>
      <c r="K164" s="11" t="s">
        <v>16</v>
      </c>
    </row>
    <row r="165" ht="22.5" customHeight="1">
      <c r="A165" s="43"/>
      <c r="B165" s="129" t="s">
        <v>4791</v>
      </c>
      <c r="C165" s="43"/>
      <c r="D165" s="130">
        <v>8.609904081E9</v>
      </c>
      <c r="E165" s="42" t="s">
        <v>211</v>
      </c>
      <c r="F165" s="9" t="s">
        <v>4708</v>
      </c>
      <c r="G165" s="10" t="s">
        <v>4788</v>
      </c>
      <c r="H165" s="9"/>
      <c r="I165" s="133"/>
      <c r="J165" s="43"/>
      <c r="K165" s="11" t="s">
        <v>16</v>
      </c>
    </row>
    <row r="166" ht="22.5" customHeight="1">
      <c r="A166" s="43"/>
      <c r="B166" s="131" t="s">
        <v>4792</v>
      </c>
      <c r="C166" s="43"/>
      <c r="D166" s="132">
        <v>7.718613942E9</v>
      </c>
      <c r="E166" s="42" t="s">
        <v>211</v>
      </c>
      <c r="F166" s="9" t="s">
        <v>4708</v>
      </c>
      <c r="G166" s="10" t="s">
        <v>4788</v>
      </c>
      <c r="H166" s="9"/>
      <c r="I166" s="133"/>
      <c r="J166" s="43"/>
      <c r="K166" s="11" t="s">
        <v>16</v>
      </c>
    </row>
    <row r="167" ht="22.5" customHeight="1">
      <c r="A167" s="43"/>
      <c r="B167" s="129" t="s">
        <v>4793</v>
      </c>
      <c r="C167" s="43"/>
      <c r="D167" s="130">
        <v>9.734158351E9</v>
      </c>
      <c r="E167" s="42" t="s">
        <v>211</v>
      </c>
      <c r="F167" s="9" t="s">
        <v>4708</v>
      </c>
      <c r="G167" s="10" t="s">
        <v>4788</v>
      </c>
      <c r="H167" s="9"/>
      <c r="I167" s="133"/>
      <c r="J167" s="43"/>
      <c r="K167" s="11" t="s">
        <v>16</v>
      </c>
    </row>
    <row r="168" ht="22.5" customHeight="1">
      <c r="A168" s="43"/>
      <c r="B168" s="131" t="s">
        <v>4794</v>
      </c>
      <c r="C168" s="43"/>
      <c r="D168" s="132">
        <v>9.733162018E9</v>
      </c>
      <c r="E168" s="42" t="s">
        <v>211</v>
      </c>
      <c r="F168" s="9" t="s">
        <v>4708</v>
      </c>
      <c r="G168" s="10" t="s">
        <v>4788</v>
      </c>
      <c r="H168" s="9"/>
      <c r="I168" s="133"/>
      <c r="J168" s="43"/>
      <c r="K168" s="11" t="s">
        <v>16</v>
      </c>
    </row>
    <row r="169" ht="22.5" customHeight="1">
      <c r="A169" s="43"/>
      <c r="B169" s="129" t="s">
        <v>4795</v>
      </c>
      <c r="C169" s="43"/>
      <c r="D169" s="130">
        <v>6.388554551E9</v>
      </c>
      <c r="E169" s="42" t="s">
        <v>211</v>
      </c>
      <c r="F169" s="9" t="s">
        <v>4708</v>
      </c>
      <c r="G169" s="10" t="s">
        <v>4788</v>
      </c>
      <c r="H169" s="9"/>
      <c r="I169" s="133"/>
      <c r="J169" s="43"/>
      <c r="K169" s="11" t="s">
        <v>16</v>
      </c>
    </row>
    <row r="170" ht="22.5" customHeight="1">
      <c r="A170" s="43"/>
      <c r="B170" s="131" t="s">
        <v>4796</v>
      </c>
      <c r="C170" s="43"/>
      <c r="D170" s="132">
        <v>8.609318236E9</v>
      </c>
      <c r="E170" s="42" t="s">
        <v>211</v>
      </c>
      <c r="F170" s="9" t="s">
        <v>4708</v>
      </c>
      <c r="G170" s="10" t="s">
        <v>4788</v>
      </c>
      <c r="H170" s="9"/>
      <c r="I170" s="133"/>
      <c r="J170" s="43"/>
      <c r="K170" s="11" t="s">
        <v>16</v>
      </c>
    </row>
    <row r="171" ht="22.5" customHeight="1">
      <c r="A171" s="43"/>
      <c r="B171" s="129" t="s">
        <v>4797</v>
      </c>
      <c r="C171" s="43"/>
      <c r="D171" s="130">
        <v>9.064630665E9</v>
      </c>
      <c r="E171" s="42" t="s">
        <v>211</v>
      </c>
      <c r="F171" s="9" t="s">
        <v>4708</v>
      </c>
      <c r="G171" s="10" t="s">
        <v>4788</v>
      </c>
      <c r="H171" s="9"/>
      <c r="I171" s="133"/>
      <c r="J171" s="43"/>
      <c r="K171" s="11" t="s">
        <v>16</v>
      </c>
    </row>
    <row r="172" ht="22.5" customHeight="1">
      <c r="A172" s="43"/>
      <c r="B172" s="131" t="s">
        <v>4798</v>
      </c>
      <c r="C172" s="43"/>
      <c r="D172" s="132">
        <v>7.602834125E9</v>
      </c>
      <c r="E172" s="42" t="s">
        <v>211</v>
      </c>
      <c r="F172" s="9" t="s">
        <v>4708</v>
      </c>
      <c r="G172" s="10" t="s">
        <v>4788</v>
      </c>
      <c r="H172" s="9"/>
      <c r="I172" s="133"/>
      <c r="J172" s="43"/>
      <c r="K172" s="11" t="s">
        <v>16</v>
      </c>
    </row>
    <row r="173" ht="22.5" customHeight="1">
      <c r="A173" s="43"/>
      <c r="B173" s="129" t="s">
        <v>4799</v>
      </c>
      <c r="C173" s="43"/>
      <c r="D173" s="130">
        <v>7.00530001E9</v>
      </c>
      <c r="E173" s="42" t="s">
        <v>211</v>
      </c>
      <c r="F173" s="9" t="s">
        <v>4708</v>
      </c>
      <c r="G173" s="10" t="s">
        <v>4788</v>
      </c>
      <c r="H173" s="9"/>
      <c r="I173" s="133"/>
      <c r="J173" s="43"/>
      <c r="K173" s="11" t="s">
        <v>16</v>
      </c>
    </row>
    <row r="174" ht="22.5" customHeight="1">
      <c r="A174" s="43"/>
      <c r="B174" s="131" t="s">
        <v>4800</v>
      </c>
      <c r="C174" s="43"/>
      <c r="D174" s="132">
        <v>8.436386839E9</v>
      </c>
      <c r="E174" s="42" t="s">
        <v>211</v>
      </c>
      <c r="F174" s="9" t="s">
        <v>4708</v>
      </c>
      <c r="G174" s="10" t="s">
        <v>4788</v>
      </c>
      <c r="H174" s="9"/>
      <c r="I174" s="133"/>
      <c r="J174" s="43"/>
      <c r="K174" s="11" t="s">
        <v>16</v>
      </c>
    </row>
    <row r="175" ht="22.5" customHeight="1">
      <c r="A175" s="43"/>
      <c r="B175" s="129" t="s">
        <v>4801</v>
      </c>
      <c r="C175" s="43"/>
      <c r="D175" s="130">
        <v>8.11615692E9</v>
      </c>
      <c r="E175" s="42" t="s">
        <v>211</v>
      </c>
      <c r="F175" s="9" t="s">
        <v>4708</v>
      </c>
      <c r="G175" s="10" t="s">
        <v>4788</v>
      </c>
      <c r="H175" s="9"/>
      <c r="I175" s="133"/>
      <c r="J175" s="43"/>
      <c r="K175" s="11" t="s">
        <v>16</v>
      </c>
    </row>
    <row r="176" ht="22.5" customHeight="1">
      <c r="A176" s="43"/>
      <c r="B176" s="131" t="s">
        <v>4802</v>
      </c>
      <c r="C176" s="43"/>
      <c r="D176" s="132">
        <v>9.749694874E9</v>
      </c>
      <c r="E176" s="42" t="s">
        <v>211</v>
      </c>
      <c r="F176" s="9" t="s">
        <v>4708</v>
      </c>
      <c r="G176" s="10" t="s">
        <v>4788</v>
      </c>
      <c r="H176" s="9"/>
      <c r="I176" s="133"/>
      <c r="J176" s="43"/>
      <c r="K176" s="11" t="s">
        <v>16</v>
      </c>
    </row>
    <row r="177" ht="22.5" customHeight="1">
      <c r="A177" s="43"/>
      <c r="B177" s="129" t="s">
        <v>4803</v>
      </c>
      <c r="C177" s="43"/>
      <c r="D177" s="130">
        <v>9.641107566E9</v>
      </c>
      <c r="E177" s="42" t="s">
        <v>211</v>
      </c>
      <c r="F177" s="9" t="s">
        <v>4708</v>
      </c>
      <c r="G177" s="10" t="s">
        <v>4788</v>
      </c>
      <c r="H177" s="9"/>
      <c r="I177" s="133"/>
      <c r="J177" s="43"/>
      <c r="K177" s="11" t="s">
        <v>16</v>
      </c>
    </row>
    <row r="178" ht="22.5" customHeight="1">
      <c r="A178" s="43"/>
      <c r="B178" s="131" t="s">
        <v>4804</v>
      </c>
      <c r="C178" s="43"/>
      <c r="D178" s="132">
        <v>8.101616949E9</v>
      </c>
      <c r="E178" s="42" t="s">
        <v>211</v>
      </c>
      <c r="F178" s="9" t="s">
        <v>4708</v>
      </c>
      <c r="G178" s="10" t="s">
        <v>4788</v>
      </c>
      <c r="H178" s="9"/>
      <c r="I178" s="133"/>
      <c r="J178" s="43"/>
      <c r="K178" s="11" t="s">
        <v>16</v>
      </c>
    </row>
    <row r="179" ht="22.5" customHeight="1">
      <c r="A179" s="43"/>
      <c r="B179" s="129" t="s">
        <v>4805</v>
      </c>
      <c r="C179" s="43"/>
      <c r="D179" s="130">
        <v>7.86584169E9</v>
      </c>
      <c r="E179" s="42" t="s">
        <v>211</v>
      </c>
      <c r="F179" s="9" t="s">
        <v>4708</v>
      </c>
      <c r="G179" s="10" t="s">
        <v>4788</v>
      </c>
      <c r="H179" s="9"/>
      <c r="I179" s="133"/>
      <c r="J179" s="43"/>
      <c r="K179" s="11" t="s">
        <v>16</v>
      </c>
    </row>
    <row r="180" ht="22.5" customHeight="1">
      <c r="A180" s="43"/>
      <c r="B180" s="131" t="s">
        <v>4806</v>
      </c>
      <c r="C180" s="43"/>
      <c r="D180" s="132">
        <v>8.927304005E9</v>
      </c>
      <c r="E180" s="42" t="s">
        <v>211</v>
      </c>
      <c r="F180" s="9" t="s">
        <v>4708</v>
      </c>
      <c r="G180" s="10" t="s">
        <v>4788</v>
      </c>
      <c r="H180" s="9"/>
      <c r="I180" s="133"/>
      <c r="J180" s="43"/>
      <c r="K180" s="11" t="s">
        <v>16</v>
      </c>
    </row>
    <row r="181" ht="22.5" customHeight="1">
      <c r="A181" s="43"/>
      <c r="B181" s="129" t="s">
        <v>4807</v>
      </c>
      <c r="C181" s="43"/>
      <c r="D181" s="130">
        <v>9.932421363E9</v>
      </c>
      <c r="E181" s="42" t="s">
        <v>211</v>
      </c>
      <c r="F181" s="9" t="s">
        <v>4708</v>
      </c>
      <c r="G181" s="10" t="s">
        <v>4788</v>
      </c>
      <c r="H181" s="9"/>
      <c r="I181" s="133"/>
      <c r="J181" s="43"/>
      <c r="K181" s="11" t="s">
        <v>16</v>
      </c>
    </row>
    <row r="182" ht="22.5" customHeight="1">
      <c r="A182" s="43"/>
      <c r="B182" s="131" t="s">
        <v>4808</v>
      </c>
      <c r="C182" s="43"/>
      <c r="D182" s="132">
        <v>8.906052237E9</v>
      </c>
      <c r="E182" s="42" t="s">
        <v>211</v>
      </c>
      <c r="F182" s="9" t="s">
        <v>4708</v>
      </c>
      <c r="G182" s="10" t="s">
        <v>4788</v>
      </c>
      <c r="H182" s="9"/>
      <c r="I182" s="133"/>
      <c r="J182" s="43"/>
      <c r="K182" s="11" t="s">
        <v>16</v>
      </c>
    </row>
    <row r="183" ht="22.5" customHeight="1">
      <c r="A183" s="43"/>
      <c r="B183" s="129" t="s">
        <v>4809</v>
      </c>
      <c r="C183" s="43"/>
      <c r="D183" s="130">
        <v>6.294949367E9</v>
      </c>
      <c r="E183" s="42" t="s">
        <v>211</v>
      </c>
      <c r="F183" s="9" t="s">
        <v>4708</v>
      </c>
      <c r="G183" s="10" t="s">
        <v>4788</v>
      </c>
      <c r="H183" s="9"/>
      <c r="I183" s="133"/>
      <c r="J183" s="43"/>
      <c r="K183" s="11" t="s">
        <v>16</v>
      </c>
    </row>
    <row r="184" ht="22.5" customHeight="1">
      <c r="A184" s="43"/>
      <c r="B184" s="131" t="s">
        <v>4810</v>
      </c>
      <c r="C184" s="43"/>
      <c r="D184" s="132">
        <v>9.00234202E9</v>
      </c>
      <c r="E184" s="42" t="s">
        <v>211</v>
      </c>
      <c r="F184" s="9" t="s">
        <v>4708</v>
      </c>
      <c r="G184" s="10" t="s">
        <v>4788</v>
      </c>
      <c r="H184" s="9"/>
      <c r="I184" s="133"/>
      <c r="J184" s="43"/>
      <c r="K184" s="11" t="s">
        <v>16</v>
      </c>
    </row>
    <row r="185" ht="22.5" customHeight="1">
      <c r="A185" s="43"/>
      <c r="B185" s="129" t="s">
        <v>4811</v>
      </c>
      <c r="C185" s="43"/>
      <c r="D185" s="130">
        <v>9.064440996E9</v>
      </c>
      <c r="E185" s="42" t="s">
        <v>211</v>
      </c>
      <c r="F185" s="9" t="s">
        <v>4708</v>
      </c>
      <c r="G185" s="10" t="s">
        <v>4788</v>
      </c>
      <c r="H185" s="9"/>
      <c r="I185" s="133"/>
      <c r="J185" s="43"/>
      <c r="K185" s="11" t="s">
        <v>16</v>
      </c>
    </row>
    <row r="186" ht="22.5" customHeight="1">
      <c r="A186" s="43"/>
      <c r="B186" s="131" t="s">
        <v>4812</v>
      </c>
      <c r="C186" s="43"/>
      <c r="D186" s="132">
        <v>7.074160031E9</v>
      </c>
      <c r="E186" s="42" t="s">
        <v>211</v>
      </c>
      <c r="F186" s="9" t="s">
        <v>4708</v>
      </c>
      <c r="G186" s="10" t="s">
        <v>4788</v>
      </c>
      <c r="H186" s="9"/>
      <c r="I186" s="133"/>
      <c r="J186" s="43"/>
      <c r="K186" s="11" t="s">
        <v>16</v>
      </c>
    </row>
    <row r="187" ht="22.5" customHeight="1">
      <c r="A187" s="43"/>
      <c r="B187" s="129" t="s">
        <v>4813</v>
      </c>
      <c r="C187" s="43"/>
      <c r="D187" s="130">
        <v>9.382368589E9</v>
      </c>
      <c r="E187" s="42" t="s">
        <v>211</v>
      </c>
      <c r="F187" s="9" t="s">
        <v>4708</v>
      </c>
      <c r="G187" s="10" t="s">
        <v>4788</v>
      </c>
      <c r="H187" s="9"/>
      <c r="I187" s="133"/>
      <c r="J187" s="43"/>
      <c r="K187" s="11" t="s">
        <v>16</v>
      </c>
    </row>
    <row r="188" ht="22.5" customHeight="1">
      <c r="A188" s="43"/>
      <c r="B188" s="131" t="s">
        <v>4814</v>
      </c>
      <c r="C188" s="43"/>
      <c r="D188" s="132">
        <v>9.832503567E9</v>
      </c>
      <c r="E188" s="42" t="s">
        <v>211</v>
      </c>
      <c r="F188" s="9" t="s">
        <v>4708</v>
      </c>
      <c r="G188" s="10" t="s">
        <v>4788</v>
      </c>
      <c r="H188" s="9"/>
      <c r="I188" s="133"/>
      <c r="J188" s="43"/>
      <c r="K188" s="11" t="s">
        <v>16</v>
      </c>
    </row>
    <row r="189" ht="22.5" customHeight="1">
      <c r="A189" s="43"/>
      <c r="B189" s="129" t="s">
        <v>4815</v>
      </c>
      <c r="C189" s="43"/>
      <c r="D189" s="130">
        <v>7.584939747E9</v>
      </c>
      <c r="E189" s="42" t="s">
        <v>211</v>
      </c>
      <c r="F189" s="9" t="s">
        <v>4708</v>
      </c>
      <c r="G189" s="10" t="s">
        <v>4788</v>
      </c>
      <c r="H189" s="9"/>
      <c r="I189" s="133"/>
      <c r="J189" s="43"/>
      <c r="K189" s="11" t="s">
        <v>16</v>
      </c>
    </row>
    <row r="190" ht="22.5" customHeight="1">
      <c r="A190" s="43"/>
      <c r="B190" s="131" t="s">
        <v>4816</v>
      </c>
      <c r="C190" s="43"/>
      <c r="D190" s="132">
        <v>9.832440212E9</v>
      </c>
      <c r="E190" s="42" t="s">
        <v>211</v>
      </c>
      <c r="F190" s="9" t="s">
        <v>4708</v>
      </c>
      <c r="G190" s="10" t="s">
        <v>4788</v>
      </c>
      <c r="H190" s="9"/>
      <c r="I190" s="133"/>
      <c r="J190" s="43"/>
      <c r="K190" s="11" t="s">
        <v>16</v>
      </c>
    </row>
    <row r="191" ht="22.5" customHeight="1">
      <c r="A191" s="43"/>
      <c r="B191" s="129" t="s">
        <v>4817</v>
      </c>
      <c r="C191" s="43"/>
      <c r="D191" s="130">
        <v>9.339424429E9</v>
      </c>
      <c r="E191" s="42" t="s">
        <v>211</v>
      </c>
      <c r="F191" s="9" t="s">
        <v>4708</v>
      </c>
      <c r="G191" s="10" t="s">
        <v>4788</v>
      </c>
      <c r="H191" s="9"/>
      <c r="I191" s="133"/>
      <c r="J191" s="43"/>
      <c r="K191" s="11" t="s">
        <v>16</v>
      </c>
    </row>
    <row r="192" ht="22.5" customHeight="1">
      <c r="A192" s="43"/>
      <c r="B192" s="131" t="s">
        <v>4818</v>
      </c>
      <c r="C192" s="43"/>
      <c r="D192" s="132">
        <v>8.537910105E9</v>
      </c>
      <c r="E192" s="42" t="s">
        <v>211</v>
      </c>
      <c r="F192" s="9" t="s">
        <v>4708</v>
      </c>
      <c r="G192" s="10" t="s">
        <v>4788</v>
      </c>
      <c r="H192" s="9"/>
      <c r="I192" s="133"/>
      <c r="J192" s="43"/>
      <c r="K192" s="11" t="s">
        <v>16</v>
      </c>
    </row>
    <row r="193" ht="22.5" customHeight="1">
      <c r="A193" s="43"/>
      <c r="B193" s="129" t="s">
        <v>4819</v>
      </c>
      <c r="C193" s="43"/>
      <c r="D193" s="130">
        <v>8.250393644E9</v>
      </c>
      <c r="E193" s="42" t="s">
        <v>211</v>
      </c>
      <c r="F193" s="9" t="s">
        <v>4708</v>
      </c>
      <c r="G193" s="10" t="s">
        <v>4788</v>
      </c>
      <c r="H193" s="9"/>
      <c r="I193" s="133"/>
      <c r="J193" s="43"/>
      <c r="K193" s="11" t="s">
        <v>16</v>
      </c>
    </row>
    <row r="194" ht="22.5" customHeight="1">
      <c r="A194" s="43"/>
      <c r="B194" s="131" t="s">
        <v>4820</v>
      </c>
      <c r="C194" s="43"/>
      <c r="D194" s="132">
        <v>9.907497378E9</v>
      </c>
      <c r="E194" s="42" t="s">
        <v>211</v>
      </c>
      <c r="F194" s="9" t="s">
        <v>4708</v>
      </c>
      <c r="G194" s="10" t="s">
        <v>4788</v>
      </c>
      <c r="H194" s="9"/>
      <c r="I194" s="133"/>
      <c r="J194" s="43"/>
      <c r="K194" s="11" t="s">
        <v>16</v>
      </c>
    </row>
    <row r="195" ht="22.5" customHeight="1">
      <c r="A195" s="43"/>
      <c r="B195" s="129" t="s">
        <v>4821</v>
      </c>
      <c r="C195" s="43"/>
      <c r="D195" s="130">
        <v>7.908410166E9</v>
      </c>
      <c r="E195" s="42" t="s">
        <v>211</v>
      </c>
      <c r="F195" s="9" t="s">
        <v>4708</v>
      </c>
      <c r="G195" s="10" t="s">
        <v>4788</v>
      </c>
      <c r="H195" s="9"/>
      <c r="I195" s="133"/>
      <c r="J195" s="43"/>
      <c r="K195" s="11" t="s">
        <v>16</v>
      </c>
    </row>
    <row r="196" ht="22.5" customHeight="1">
      <c r="A196" s="43"/>
      <c r="B196" s="131" t="s">
        <v>4822</v>
      </c>
      <c r="C196" s="43"/>
      <c r="D196" s="132">
        <v>9.749979187E9</v>
      </c>
      <c r="E196" s="42" t="s">
        <v>211</v>
      </c>
      <c r="F196" s="9" t="s">
        <v>4708</v>
      </c>
      <c r="G196" s="10" t="s">
        <v>4788</v>
      </c>
      <c r="H196" s="9"/>
      <c r="I196" s="133"/>
      <c r="J196" s="43"/>
      <c r="K196" s="11" t="s">
        <v>16</v>
      </c>
    </row>
    <row r="197" ht="22.5" customHeight="1">
      <c r="A197" s="43"/>
      <c r="B197" s="129" t="s">
        <v>4823</v>
      </c>
      <c r="C197" s="43"/>
      <c r="D197" s="130">
        <v>6.238437369E9</v>
      </c>
      <c r="E197" s="42" t="s">
        <v>211</v>
      </c>
      <c r="F197" s="9" t="s">
        <v>4708</v>
      </c>
      <c r="G197" s="10" t="s">
        <v>4788</v>
      </c>
      <c r="H197" s="9"/>
      <c r="I197" s="133"/>
      <c r="J197" s="43"/>
      <c r="K197" s="11" t="s">
        <v>16</v>
      </c>
    </row>
    <row r="198" ht="22.5" customHeight="1">
      <c r="A198" s="43"/>
      <c r="B198" s="131" t="s">
        <v>4824</v>
      </c>
      <c r="C198" s="43"/>
      <c r="D198" s="132">
        <v>8.94297237E9</v>
      </c>
      <c r="E198" s="42" t="s">
        <v>211</v>
      </c>
      <c r="F198" s="9" t="s">
        <v>4708</v>
      </c>
      <c r="G198" s="10" t="s">
        <v>4788</v>
      </c>
      <c r="H198" s="9"/>
      <c r="I198" s="133"/>
      <c r="J198" s="43"/>
      <c r="K198" s="11" t="s">
        <v>16</v>
      </c>
    </row>
    <row r="199" ht="22.5" customHeight="1">
      <c r="A199" s="43"/>
      <c r="B199" s="129" t="s">
        <v>4825</v>
      </c>
      <c r="C199" s="43"/>
      <c r="D199" s="130">
        <v>9.9322224E9</v>
      </c>
      <c r="E199" s="42" t="s">
        <v>211</v>
      </c>
      <c r="F199" s="9" t="s">
        <v>4708</v>
      </c>
      <c r="G199" s="10" t="s">
        <v>4788</v>
      </c>
      <c r="H199" s="9"/>
      <c r="I199" s="133"/>
      <c r="J199" s="43"/>
      <c r="K199" s="11" t="s">
        <v>16</v>
      </c>
    </row>
    <row r="200" ht="22.5" customHeight="1">
      <c r="A200" s="43"/>
      <c r="B200" s="131" t="s">
        <v>4826</v>
      </c>
      <c r="C200" s="43"/>
      <c r="D200" s="132">
        <v>9.832473267E9</v>
      </c>
      <c r="E200" s="42" t="s">
        <v>211</v>
      </c>
      <c r="F200" s="9" t="s">
        <v>4708</v>
      </c>
      <c r="G200" s="10" t="s">
        <v>4788</v>
      </c>
      <c r="H200" s="9"/>
      <c r="I200" s="133"/>
      <c r="J200" s="43"/>
      <c r="K200" s="11" t="s">
        <v>16</v>
      </c>
    </row>
    <row r="201" ht="22.5" customHeight="1">
      <c r="A201" s="43"/>
      <c r="B201" s="129" t="s">
        <v>4827</v>
      </c>
      <c r="C201" s="43"/>
      <c r="D201" s="130">
        <v>7.679485641E9</v>
      </c>
      <c r="E201" s="42" t="s">
        <v>211</v>
      </c>
      <c r="F201" s="9" t="s">
        <v>4708</v>
      </c>
      <c r="G201" s="10" t="s">
        <v>4788</v>
      </c>
      <c r="H201" s="9"/>
      <c r="I201" s="133"/>
      <c r="J201" s="43"/>
      <c r="K201" s="11" t="s">
        <v>16</v>
      </c>
    </row>
    <row r="202" ht="22.5" customHeight="1">
      <c r="A202" s="43"/>
      <c r="B202" s="131" t="s">
        <v>4828</v>
      </c>
      <c r="C202" s="43"/>
      <c r="D202" s="132">
        <v>9.83239443E9</v>
      </c>
      <c r="E202" s="42" t="s">
        <v>211</v>
      </c>
      <c r="F202" s="9" t="s">
        <v>4708</v>
      </c>
      <c r="G202" s="10" t="s">
        <v>4829</v>
      </c>
      <c r="H202" s="9"/>
      <c r="I202" s="10" t="s">
        <v>176</v>
      </c>
      <c r="J202" s="43"/>
      <c r="K202" s="11" t="s">
        <v>16</v>
      </c>
    </row>
    <row r="203" ht="22.5" customHeight="1">
      <c r="A203" s="43"/>
      <c r="B203" s="129" t="s">
        <v>4830</v>
      </c>
      <c r="C203" s="43"/>
      <c r="D203" s="130">
        <v>7.872629937E9</v>
      </c>
      <c r="E203" s="42" t="s">
        <v>211</v>
      </c>
      <c r="F203" s="9" t="s">
        <v>4708</v>
      </c>
      <c r="G203" s="10" t="s">
        <v>4829</v>
      </c>
      <c r="H203" s="9"/>
      <c r="I203" s="10" t="s">
        <v>161</v>
      </c>
      <c r="J203" s="9" t="s">
        <v>4831</v>
      </c>
      <c r="K203" s="11" t="s">
        <v>16</v>
      </c>
    </row>
    <row r="204" ht="22.5" customHeight="1">
      <c r="A204" s="43"/>
      <c r="B204" s="131" t="s">
        <v>4832</v>
      </c>
      <c r="C204" s="43"/>
      <c r="D204" s="132">
        <v>8.927875608E9</v>
      </c>
      <c r="E204" s="42" t="s">
        <v>211</v>
      </c>
      <c r="F204" s="9" t="s">
        <v>4708</v>
      </c>
      <c r="G204" s="10" t="s">
        <v>4829</v>
      </c>
      <c r="H204" s="9"/>
      <c r="I204" s="10" t="s">
        <v>161</v>
      </c>
      <c r="J204" s="43"/>
      <c r="K204" s="11" t="s">
        <v>16</v>
      </c>
    </row>
    <row r="205" ht="22.5" customHeight="1">
      <c r="A205" s="43"/>
      <c r="B205" s="129" t="s">
        <v>4833</v>
      </c>
      <c r="C205" s="43"/>
      <c r="D205" s="130">
        <v>9.641092334E9</v>
      </c>
      <c r="E205" s="42" t="s">
        <v>211</v>
      </c>
      <c r="F205" s="9" t="s">
        <v>4708</v>
      </c>
      <c r="G205" s="10" t="s">
        <v>4829</v>
      </c>
      <c r="H205" s="9"/>
      <c r="I205" s="10" t="s">
        <v>140</v>
      </c>
      <c r="J205" s="43"/>
      <c r="K205" s="11" t="s">
        <v>16</v>
      </c>
    </row>
    <row r="206" ht="22.5" customHeight="1">
      <c r="A206" s="43"/>
      <c r="B206" s="131" t="s">
        <v>4834</v>
      </c>
      <c r="C206" s="43"/>
      <c r="D206" s="132">
        <v>8.250991709E9</v>
      </c>
      <c r="E206" s="42" t="s">
        <v>211</v>
      </c>
      <c r="F206" s="9" t="s">
        <v>4708</v>
      </c>
      <c r="G206" s="10" t="s">
        <v>4829</v>
      </c>
      <c r="H206" s="9"/>
      <c r="I206" s="10" t="s">
        <v>161</v>
      </c>
      <c r="J206" s="43"/>
      <c r="K206" s="11" t="s">
        <v>16</v>
      </c>
    </row>
    <row r="207" ht="22.5" customHeight="1">
      <c r="A207" s="43"/>
      <c r="B207" s="129" t="s">
        <v>4835</v>
      </c>
      <c r="C207" s="43"/>
      <c r="D207" s="130">
        <v>7.679897794E9</v>
      </c>
      <c r="E207" s="42" t="s">
        <v>211</v>
      </c>
      <c r="F207" s="9" t="s">
        <v>4708</v>
      </c>
      <c r="G207" s="10" t="s">
        <v>4829</v>
      </c>
      <c r="H207" s="9"/>
      <c r="I207" s="10" t="s">
        <v>427</v>
      </c>
      <c r="J207" s="43"/>
      <c r="K207" s="11" t="s">
        <v>16</v>
      </c>
    </row>
    <row r="208" ht="22.5" customHeight="1">
      <c r="A208" s="43"/>
      <c r="B208" s="131" t="s">
        <v>4836</v>
      </c>
      <c r="C208" s="43"/>
      <c r="D208" s="132">
        <v>9.002272189E9</v>
      </c>
      <c r="E208" s="42" t="s">
        <v>211</v>
      </c>
      <c r="F208" s="9" t="s">
        <v>4708</v>
      </c>
      <c r="G208" s="10" t="s">
        <v>4829</v>
      </c>
      <c r="H208" s="9"/>
      <c r="I208" s="10" t="s">
        <v>161</v>
      </c>
      <c r="J208" s="43"/>
      <c r="K208" s="11" t="s">
        <v>16</v>
      </c>
    </row>
    <row r="209" ht="22.5" customHeight="1">
      <c r="A209" s="43"/>
      <c r="B209" s="129" t="s">
        <v>4837</v>
      </c>
      <c r="C209" s="43"/>
      <c r="D209" s="130">
        <v>9.332920391E9</v>
      </c>
      <c r="E209" s="42" t="s">
        <v>211</v>
      </c>
      <c r="F209" s="9" t="s">
        <v>4708</v>
      </c>
      <c r="G209" s="10" t="s">
        <v>4829</v>
      </c>
      <c r="H209" s="9"/>
      <c r="I209" s="10" t="s">
        <v>161</v>
      </c>
      <c r="J209" s="43"/>
      <c r="K209" s="11" t="s">
        <v>16</v>
      </c>
    </row>
    <row r="210" ht="22.5" customHeight="1">
      <c r="A210" s="43"/>
      <c r="B210" s="131" t="s">
        <v>4838</v>
      </c>
      <c r="C210" s="43"/>
      <c r="D210" s="132">
        <v>9.47489499E9</v>
      </c>
      <c r="E210" s="42" t="s">
        <v>211</v>
      </c>
      <c r="F210" s="9" t="s">
        <v>4708</v>
      </c>
      <c r="G210" s="10" t="s">
        <v>4829</v>
      </c>
      <c r="H210" s="9"/>
      <c r="I210" s="10" t="s">
        <v>176</v>
      </c>
      <c r="J210" s="43"/>
      <c r="K210" s="11" t="s">
        <v>16</v>
      </c>
    </row>
    <row r="211" ht="22.5" customHeight="1">
      <c r="A211" s="43"/>
      <c r="B211" s="129" t="s">
        <v>4839</v>
      </c>
      <c r="C211" s="43"/>
      <c r="D211" s="130">
        <v>9.832859934E9</v>
      </c>
      <c r="E211" s="42" t="s">
        <v>211</v>
      </c>
      <c r="F211" s="9" t="s">
        <v>4708</v>
      </c>
      <c r="G211" s="10" t="s">
        <v>4829</v>
      </c>
      <c r="H211" s="9"/>
      <c r="I211" s="10" t="s">
        <v>140</v>
      </c>
      <c r="J211" s="43"/>
      <c r="K211" s="11" t="s">
        <v>16</v>
      </c>
    </row>
    <row r="212" ht="22.5" customHeight="1">
      <c r="A212" s="43"/>
      <c r="B212" s="131" t="s">
        <v>4840</v>
      </c>
      <c r="C212" s="43"/>
      <c r="D212" s="132">
        <v>9.734349526E9</v>
      </c>
      <c r="E212" s="42" t="s">
        <v>211</v>
      </c>
      <c r="F212" s="9" t="s">
        <v>4708</v>
      </c>
      <c r="G212" s="10" t="s">
        <v>4829</v>
      </c>
      <c r="H212" s="9"/>
      <c r="I212" s="10" t="s">
        <v>161</v>
      </c>
      <c r="J212" s="9" t="s">
        <v>4841</v>
      </c>
      <c r="K212" s="11" t="s">
        <v>16</v>
      </c>
    </row>
    <row r="213" ht="22.5" customHeight="1">
      <c r="A213" s="43"/>
      <c r="B213" s="129" t="s">
        <v>4842</v>
      </c>
      <c r="C213" s="43"/>
      <c r="D213" s="130">
        <v>8.101818282E9</v>
      </c>
      <c r="E213" s="42" t="s">
        <v>211</v>
      </c>
      <c r="F213" s="9" t="s">
        <v>4708</v>
      </c>
      <c r="G213" s="10" t="s">
        <v>4829</v>
      </c>
      <c r="H213" s="9"/>
      <c r="I213" s="10" t="s">
        <v>161</v>
      </c>
      <c r="J213" s="9" t="s">
        <v>4843</v>
      </c>
      <c r="K213" s="11" t="s">
        <v>16</v>
      </c>
    </row>
    <row r="214" ht="22.5" customHeight="1">
      <c r="A214" s="43"/>
      <c r="B214" s="131" t="s">
        <v>4844</v>
      </c>
      <c r="C214" s="43"/>
      <c r="D214" s="132">
        <v>8.597408592E9</v>
      </c>
      <c r="E214" s="42" t="s">
        <v>211</v>
      </c>
      <c r="F214" s="9" t="s">
        <v>4708</v>
      </c>
      <c r="G214" s="10" t="s">
        <v>4829</v>
      </c>
      <c r="H214" s="9"/>
      <c r="I214" s="10" t="s">
        <v>161</v>
      </c>
      <c r="J214" s="9" t="s">
        <v>4845</v>
      </c>
      <c r="K214" s="11" t="s">
        <v>16</v>
      </c>
    </row>
    <row r="215" ht="22.5" customHeight="1">
      <c r="A215" s="43"/>
      <c r="B215" s="129" t="s">
        <v>4846</v>
      </c>
      <c r="C215" s="43"/>
      <c r="D215" s="130">
        <v>9.932025511E9</v>
      </c>
      <c r="E215" s="42" t="s">
        <v>211</v>
      </c>
      <c r="F215" s="9" t="s">
        <v>4708</v>
      </c>
      <c r="G215" s="10" t="s">
        <v>4829</v>
      </c>
      <c r="H215" s="9"/>
      <c r="I215" s="10" t="s">
        <v>161</v>
      </c>
      <c r="J215" s="43"/>
      <c r="K215" s="11" t="s">
        <v>16</v>
      </c>
    </row>
    <row r="216" ht="22.5" customHeight="1">
      <c r="A216" s="43"/>
      <c r="B216" s="131" t="s">
        <v>4847</v>
      </c>
      <c r="C216" s="43"/>
      <c r="D216" s="132">
        <v>9.474844743E9</v>
      </c>
      <c r="E216" s="42" t="s">
        <v>211</v>
      </c>
      <c r="F216" s="9" t="s">
        <v>4708</v>
      </c>
      <c r="G216" s="10" t="s">
        <v>4829</v>
      </c>
      <c r="H216" s="9"/>
      <c r="I216" s="133"/>
      <c r="J216" s="43"/>
      <c r="K216" s="11" t="s">
        <v>16</v>
      </c>
    </row>
    <row r="217" ht="22.5" customHeight="1">
      <c r="A217" s="43"/>
      <c r="B217" s="129" t="s">
        <v>4848</v>
      </c>
      <c r="C217" s="43"/>
      <c r="D217" s="130">
        <v>7.477854586E9</v>
      </c>
      <c r="E217" s="42" t="s">
        <v>211</v>
      </c>
      <c r="F217" s="9" t="s">
        <v>4708</v>
      </c>
      <c r="G217" s="10" t="s">
        <v>4829</v>
      </c>
      <c r="H217" s="9"/>
      <c r="I217" s="133"/>
      <c r="J217" s="43"/>
      <c r="K217" s="11" t="s">
        <v>16</v>
      </c>
    </row>
    <row r="218" ht="22.5" customHeight="1">
      <c r="A218" s="43"/>
      <c r="B218" s="131" t="s">
        <v>4849</v>
      </c>
      <c r="C218" s="43"/>
      <c r="D218" s="132">
        <v>8.509355932E9</v>
      </c>
      <c r="E218" s="42" t="s">
        <v>211</v>
      </c>
      <c r="F218" s="9" t="s">
        <v>4708</v>
      </c>
      <c r="G218" s="10" t="s">
        <v>4829</v>
      </c>
      <c r="H218" s="9"/>
      <c r="I218" s="133"/>
      <c r="J218" s="43"/>
      <c r="K218" s="11" t="s">
        <v>16</v>
      </c>
    </row>
    <row r="219" ht="22.5" customHeight="1">
      <c r="A219" s="43"/>
      <c r="B219" s="129" t="s">
        <v>4850</v>
      </c>
      <c r="C219" s="43"/>
      <c r="D219" s="130">
        <v>7.585068999E9</v>
      </c>
      <c r="E219" s="42" t="s">
        <v>211</v>
      </c>
      <c r="F219" s="9" t="s">
        <v>4708</v>
      </c>
      <c r="G219" s="10" t="s">
        <v>4829</v>
      </c>
      <c r="H219" s="9"/>
      <c r="I219" s="133"/>
      <c r="J219" s="43"/>
      <c r="K219" s="11" t="s">
        <v>16</v>
      </c>
    </row>
    <row r="220" ht="22.5" customHeight="1">
      <c r="A220" s="43"/>
      <c r="B220" s="131" t="s">
        <v>4851</v>
      </c>
      <c r="C220" s="43"/>
      <c r="D220" s="132">
        <v>7.063505922E9</v>
      </c>
      <c r="E220" s="42" t="s">
        <v>211</v>
      </c>
      <c r="F220" s="9" t="s">
        <v>4708</v>
      </c>
      <c r="G220" s="10" t="s">
        <v>4829</v>
      </c>
      <c r="H220" s="9"/>
      <c r="I220" s="133"/>
      <c r="J220" s="43"/>
      <c r="K220" s="11" t="s">
        <v>16</v>
      </c>
    </row>
    <row r="221" ht="22.5" customHeight="1">
      <c r="A221" s="43"/>
      <c r="B221" s="129" t="s">
        <v>2964</v>
      </c>
      <c r="C221" s="43"/>
      <c r="D221" s="130">
        <v>9.647784303E9</v>
      </c>
      <c r="E221" s="42" t="s">
        <v>211</v>
      </c>
      <c r="F221" s="9" t="s">
        <v>4708</v>
      </c>
      <c r="G221" s="10" t="s">
        <v>4829</v>
      </c>
      <c r="H221" s="9"/>
      <c r="I221" s="133"/>
      <c r="J221" s="43"/>
      <c r="K221" s="11" t="s">
        <v>16</v>
      </c>
    </row>
    <row r="222" ht="22.5" customHeight="1">
      <c r="A222" s="43"/>
      <c r="B222" s="131" t="s">
        <v>4852</v>
      </c>
      <c r="C222" s="43"/>
      <c r="D222" s="132">
        <v>8.436526265E9</v>
      </c>
      <c r="E222" s="42" t="s">
        <v>211</v>
      </c>
      <c r="F222" s="9" t="s">
        <v>4708</v>
      </c>
      <c r="G222" s="10" t="s">
        <v>4829</v>
      </c>
      <c r="H222" s="9"/>
      <c r="I222" s="133"/>
      <c r="J222" s="43"/>
      <c r="K222" s="11" t="s">
        <v>16</v>
      </c>
    </row>
    <row r="223" ht="22.5" customHeight="1">
      <c r="A223" s="43"/>
      <c r="B223" s="129" t="s">
        <v>4853</v>
      </c>
      <c r="C223" s="43"/>
      <c r="D223" s="130">
        <v>9.679072183E9</v>
      </c>
      <c r="E223" s="42" t="s">
        <v>211</v>
      </c>
      <c r="F223" s="9" t="s">
        <v>4708</v>
      </c>
      <c r="G223" s="10" t="s">
        <v>4829</v>
      </c>
      <c r="H223" s="9"/>
      <c r="I223" s="133"/>
      <c r="J223" s="43"/>
      <c r="K223" s="11" t="s">
        <v>16</v>
      </c>
    </row>
    <row r="224" ht="22.5" customHeight="1">
      <c r="A224" s="43"/>
      <c r="B224" s="131" t="s">
        <v>4854</v>
      </c>
      <c r="C224" s="43"/>
      <c r="D224" s="132">
        <v>9.800700996E9</v>
      </c>
      <c r="E224" s="42" t="s">
        <v>211</v>
      </c>
      <c r="F224" s="9" t="s">
        <v>4708</v>
      </c>
      <c r="G224" s="10" t="s">
        <v>4829</v>
      </c>
      <c r="H224" s="9"/>
      <c r="I224" s="133"/>
      <c r="J224" s="43"/>
      <c r="K224" s="11" t="s">
        <v>16</v>
      </c>
    </row>
    <row r="225" ht="22.5" customHeight="1">
      <c r="A225" s="43"/>
      <c r="B225" s="129" t="s">
        <v>4855</v>
      </c>
      <c r="C225" s="43"/>
      <c r="D225" s="130">
        <v>9.08327496E9</v>
      </c>
      <c r="E225" s="42" t="s">
        <v>211</v>
      </c>
      <c r="F225" s="9" t="s">
        <v>4708</v>
      </c>
      <c r="G225" s="10" t="s">
        <v>4829</v>
      </c>
      <c r="H225" s="9"/>
      <c r="I225" s="133"/>
      <c r="J225" s="43"/>
      <c r="K225" s="11" t="s">
        <v>16</v>
      </c>
    </row>
    <row r="226" ht="22.5" customHeight="1">
      <c r="A226" s="43"/>
      <c r="B226" s="131" t="s">
        <v>4856</v>
      </c>
      <c r="C226" s="43"/>
      <c r="D226" s="132">
        <v>8.159985362E9</v>
      </c>
      <c r="E226" s="42" t="s">
        <v>211</v>
      </c>
      <c r="F226" s="9" t="s">
        <v>4708</v>
      </c>
      <c r="G226" s="10" t="s">
        <v>4829</v>
      </c>
      <c r="H226" s="9"/>
      <c r="I226" s="133"/>
      <c r="J226" s="43"/>
      <c r="K226" s="11" t="s">
        <v>16</v>
      </c>
    </row>
    <row r="227" ht="22.5" customHeight="1">
      <c r="A227" s="43"/>
      <c r="B227" s="129" t="s">
        <v>4857</v>
      </c>
      <c r="C227" s="43"/>
      <c r="D227" s="130">
        <v>7.076835825E9</v>
      </c>
      <c r="E227" s="42" t="s">
        <v>211</v>
      </c>
      <c r="F227" s="9" t="s">
        <v>4708</v>
      </c>
      <c r="G227" s="10" t="s">
        <v>4829</v>
      </c>
      <c r="H227" s="9"/>
      <c r="I227" s="133"/>
      <c r="J227" s="43"/>
      <c r="K227" s="11" t="s">
        <v>16</v>
      </c>
    </row>
    <row r="228" ht="22.5" customHeight="1">
      <c r="A228" s="43"/>
      <c r="B228" s="131" t="s">
        <v>4858</v>
      </c>
      <c r="C228" s="43"/>
      <c r="D228" s="132">
        <v>9.932222997E9</v>
      </c>
      <c r="E228" s="42" t="s">
        <v>211</v>
      </c>
      <c r="F228" s="9" t="s">
        <v>4708</v>
      </c>
      <c r="G228" s="10" t="s">
        <v>4829</v>
      </c>
      <c r="H228" s="9"/>
      <c r="I228" s="133"/>
      <c r="J228" s="43"/>
      <c r="K228" s="11" t="s">
        <v>16</v>
      </c>
    </row>
    <row r="229" ht="22.5" customHeight="1">
      <c r="A229" s="43"/>
      <c r="B229" s="129" t="s">
        <v>4859</v>
      </c>
      <c r="C229" s="43"/>
      <c r="D229" s="130">
        <v>8.515873826E9</v>
      </c>
      <c r="E229" s="42" t="s">
        <v>211</v>
      </c>
      <c r="F229" s="9" t="s">
        <v>4708</v>
      </c>
      <c r="G229" s="10" t="s">
        <v>4829</v>
      </c>
      <c r="H229" s="9"/>
      <c r="I229" s="133"/>
      <c r="J229" s="43"/>
      <c r="K229" s="11" t="s">
        <v>16</v>
      </c>
    </row>
    <row r="230" ht="22.5" customHeight="1">
      <c r="A230" s="43"/>
      <c r="B230" s="131" t="s">
        <v>4860</v>
      </c>
      <c r="C230" s="43"/>
      <c r="D230" s="132">
        <v>9.883941661E9</v>
      </c>
      <c r="E230" s="42" t="s">
        <v>211</v>
      </c>
      <c r="F230" s="9" t="s">
        <v>4708</v>
      </c>
      <c r="G230" s="10" t="s">
        <v>4829</v>
      </c>
      <c r="H230" s="9"/>
      <c r="I230" s="133"/>
      <c r="J230" s="43"/>
      <c r="K230" s="11" t="s">
        <v>16</v>
      </c>
    </row>
    <row r="231" ht="22.5" customHeight="1">
      <c r="A231" s="43"/>
      <c r="B231" s="129" t="s">
        <v>4861</v>
      </c>
      <c r="C231" s="43"/>
      <c r="D231" s="130">
        <v>8.617817577E9</v>
      </c>
      <c r="E231" s="42" t="s">
        <v>211</v>
      </c>
      <c r="F231" s="9" t="s">
        <v>4708</v>
      </c>
      <c r="G231" s="10" t="s">
        <v>4829</v>
      </c>
      <c r="H231" s="9"/>
      <c r="I231" s="133"/>
      <c r="J231" s="43"/>
      <c r="K231" s="11" t="s">
        <v>16</v>
      </c>
    </row>
    <row r="232" ht="22.5" customHeight="1">
      <c r="A232" s="43"/>
      <c r="B232" s="131" t="s">
        <v>4862</v>
      </c>
      <c r="C232" s="43"/>
      <c r="D232" s="132">
        <v>7.584807577E9</v>
      </c>
      <c r="E232" s="42" t="s">
        <v>211</v>
      </c>
      <c r="F232" s="9" t="s">
        <v>4708</v>
      </c>
      <c r="G232" s="10" t="s">
        <v>4829</v>
      </c>
      <c r="H232" s="9"/>
      <c r="I232" s="133"/>
      <c r="J232" s="43"/>
      <c r="K232" s="11" t="s">
        <v>16</v>
      </c>
    </row>
    <row r="233" ht="22.5" customHeight="1">
      <c r="A233" s="43"/>
      <c r="B233" s="129" t="s">
        <v>4863</v>
      </c>
      <c r="C233" s="43"/>
      <c r="D233" s="130">
        <v>9.002643351E9</v>
      </c>
      <c r="E233" s="42" t="s">
        <v>211</v>
      </c>
      <c r="F233" s="9" t="s">
        <v>4708</v>
      </c>
      <c r="G233" s="10" t="s">
        <v>4829</v>
      </c>
      <c r="H233" s="9"/>
      <c r="I233" s="133"/>
      <c r="J233" s="43"/>
      <c r="K233" s="11" t="s">
        <v>16</v>
      </c>
    </row>
    <row r="234" ht="22.5" customHeight="1">
      <c r="A234" s="43"/>
      <c r="B234" s="131" t="s">
        <v>4864</v>
      </c>
      <c r="C234" s="43"/>
      <c r="D234" s="132">
        <v>7.407946054E9</v>
      </c>
      <c r="E234" s="42" t="s">
        <v>211</v>
      </c>
      <c r="F234" s="9" t="s">
        <v>4708</v>
      </c>
      <c r="G234" s="10" t="s">
        <v>4829</v>
      </c>
      <c r="H234" s="9"/>
      <c r="I234" s="133"/>
      <c r="J234" s="43"/>
      <c r="K234" s="11" t="s">
        <v>16</v>
      </c>
    </row>
    <row r="235" ht="22.5" customHeight="1">
      <c r="A235" s="43"/>
      <c r="B235" s="129" t="s">
        <v>4865</v>
      </c>
      <c r="C235" s="43"/>
      <c r="D235" s="130">
        <v>9.051465799E9</v>
      </c>
      <c r="E235" s="42" t="s">
        <v>211</v>
      </c>
      <c r="F235" s="9" t="s">
        <v>4708</v>
      </c>
      <c r="G235" s="10" t="s">
        <v>4829</v>
      </c>
      <c r="H235" s="9"/>
      <c r="I235" s="133"/>
      <c r="J235" s="43"/>
      <c r="K235" s="11" t="s">
        <v>16</v>
      </c>
    </row>
    <row r="236" ht="22.5" customHeight="1">
      <c r="A236" s="43"/>
      <c r="B236" s="131" t="s">
        <v>4866</v>
      </c>
      <c r="C236" s="43"/>
      <c r="D236" s="132">
        <v>7.908806873E9</v>
      </c>
      <c r="E236" s="42" t="s">
        <v>211</v>
      </c>
      <c r="F236" s="9" t="s">
        <v>4708</v>
      </c>
      <c r="G236" s="10" t="s">
        <v>4829</v>
      </c>
      <c r="H236" s="9"/>
      <c r="I236" s="133"/>
      <c r="J236" s="43"/>
      <c r="K236" s="11" t="s">
        <v>16</v>
      </c>
    </row>
    <row r="237" ht="22.5" customHeight="1">
      <c r="A237" s="43"/>
      <c r="B237" s="129" t="s">
        <v>4865</v>
      </c>
      <c r="C237" s="43"/>
      <c r="D237" s="130">
        <v>9.051465799E9</v>
      </c>
      <c r="E237" s="42" t="s">
        <v>211</v>
      </c>
      <c r="F237" s="9" t="s">
        <v>4708</v>
      </c>
      <c r="G237" s="10" t="s">
        <v>4829</v>
      </c>
      <c r="H237" s="9"/>
      <c r="I237" s="133"/>
      <c r="J237" s="43"/>
      <c r="K237" s="11" t="s">
        <v>16</v>
      </c>
    </row>
    <row r="238" ht="22.5" customHeight="1">
      <c r="A238" s="43"/>
      <c r="B238" s="134" t="s">
        <v>4866</v>
      </c>
      <c r="C238" s="43"/>
      <c r="D238" s="135">
        <v>7.908806873E9</v>
      </c>
      <c r="E238" s="42" t="s">
        <v>211</v>
      </c>
      <c r="F238" s="9" t="s">
        <v>4708</v>
      </c>
      <c r="G238" s="10" t="s">
        <v>4829</v>
      </c>
      <c r="H238" s="9"/>
      <c r="I238" s="133"/>
      <c r="J238" s="43"/>
      <c r="K238" s="11" t="s">
        <v>16</v>
      </c>
    </row>
    <row r="239" ht="22.5" customHeight="1">
      <c r="A239" s="43"/>
      <c r="B239" s="136" t="s">
        <v>4867</v>
      </c>
      <c r="C239" s="136" t="s">
        <v>4868</v>
      </c>
      <c r="D239" s="137" t="s">
        <v>4869</v>
      </c>
      <c r="E239" s="138" t="s">
        <v>11</v>
      </c>
      <c r="F239" s="138" t="s">
        <v>3480</v>
      </c>
      <c r="G239" s="10" t="s">
        <v>4870</v>
      </c>
      <c r="H239" s="9"/>
      <c r="I239" s="133"/>
      <c r="J239" s="43"/>
      <c r="K239" s="11" t="s">
        <v>16</v>
      </c>
    </row>
    <row r="240" ht="22.5" customHeight="1">
      <c r="A240" s="43"/>
      <c r="B240" s="136" t="s">
        <v>4871</v>
      </c>
      <c r="C240" s="136" t="s">
        <v>4872</v>
      </c>
      <c r="D240" s="137" t="s">
        <v>4873</v>
      </c>
      <c r="E240" s="138" t="s">
        <v>4874</v>
      </c>
      <c r="F240" s="138" t="s">
        <v>4875</v>
      </c>
      <c r="G240" s="10" t="s">
        <v>4876</v>
      </c>
      <c r="H240" s="9"/>
      <c r="I240" s="133"/>
      <c r="J240" s="43"/>
      <c r="K240" s="10"/>
    </row>
    <row r="241" ht="22.5" customHeight="1">
      <c r="A241" s="43"/>
      <c r="B241" s="136" t="s">
        <v>4877</v>
      </c>
      <c r="C241" s="136" t="s">
        <v>4878</v>
      </c>
      <c r="D241" s="137" t="s">
        <v>4879</v>
      </c>
      <c r="E241" s="138" t="s">
        <v>11</v>
      </c>
      <c r="F241" s="138" t="s">
        <v>4880</v>
      </c>
      <c r="G241" s="10" t="s">
        <v>4881</v>
      </c>
      <c r="H241" s="9"/>
      <c r="I241" s="133"/>
      <c r="J241" s="43"/>
      <c r="K241" s="10"/>
    </row>
    <row r="242" ht="22.5" customHeight="1">
      <c r="A242" s="43"/>
      <c r="B242" s="136" t="s">
        <v>4882</v>
      </c>
      <c r="C242" s="136" t="s">
        <v>4883</v>
      </c>
      <c r="D242" s="137" t="s">
        <v>4884</v>
      </c>
      <c r="E242" s="138" t="s">
        <v>11</v>
      </c>
      <c r="F242" s="138" t="s">
        <v>4885</v>
      </c>
      <c r="G242" s="10" t="s">
        <v>4876</v>
      </c>
      <c r="H242" s="9"/>
      <c r="I242" s="133"/>
      <c r="J242" s="43"/>
      <c r="K242" s="10"/>
    </row>
    <row r="243" ht="22.5" customHeight="1">
      <c r="A243" s="43"/>
      <c r="B243" s="136" t="s">
        <v>4886</v>
      </c>
      <c r="C243" s="136" t="s">
        <v>4887</v>
      </c>
      <c r="D243" s="137" t="s">
        <v>4888</v>
      </c>
      <c r="E243" s="138" t="s">
        <v>534</v>
      </c>
      <c r="F243" s="138" t="s">
        <v>4889</v>
      </c>
      <c r="G243" s="10" t="s">
        <v>4876</v>
      </c>
      <c r="H243" s="9"/>
      <c r="I243" s="133"/>
      <c r="J243" s="43"/>
      <c r="K243" s="10"/>
    </row>
    <row r="244" ht="22.5" customHeight="1">
      <c r="A244" s="43"/>
      <c r="B244" s="136" t="s">
        <v>4498</v>
      </c>
      <c r="C244" s="136" t="s">
        <v>4499</v>
      </c>
      <c r="D244" s="137" t="s">
        <v>4890</v>
      </c>
      <c r="E244" s="138" t="s">
        <v>998</v>
      </c>
      <c r="F244" s="138" t="s">
        <v>4891</v>
      </c>
      <c r="G244" s="10" t="s">
        <v>4892</v>
      </c>
      <c r="H244" s="9"/>
      <c r="I244" s="133"/>
      <c r="J244" s="43"/>
      <c r="K244" s="10"/>
    </row>
    <row r="245" ht="22.5" customHeight="1">
      <c r="A245" s="43"/>
      <c r="B245" s="136" t="s">
        <v>4893</v>
      </c>
      <c r="C245" s="136" t="s">
        <v>4894</v>
      </c>
      <c r="D245" s="137" t="s">
        <v>4895</v>
      </c>
      <c r="E245" s="138" t="s">
        <v>4896</v>
      </c>
      <c r="F245" s="138" t="s">
        <v>331</v>
      </c>
      <c r="G245" s="10" t="s">
        <v>4897</v>
      </c>
      <c r="H245" s="9"/>
      <c r="I245" s="133"/>
      <c r="J245" s="43"/>
      <c r="K245" s="10"/>
    </row>
    <row r="246" ht="22.5" customHeight="1">
      <c r="A246" s="43"/>
      <c r="B246" s="136" t="s">
        <v>4898</v>
      </c>
      <c r="C246" s="136" t="s">
        <v>4899</v>
      </c>
      <c r="D246" s="137" t="s">
        <v>4900</v>
      </c>
      <c r="E246" s="138" t="s">
        <v>534</v>
      </c>
      <c r="F246" s="138" t="s">
        <v>4401</v>
      </c>
      <c r="G246" s="10" t="s">
        <v>4897</v>
      </c>
      <c r="H246" s="9"/>
      <c r="I246" s="133"/>
      <c r="J246" s="43"/>
      <c r="K246" s="10"/>
    </row>
    <row r="247" ht="22.5" customHeight="1">
      <c r="A247" s="43"/>
      <c r="B247" s="136" t="s">
        <v>4901</v>
      </c>
      <c r="C247" s="136" t="s">
        <v>4902</v>
      </c>
      <c r="D247" s="137" t="s">
        <v>4903</v>
      </c>
      <c r="E247" s="139"/>
      <c r="F247" s="138" t="s">
        <v>4904</v>
      </c>
      <c r="G247" s="10" t="s">
        <v>4660</v>
      </c>
      <c r="H247" s="9"/>
      <c r="I247" s="133"/>
      <c r="J247" s="43"/>
      <c r="K247" s="10"/>
    </row>
    <row r="248" ht="22.5" customHeight="1">
      <c r="A248" s="43"/>
      <c r="B248" s="136" t="s">
        <v>4905</v>
      </c>
      <c r="C248" s="136" t="s">
        <v>4906</v>
      </c>
      <c r="D248" s="137" t="s">
        <v>4907</v>
      </c>
      <c r="E248" s="138" t="s">
        <v>4905</v>
      </c>
      <c r="F248" s="138" t="s">
        <v>999</v>
      </c>
      <c r="G248" s="10" t="s">
        <v>4908</v>
      </c>
      <c r="H248" s="9"/>
      <c r="I248" s="133"/>
      <c r="J248" s="43"/>
      <c r="K248" s="10"/>
    </row>
    <row r="249" ht="22.5" customHeight="1">
      <c r="A249" s="43"/>
      <c r="B249" s="136" t="s">
        <v>4909</v>
      </c>
      <c r="C249" s="136" t="s">
        <v>4910</v>
      </c>
      <c r="D249" s="137" t="s">
        <v>4911</v>
      </c>
      <c r="E249" s="138" t="s">
        <v>11</v>
      </c>
      <c r="F249" s="138" t="s">
        <v>4449</v>
      </c>
      <c r="G249" s="10" t="s">
        <v>4876</v>
      </c>
      <c r="H249" s="9"/>
      <c r="I249" s="133"/>
      <c r="J249" s="43"/>
      <c r="K249" s="10"/>
    </row>
    <row r="250" ht="22.5" customHeight="1">
      <c r="A250" s="43"/>
      <c r="B250" s="136" t="s">
        <v>4912</v>
      </c>
      <c r="C250" s="136" t="s">
        <v>4913</v>
      </c>
      <c r="D250" s="137" t="s">
        <v>4914</v>
      </c>
      <c r="E250" s="138" t="s">
        <v>4915</v>
      </c>
      <c r="F250" s="138" t="s">
        <v>4916</v>
      </c>
      <c r="G250" s="10" t="s">
        <v>4908</v>
      </c>
      <c r="H250" s="9"/>
      <c r="I250" s="133"/>
      <c r="J250" s="43"/>
      <c r="K250" s="10"/>
    </row>
    <row r="251" ht="22.5" customHeight="1">
      <c r="A251" s="43"/>
      <c r="B251" s="136" t="s">
        <v>4917</v>
      </c>
      <c r="C251" s="136" t="s">
        <v>4918</v>
      </c>
      <c r="D251" s="137" t="s">
        <v>4919</v>
      </c>
      <c r="E251" s="138" t="s">
        <v>11</v>
      </c>
      <c r="F251" s="138" t="s">
        <v>4920</v>
      </c>
      <c r="G251" s="10" t="s">
        <v>4660</v>
      </c>
      <c r="H251" s="9"/>
      <c r="I251" s="133"/>
      <c r="J251" s="43"/>
      <c r="K251" s="10"/>
    </row>
    <row r="252" ht="22.5" customHeight="1">
      <c r="A252" s="43"/>
      <c r="B252" s="136" t="s">
        <v>4921</v>
      </c>
      <c r="C252" s="136" t="s">
        <v>4922</v>
      </c>
      <c r="D252" s="137" t="s">
        <v>4923</v>
      </c>
      <c r="E252" s="138" t="s">
        <v>4924</v>
      </c>
      <c r="F252" s="138" t="s">
        <v>4925</v>
      </c>
      <c r="G252" s="10" t="s">
        <v>4926</v>
      </c>
      <c r="H252" s="9"/>
      <c r="I252" s="133"/>
      <c r="J252" s="43"/>
      <c r="K252" s="10"/>
    </row>
    <row r="253" ht="22.5" customHeight="1">
      <c r="A253" s="43"/>
      <c r="B253" s="136" t="s">
        <v>4901</v>
      </c>
      <c r="C253" s="136" t="s">
        <v>4902</v>
      </c>
      <c r="D253" s="137" t="s">
        <v>4903</v>
      </c>
      <c r="E253" s="139"/>
      <c r="F253" s="138" t="s">
        <v>200</v>
      </c>
      <c r="G253" s="10" t="s">
        <v>4927</v>
      </c>
      <c r="H253" s="9"/>
      <c r="I253" s="133"/>
      <c r="J253" s="43"/>
      <c r="K253" s="10"/>
    </row>
    <row r="254" ht="22.5" customHeight="1">
      <c r="A254" s="43"/>
      <c r="B254" s="136" t="s">
        <v>4928</v>
      </c>
      <c r="C254" s="136" t="s">
        <v>4929</v>
      </c>
      <c r="D254" s="137" t="s">
        <v>4930</v>
      </c>
      <c r="E254" s="139"/>
      <c r="F254" s="139"/>
      <c r="G254" s="10" t="s">
        <v>4706</v>
      </c>
      <c r="H254" s="9"/>
      <c r="I254" s="133"/>
      <c r="J254" s="43"/>
      <c r="K254" s="10"/>
    </row>
    <row r="255" ht="22.5" customHeight="1">
      <c r="A255" s="43"/>
      <c r="B255" s="136" t="s">
        <v>4931</v>
      </c>
      <c r="C255" s="136" t="s">
        <v>4932</v>
      </c>
      <c r="D255" s="137" t="s">
        <v>4933</v>
      </c>
      <c r="E255" s="139"/>
      <c r="F255" s="139"/>
      <c r="G255" s="10" t="s">
        <v>4747</v>
      </c>
      <c r="H255" s="9"/>
      <c r="I255" s="133"/>
      <c r="J255" s="43"/>
      <c r="K255" s="10"/>
    </row>
    <row r="256" ht="22.5" customHeight="1">
      <c r="A256" s="43"/>
      <c r="B256" s="136" t="s">
        <v>4934</v>
      </c>
      <c r="C256" s="136" t="s">
        <v>4935</v>
      </c>
      <c r="D256" s="137" t="s">
        <v>4936</v>
      </c>
      <c r="E256" s="139"/>
      <c r="F256" s="138" t="s">
        <v>133</v>
      </c>
      <c r="G256" s="10" t="s">
        <v>4829</v>
      </c>
      <c r="H256" s="9"/>
      <c r="I256" s="133"/>
      <c r="J256" s="43"/>
      <c r="K256" s="10"/>
    </row>
    <row r="257" ht="22.5" customHeight="1">
      <c r="A257" s="43"/>
      <c r="B257" s="136" t="s">
        <v>4937</v>
      </c>
      <c r="C257" s="136" t="s">
        <v>4938</v>
      </c>
      <c r="D257" s="137" t="s">
        <v>4939</v>
      </c>
      <c r="E257" s="138" t="s">
        <v>11</v>
      </c>
      <c r="F257" s="138" t="s">
        <v>4402</v>
      </c>
      <c r="G257" s="10" t="s">
        <v>4870</v>
      </c>
      <c r="H257" s="9"/>
      <c r="I257" s="133"/>
      <c r="J257" s="43"/>
      <c r="K257" s="10"/>
    </row>
    <row r="258" ht="22.5" customHeight="1">
      <c r="A258" s="43"/>
      <c r="B258" s="136" t="s">
        <v>4940</v>
      </c>
      <c r="C258" s="136" t="s">
        <v>4941</v>
      </c>
      <c r="D258" s="137" t="s">
        <v>4942</v>
      </c>
      <c r="E258" s="139"/>
      <c r="F258" s="139"/>
      <c r="G258" s="10" t="s">
        <v>4876</v>
      </c>
      <c r="H258" s="9"/>
      <c r="I258" s="133"/>
      <c r="J258" s="43"/>
      <c r="K258" s="10"/>
    </row>
    <row r="259" ht="22.5" customHeight="1">
      <c r="A259" s="43"/>
      <c r="B259" s="136" t="s">
        <v>4943</v>
      </c>
      <c r="C259" s="136" t="s">
        <v>4944</v>
      </c>
      <c r="D259" s="137" t="s">
        <v>4945</v>
      </c>
      <c r="E259" s="138" t="s">
        <v>11</v>
      </c>
      <c r="F259" s="138" t="s">
        <v>3427</v>
      </c>
      <c r="G259" s="10" t="s">
        <v>4747</v>
      </c>
      <c r="H259" s="9"/>
      <c r="I259" s="133"/>
      <c r="J259" s="43"/>
      <c r="K259" s="10"/>
    </row>
    <row r="260" ht="22.5" customHeight="1">
      <c r="A260" s="43"/>
      <c r="B260" s="140" t="s">
        <v>4946</v>
      </c>
      <c r="C260" s="136" t="s">
        <v>4947</v>
      </c>
      <c r="D260" s="137" t="s">
        <v>4948</v>
      </c>
      <c r="E260" s="139"/>
      <c r="F260" s="139"/>
      <c r="G260" s="10" t="s">
        <v>4949</v>
      </c>
      <c r="H260" s="9"/>
      <c r="I260" s="133"/>
      <c r="J260" s="43"/>
      <c r="K260" s="10"/>
    </row>
    <row r="261" ht="22.5" customHeight="1">
      <c r="A261" s="43"/>
      <c r="B261" s="136" t="s">
        <v>4950</v>
      </c>
      <c r="C261" s="136" t="s">
        <v>4951</v>
      </c>
      <c r="D261" s="137" t="s">
        <v>4952</v>
      </c>
      <c r="E261" s="139"/>
      <c r="F261" s="138" t="s">
        <v>4953</v>
      </c>
      <c r="G261" s="10" t="s">
        <v>4954</v>
      </c>
      <c r="H261" s="9"/>
      <c r="I261" s="133"/>
      <c r="J261" s="43"/>
      <c r="K261" s="10"/>
    </row>
    <row r="262" ht="22.5" customHeight="1">
      <c r="A262" s="43"/>
      <c r="B262" s="136" t="s">
        <v>4955</v>
      </c>
      <c r="C262" s="136" t="s">
        <v>4956</v>
      </c>
      <c r="D262" s="137" t="s">
        <v>4957</v>
      </c>
      <c r="E262" s="138" t="s">
        <v>4958</v>
      </c>
      <c r="F262" s="138" t="s">
        <v>229</v>
      </c>
      <c r="G262" s="10" t="s">
        <v>4959</v>
      </c>
      <c r="H262" s="9"/>
      <c r="I262" s="133"/>
      <c r="J262" s="43"/>
      <c r="K262" s="10"/>
    </row>
    <row r="263" ht="22.5" customHeight="1">
      <c r="A263" s="43"/>
      <c r="B263" s="136" t="s">
        <v>4960</v>
      </c>
      <c r="C263" s="136" t="s">
        <v>4961</v>
      </c>
      <c r="D263" s="137" t="s">
        <v>4962</v>
      </c>
      <c r="E263" s="139"/>
      <c r="F263" s="139"/>
      <c r="G263" s="10" t="s">
        <v>4963</v>
      </c>
      <c r="H263" s="9"/>
      <c r="I263" s="133"/>
      <c r="J263" s="43"/>
      <c r="K263" s="10"/>
    </row>
    <row r="264" ht="22.5" customHeight="1">
      <c r="A264" s="43"/>
      <c r="B264" s="136" t="s">
        <v>4964</v>
      </c>
      <c r="C264" s="136" t="s">
        <v>4965</v>
      </c>
      <c r="D264" s="137" t="s">
        <v>4966</v>
      </c>
      <c r="E264" s="139"/>
      <c r="F264" s="139"/>
      <c r="G264" s="10" t="s">
        <v>4967</v>
      </c>
      <c r="H264" s="9"/>
      <c r="I264" s="133"/>
      <c r="J264" s="43"/>
      <c r="K264" s="10"/>
    </row>
    <row r="265" ht="22.5" customHeight="1">
      <c r="A265" s="43"/>
      <c r="B265" s="136" t="s">
        <v>4968</v>
      </c>
      <c r="C265" s="136" t="s">
        <v>4969</v>
      </c>
      <c r="D265" s="137" t="s">
        <v>4970</v>
      </c>
      <c r="E265" s="138" t="s">
        <v>4971</v>
      </c>
      <c r="F265" s="138" t="s">
        <v>4972</v>
      </c>
      <c r="G265" s="10" t="s">
        <v>4927</v>
      </c>
      <c r="H265" s="9"/>
      <c r="I265" s="133"/>
      <c r="J265" s="43"/>
      <c r="K265" s="10"/>
    </row>
    <row r="266" ht="22.5" customHeight="1">
      <c r="A266" s="43"/>
      <c r="B266" s="136" t="s">
        <v>4973</v>
      </c>
      <c r="C266" s="136" t="s">
        <v>4974</v>
      </c>
      <c r="D266" s="137" t="s">
        <v>4975</v>
      </c>
      <c r="E266" s="138" t="s">
        <v>1085</v>
      </c>
      <c r="F266" s="138" t="s">
        <v>133</v>
      </c>
      <c r="G266" s="10" t="s">
        <v>4829</v>
      </c>
      <c r="H266" s="9"/>
      <c r="I266" s="133"/>
      <c r="J266" s="43"/>
      <c r="K266" s="10"/>
    </row>
    <row r="267" ht="22.5" customHeight="1">
      <c r="A267" s="43"/>
      <c r="B267" s="136" t="s">
        <v>4976</v>
      </c>
      <c r="C267" s="136" t="s">
        <v>4977</v>
      </c>
      <c r="D267" s="137" t="s">
        <v>4978</v>
      </c>
      <c r="E267" s="138" t="s">
        <v>3356</v>
      </c>
      <c r="F267" s="138" t="s">
        <v>4979</v>
      </c>
      <c r="G267" s="10" t="s">
        <v>4660</v>
      </c>
      <c r="H267" s="9"/>
      <c r="I267" s="133"/>
      <c r="J267" s="43"/>
      <c r="K267" s="10"/>
    </row>
    <row r="268" ht="22.5" customHeight="1">
      <c r="A268" s="43"/>
      <c r="B268" s="136" t="s">
        <v>4980</v>
      </c>
      <c r="C268" s="136" t="s">
        <v>4981</v>
      </c>
      <c r="D268" s="137" t="s">
        <v>4982</v>
      </c>
      <c r="E268" s="138" t="s">
        <v>11</v>
      </c>
      <c r="F268" s="138" t="s">
        <v>3480</v>
      </c>
      <c r="G268" s="11" t="s">
        <v>4926</v>
      </c>
      <c r="H268" s="9"/>
      <c r="I268" s="133"/>
      <c r="J268" s="43"/>
      <c r="K268" s="10"/>
    </row>
    <row r="269" ht="22.5" customHeight="1">
      <c r="A269" s="43"/>
      <c r="B269" s="136" t="s">
        <v>4983</v>
      </c>
      <c r="C269" s="136" t="s">
        <v>4984</v>
      </c>
      <c r="D269" s="137" t="s">
        <v>4985</v>
      </c>
      <c r="E269" s="138" t="s">
        <v>369</v>
      </c>
      <c r="F269" s="138" t="s">
        <v>3858</v>
      </c>
      <c r="G269" s="10" t="s">
        <v>4870</v>
      </c>
      <c r="H269" s="9"/>
      <c r="I269" s="133"/>
      <c r="J269" s="43"/>
      <c r="K269" s="10"/>
    </row>
    <row r="270" ht="22.5" customHeight="1">
      <c r="A270" s="43"/>
      <c r="B270" s="136" t="s">
        <v>4986</v>
      </c>
      <c r="C270" s="136" t="s">
        <v>4987</v>
      </c>
      <c r="D270" s="137" t="s">
        <v>4988</v>
      </c>
      <c r="E270" s="138" t="s">
        <v>4989</v>
      </c>
      <c r="F270" s="138" t="s">
        <v>309</v>
      </c>
      <c r="G270" s="10" t="s">
        <v>4788</v>
      </c>
      <c r="H270" s="9"/>
      <c r="I270" s="133"/>
      <c r="J270" s="43"/>
      <c r="K270" s="10"/>
    </row>
    <row r="271" ht="22.5" customHeight="1">
      <c r="A271" s="43"/>
      <c r="B271" s="136" t="s">
        <v>4990</v>
      </c>
      <c r="C271" s="136" t="s">
        <v>4991</v>
      </c>
      <c r="D271" s="137" t="s">
        <v>4992</v>
      </c>
      <c r="E271" s="138" t="s">
        <v>222</v>
      </c>
      <c r="F271" s="138" t="s">
        <v>3764</v>
      </c>
      <c r="G271" s="10" t="s">
        <v>4993</v>
      </c>
      <c r="H271" s="9"/>
      <c r="I271" s="133"/>
      <c r="J271" s="43"/>
      <c r="K271" s="10"/>
    </row>
    <row r="272" ht="22.5" customHeight="1">
      <c r="A272" s="43"/>
      <c r="B272" s="136" t="s">
        <v>4994</v>
      </c>
      <c r="C272" s="136" t="s">
        <v>4995</v>
      </c>
      <c r="D272" s="137" t="s">
        <v>4996</v>
      </c>
      <c r="E272" s="138" t="s">
        <v>216</v>
      </c>
      <c r="F272" s="138" t="s">
        <v>4409</v>
      </c>
      <c r="G272" s="10" t="s">
        <v>4619</v>
      </c>
      <c r="H272" s="9"/>
      <c r="I272" s="133"/>
      <c r="J272" s="43"/>
      <c r="K272" s="10"/>
    </row>
    <row r="273" ht="22.5" customHeight="1">
      <c r="A273" s="43"/>
      <c r="B273" s="136" t="s">
        <v>4997</v>
      </c>
      <c r="C273" s="136" t="s">
        <v>4998</v>
      </c>
      <c r="D273" s="137" t="s">
        <v>4999</v>
      </c>
      <c r="E273" s="138" t="s">
        <v>11</v>
      </c>
      <c r="F273" s="138" t="s">
        <v>3378</v>
      </c>
      <c r="G273" s="22"/>
      <c r="H273" s="9"/>
      <c r="I273" s="133"/>
      <c r="J273" s="43"/>
      <c r="K273" s="10"/>
    </row>
    <row r="274" ht="22.5" customHeight="1">
      <c r="A274" s="43"/>
      <c r="B274" s="136" t="s">
        <v>5000</v>
      </c>
      <c r="C274" s="136" t="s">
        <v>5001</v>
      </c>
      <c r="D274" s="137" t="s">
        <v>5002</v>
      </c>
      <c r="E274" s="138" t="s">
        <v>5003</v>
      </c>
      <c r="F274" s="138" t="s">
        <v>5004</v>
      </c>
      <c r="G274" s="10" t="s">
        <v>4993</v>
      </c>
      <c r="H274" s="9"/>
      <c r="I274" s="133"/>
      <c r="J274" s="43"/>
      <c r="K274" s="10"/>
    </row>
    <row r="275" ht="22.5" customHeight="1">
      <c r="A275" s="43"/>
      <c r="B275" s="136" t="s">
        <v>5005</v>
      </c>
      <c r="C275" s="136" t="s">
        <v>5006</v>
      </c>
      <c r="D275" s="137" t="s">
        <v>5007</v>
      </c>
      <c r="E275" s="9"/>
      <c r="F275" s="138" t="s">
        <v>459</v>
      </c>
      <c r="G275" s="10" t="s">
        <v>4870</v>
      </c>
      <c r="H275" s="9"/>
      <c r="I275" s="133"/>
      <c r="J275" s="43"/>
      <c r="K275" s="10"/>
    </row>
    <row r="276" ht="22.5" customHeight="1">
      <c r="A276" s="43"/>
      <c r="B276" s="141" t="s">
        <v>5008</v>
      </c>
      <c r="C276" s="141" t="s">
        <v>5009</v>
      </c>
      <c r="D276" s="142" t="s">
        <v>5010</v>
      </c>
      <c r="E276" s="9"/>
      <c r="F276" s="9"/>
      <c r="G276" s="10" t="s">
        <v>4876</v>
      </c>
      <c r="H276" s="9"/>
      <c r="I276" s="133"/>
      <c r="J276" s="43"/>
      <c r="K276" s="10"/>
    </row>
    <row r="277" ht="22.5" customHeight="1">
      <c r="A277" s="43"/>
      <c r="B277" s="141" t="s">
        <v>5011</v>
      </c>
      <c r="C277" s="141" t="s">
        <v>5012</v>
      </c>
      <c r="D277" s="142" t="s">
        <v>5013</v>
      </c>
      <c r="E277" s="9"/>
      <c r="F277" s="9"/>
      <c r="G277" s="10" t="s">
        <v>4876</v>
      </c>
      <c r="H277" s="9"/>
      <c r="I277" s="133"/>
      <c r="J277" s="43"/>
      <c r="K277" s="10"/>
    </row>
    <row r="278" ht="22.5" customHeight="1">
      <c r="A278" s="43"/>
      <c r="B278" s="141" t="s">
        <v>5014</v>
      </c>
      <c r="C278" s="141" t="s">
        <v>5015</v>
      </c>
      <c r="D278" s="142" t="s">
        <v>5016</v>
      </c>
      <c r="E278" s="9"/>
      <c r="F278" s="9"/>
      <c r="G278" s="10" t="s">
        <v>4876</v>
      </c>
      <c r="H278" s="9"/>
      <c r="I278" s="133"/>
      <c r="J278" s="43"/>
      <c r="K278" s="10"/>
    </row>
    <row r="279" ht="22.5" customHeight="1">
      <c r="A279" s="43"/>
      <c r="B279" s="141" t="s">
        <v>5017</v>
      </c>
      <c r="C279" s="141" t="s">
        <v>5018</v>
      </c>
      <c r="D279" s="142" t="s">
        <v>5019</v>
      </c>
      <c r="E279" s="9"/>
      <c r="F279" s="9"/>
      <c r="G279" s="10" t="s">
        <v>4876</v>
      </c>
      <c r="H279" s="9"/>
      <c r="I279" s="133"/>
      <c r="J279" s="43"/>
      <c r="K279" s="10"/>
    </row>
    <row r="280" ht="22.5" customHeight="1">
      <c r="A280" s="43"/>
      <c r="B280" s="141" t="s">
        <v>5020</v>
      </c>
      <c r="C280" s="141" t="s">
        <v>5021</v>
      </c>
      <c r="D280" s="142" t="s">
        <v>5022</v>
      </c>
      <c r="E280" s="9"/>
      <c r="F280" s="9"/>
      <c r="G280" s="10" t="s">
        <v>4876</v>
      </c>
      <c r="H280" s="9"/>
      <c r="I280" s="133"/>
      <c r="J280" s="43"/>
      <c r="K280" s="10"/>
    </row>
    <row r="281" ht="22.5" customHeight="1">
      <c r="A281" s="43"/>
      <c r="B281" s="141" t="s">
        <v>4451</v>
      </c>
      <c r="C281" s="141" t="s">
        <v>5023</v>
      </c>
      <c r="D281" s="142" t="s">
        <v>5024</v>
      </c>
      <c r="E281" s="9"/>
      <c r="F281" s="9"/>
      <c r="G281" s="10" t="s">
        <v>4876</v>
      </c>
      <c r="H281" s="9"/>
      <c r="I281" s="133"/>
      <c r="J281" s="43"/>
      <c r="K281" s="10"/>
    </row>
    <row r="282" ht="22.5" customHeight="1">
      <c r="A282" s="43"/>
      <c r="B282" s="141" t="s">
        <v>5025</v>
      </c>
      <c r="C282" s="141" t="s">
        <v>5026</v>
      </c>
      <c r="D282" s="142" t="s">
        <v>5027</v>
      </c>
      <c r="E282" s="9"/>
      <c r="F282" s="9"/>
      <c r="G282" s="10" t="s">
        <v>4876</v>
      </c>
      <c r="H282" s="9"/>
      <c r="I282" s="133"/>
      <c r="J282" s="43"/>
      <c r="K282" s="10"/>
    </row>
    <row r="283" ht="22.5" customHeight="1">
      <c r="A283" s="43"/>
      <c r="B283" s="141" t="s">
        <v>5028</v>
      </c>
      <c r="C283" s="141" t="s">
        <v>5029</v>
      </c>
      <c r="D283" s="142" t="s">
        <v>5030</v>
      </c>
      <c r="E283" s="9"/>
      <c r="F283" s="9"/>
      <c r="G283" s="22"/>
      <c r="H283" s="9"/>
      <c r="I283" s="133"/>
      <c r="J283" s="43"/>
      <c r="K283" s="10"/>
    </row>
    <row r="284" ht="22.5" customHeight="1">
      <c r="A284" s="43"/>
      <c r="B284" s="141" t="s">
        <v>5031</v>
      </c>
      <c r="C284" s="141" t="s">
        <v>5032</v>
      </c>
      <c r="D284" s="142" t="s">
        <v>5033</v>
      </c>
      <c r="E284" s="9"/>
      <c r="F284" s="9"/>
      <c r="G284" s="10" t="s">
        <v>4870</v>
      </c>
      <c r="H284" s="9"/>
      <c r="I284" s="133"/>
      <c r="J284" s="43"/>
      <c r="K284" s="10"/>
    </row>
    <row r="285" ht="22.5" customHeight="1">
      <c r="A285" s="43"/>
      <c r="B285" s="141" t="s">
        <v>5034</v>
      </c>
      <c r="C285" s="141" t="s">
        <v>5035</v>
      </c>
      <c r="D285" s="142" t="s">
        <v>5036</v>
      </c>
      <c r="E285" s="9"/>
      <c r="F285" s="9"/>
      <c r="G285" s="10" t="s">
        <v>4870</v>
      </c>
      <c r="H285" s="9"/>
      <c r="I285" s="133"/>
      <c r="J285" s="43"/>
      <c r="K285" s="10"/>
    </row>
    <row r="286" ht="22.5" customHeight="1">
      <c r="A286" s="43"/>
      <c r="B286" s="141" t="s">
        <v>5037</v>
      </c>
      <c r="C286" s="141" t="s">
        <v>5038</v>
      </c>
      <c r="D286" s="142" t="s">
        <v>5039</v>
      </c>
      <c r="E286" s="9"/>
      <c r="F286" s="9"/>
      <c r="G286" s="10" t="s">
        <v>4870</v>
      </c>
      <c r="H286" s="9"/>
      <c r="I286" s="133"/>
      <c r="J286" s="43"/>
      <c r="K286" s="10"/>
    </row>
    <row r="287" ht="22.5" customHeight="1">
      <c r="A287" s="43"/>
      <c r="B287" s="141" t="s">
        <v>5040</v>
      </c>
      <c r="C287" s="141" t="s">
        <v>5041</v>
      </c>
      <c r="D287" s="142" t="s">
        <v>5042</v>
      </c>
      <c r="E287" s="9"/>
      <c r="F287" s="9"/>
      <c r="G287" s="10" t="s">
        <v>4870</v>
      </c>
      <c r="H287" s="9"/>
      <c r="I287" s="133"/>
      <c r="J287" s="43"/>
      <c r="K287" s="10"/>
    </row>
    <row r="288" ht="22.5" customHeight="1">
      <c r="A288" s="43"/>
      <c r="B288" s="141" t="s">
        <v>5043</v>
      </c>
      <c r="C288" s="141" t="s">
        <v>5044</v>
      </c>
      <c r="D288" s="142" t="s">
        <v>5045</v>
      </c>
      <c r="E288" s="9"/>
      <c r="F288" s="9"/>
      <c r="G288" s="10" t="s">
        <v>4870</v>
      </c>
      <c r="H288" s="9"/>
      <c r="I288" s="133"/>
      <c r="J288" s="43"/>
      <c r="K288" s="10"/>
    </row>
    <row r="289" ht="22.5" customHeight="1">
      <c r="A289" s="43"/>
      <c r="B289" s="141" t="s">
        <v>5046</v>
      </c>
      <c r="C289" s="141" t="s">
        <v>5047</v>
      </c>
      <c r="D289" s="142" t="s">
        <v>5048</v>
      </c>
      <c r="E289" s="9"/>
      <c r="F289" s="9"/>
      <c r="G289" s="10" t="s">
        <v>4870</v>
      </c>
      <c r="H289" s="9"/>
      <c r="I289" s="133"/>
      <c r="J289" s="43"/>
      <c r="K289" s="10"/>
    </row>
    <row r="290" ht="22.5" customHeight="1">
      <c r="A290" s="43"/>
      <c r="B290" s="141" t="s">
        <v>5049</v>
      </c>
      <c r="C290" s="141" t="s">
        <v>5050</v>
      </c>
      <c r="D290" s="142" t="s">
        <v>5051</v>
      </c>
      <c r="E290" s="9"/>
      <c r="F290" s="9"/>
      <c r="G290" s="10" t="s">
        <v>4870</v>
      </c>
      <c r="H290" s="9"/>
      <c r="I290" s="133"/>
      <c r="J290" s="43"/>
      <c r="K290" s="10"/>
    </row>
    <row r="291" ht="22.5" customHeight="1">
      <c r="A291" s="43"/>
      <c r="B291" s="141" t="s">
        <v>5052</v>
      </c>
      <c r="C291" s="141" t="s">
        <v>5053</v>
      </c>
      <c r="D291" s="142" t="s">
        <v>5054</v>
      </c>
      <c r="E291" s="9"/>
      <c r="F291" s="9"/>
      <c r="G291" s="10" t="s">
        <v>4870</v>
      </c>
      <c r="H291" s="9"/>
      <c r="I291" s="133"/>
      <c r="J291" s="43"/>
      <c r="K291" s="10"/>
    </row>
    <row r="292" ht="22.5" customHeight="1">
      <c r="A292" s="43"/>
      <c r="B292" s="141" t="s">
        <v>5055</v>
      </c>
      <c r="C292" s="141" t="s">
        <v>5056</v>
      </c>
      <c r="D292" s="142" t="s">
        <v>5057</v>
      </c>
      <c r="E292" s="9"/>
      <c r="F292" s="9"/>
      <c r="G292" s="10" t="s">
        <v>4870</v>
      </c>
      <c r="H292" s="9"/>
      <c r="I292" s="133"/>
      <c r="J292" s="43"/>
      <c r="K292" s="10"/>
    </row>
    <row r="293" ht="22.5" customHeight="1">
      <c r="A293" s="43"/>
      <c r="B293" s="141" t="s">
        <v>5058</v>
      </c>
      <c r="C293" s="141" t="s">
        <v>5059</v>
      </c>
      <c r="D293" s="142" t="s">
        <v>5060</v>
      </c>
      <c r="E293" s="9"/>
      <c r="F293" s="9"/>
      <c r="G293" s="10" t="s">
        <v>4619</v>
      </c>
      <c r="H293" s="9"/>
      <c r="I293" s="133"/>
      <c r="J293" s="43"/>
      <c r="K293" s="10"/>
    </row>
    <row r="294" ht="22.5" customHeight="1">
      <c r="A294" s="43"/>
      <c r="B294" s="141" t="s">
        <v>5061</v>
      </c>
      <c r="C294" s="141" t="s">
        <v>5062</v>
      </c>
      <c r="D294" s="142" t="s">
        <v>5063</v>
      </c>
      <c r="E294" s="9"/>
      <c r="F294" s="9"/>
      <c r="G294" s="10" t="s">
        <v>4619</v>
      </c>
      <c r="H294" s="9"/>
      <c r="I294" s="133"/>
      <c r="J294" s="43"/>
      <c r="K294" s="10"/>
    </row>
    <row r="295" ht="22.5" customHeight="1">
      <c r="A295" s="43"/>
      <c r="B295" s="141" t="s">
        <v>5064</v>
      </c>
      <c r="C295" s="141" t="s">
        <v>5065</v>
      </c>
      <c r="D295" s="142" t="s">
        <v>5066</v>
      </c>
      <c r="E295" s="9"/>
      <c r="F295" s="9"/>
      <c r="G295" s="10" t="s">
        <v>4619</v>
      </c>
      <c r="H295" s="9"/>
      <c r="I295" s="133"/>
      <c r="J295" s="43"/>
      <c r="K295" s="10"/>
    </row>
    <row r="296" ht="22.5" customHeight="1">
      <c r="A296" s="43"/>
      <c r="B296" s="141" t="s">
        <v>5067</v>
      </c>
      <c r="C296" s="141" t="s">
        <v>5068</v>
      </c>
      <c r="D296" s="142" t="s">
        <v>5069</v>
      </c>
      <c r="E296" s="9"/>
      <c r="F296" s="9"/>
      <c r="G296" s="10" t="s">
        <v>4619</v>
      </c>
      <c r="H296" s="9"/>
      <c r="I296" s="133"/>
      <c r="J296" s="43"/>
      <c r="K296" s="10"/>
    </row>
    <row r="297" ht="22.5" customHeight="1">
      <c r="A297" s="43"/>
      <c r="B297" s="141" t="s">
        <v>5070</v>
      </c>
      <c r="C297" s="141" t="s">
        <v>5071</v>
      </c>
      <c r="D297" s="142" t="s">
        <v>5072</v>
      </c>
      <c r="E297" s="9"/>
      <c r="F297" s="9"/>
      <c r="G297" s="10" t="s">
        <v>4619</v>
      </c>
      <c r="H297" s="9"/>
      <c r="I297" s="133"/>
      <c r="J297" s="43"/>
      <c r="K297" s="10"/>
    </row>
    <row r="298" ht="22.5" customHeight="1">
      <c r="A298" s="43"/>
      <c r="B298" s="141" t="s">
        <v>5073</v>
      </c>
      <c r="C298" s="141" t="s">
        <v>5074</v>
      </c>
      <c r="D298" s="142" t="s">
        <v>5075</v>
      </c>
      <c r="E298" s="9"/>
      <c r="F298" s="9"/>
      <c r="G298" s="10" t="s">
        <v>4619</v>
      </c>
      <c r="H298" s="9"/>
      <c r="I298" s="133"/>
      <c r="J298" s="43"/>
      <c r="K298" s="10"/>
    </row>
    <row r="299" ht="22.5" customHeight="1">
      <c r="A299" s="43"/>
      <c r="B299" s="141" t="s">
        <v>5076</v>
      </c>
      <c r="C299" s="141" t="s">
        <v>5077</v>
      </c>
      <c r="D299" s="142" t="s">
        <v>5078</v>
      </c>
      <c r="E299" s="9"/>
      <c r="F299" s="9"/>
      <c r="G299" s="10" t="s">
        <v>4619</v>
      </c>
      <c r="H299" s="9"/>
      <c r="I299" s="133"/>
      <c r="J299" s="43"/>
      <c r="K299" s="10"/>
    </row>
    <row r="300" ht="22.5" customHeight="1">
      <c r="A300" s="43"/>
      <c r="B300" s="141" t="s">
        <v>5079</v>
      </c>
      <c r="C300" s="141" t="s">
        <v>5080</v>
      </c>
      <c r="D300" s="142" t="s">
        <v>5081</v>
      </c>
      <c r="E300" s="9"/>
      <c r="F300" s="9"/>
      <c r="G300" s="10" t="s">
        <v>4619</v>
      </c>
      <c r="H300" s="9"/>
      <c r="I300" s="133"/>
      <c r="J300" s="43"/>
      <c r="K300" s="10"/>
    </row>
    <row r="301" ht="22.5" customHeight="1">
      <c r="A301" s="43"/>
      <c r="B301" s="141" t="s">
        <v>5082</v>
      </c>
      <c r="C301" s="141" t="s">
        <v>5083</v>
      </c>
      <c r="D301" s="142" t="s">
        <v>5084</v>
      </c>
      <c r="E301" s="9"/>
      <c r="F301" s="9"/>
      <c r="G301" s="10" t="s">
        <v>4619</v>
      </c>
      <c r="H301" s="9"/>
      <c r="I301" s="133"/>
      <c r="J301" s="43"/>
      <c r="K301" s="10"/>
    </row>
    <row r="302" ht="22.5" customHeight="1">
      <c r="A302" s="43"/>
      <c r="B302" s="141" t="s">
        <v>5085</v>
      </c>
      <c r="C302" s="141" t="s">
        <v>5086</v>
      </c>
      <c r="D302" s="142" t="s">
        <v>5087</v>
      </c>
      <c r="E302" s="9"/>
      <c r="F302" s="9"/>
      <c r="G302" s="10" t="s">
        <v>4619</v>
      </c>
      <c r="H302" s="9"/>
      <c r="I302" s="133"/>
      <c r="J302" s="43"/>
      <c r="K302" s="10"/>
    </row>
    <row r="303" ht="22.5" customHeight="1">
      <c r="A303" s="43"/>
      <c r="B303" s="141" t="s">
        <v>5088</v>
      </c>
      <c r="C303" s="141" t="s">
        <v>5089</v>
      </c>
      <c r="D303" s="142" t="s">
        <v>5090</v>
      </c>
      <c r="E303" s="9"/>
      <c r="F303" s="9"/>
      <c r="G303" s="22"/>
      <c r="H303" s="9"/>
      <c r="I303" s="133"/>
      <c r="J303" s="43"/>
      <c r="K303" s="10"/>
    </row>
    <row r="304" ht="22.5" customHeight="1">
      <c r="A304" s="43"/>
      <c r="B304" s="141" t="s">
        <v>5091</v>
      </c>
      <c r="C304" s="141" t="s">
        <v>5092</v>
      </c>
      <c r="D304" s="142" t="s">
        <v>5093</v>
      </c>
      <c r="E304" s="9"/>
      <c r="F304" s="9"/>
      <c r="G304" s="22"/>
      <c r="H304" s="9"/>
      <c r="I304" s="133"/>
      <c r="J304" s="43"/>
      <c r="K304" s="10"/>
    </row>
    <row r="305" ht="22.5" customHeight="1">
      <c r="A305" s="43"/>
      <c r="B305" s="141" t="s">
        <v>5094</v>
      </c>
      <c r="C305" s="141" t="s">
        <v>5095</v>
      </c>
      <c r="D305" s="142" t="s">
        <v>5096</v>
      </c>
      <c r="E305" s="9"/>
      <c r="F305" s="9"/>
      <c r="G305" s="22"/>
      <c r="H305" s="9"/>
      <c r="I305" s="133"/>
      <c r="J305" s="43"/>
      <c r="K305" s="10"/>
    </row>
    <row r="306" ht="22.5" customHeight="1">
      <c r="A306" s="43"/>
      <c r="B306" s="141" t="s">
        <v>5097</v>
      </c>
      <c r="C306" s="141" t="s">
        <v>5098</v>
      </c>
      <c r="D306" s="142" t="s">
        <v>5099</v>
      </c>
      <c r="E306" s="9"/>
      <c r="F306" s="9"/>
      <c r="G306" s="22"/>
      <c r="H306" s="9"/>
      <c r="I306" s="133"/>
      <c r="J306" s="43"/>
      <c r="K306" s="10"/>
    </row>
    <row r="307" ht="22.5" customHeight="1">
      <c r="A307" s="43"/>
      <c r="B307" s="141" t="s">
        <v>4399</v>
      </c>
      <c r="C307" s="141" t="s">
        <v>5100</v>
      </c>
      <c r="D307" s="142" t="s">
        <v>5101</v>
      </c>
      <c r="E307" s="9"/>
      <c r="F307" s="9"/>
      <c r="G307" s="22"/>
      <c r="H307" s="9"/>
      <c r="I307" s="133"/>
      <c r="J307" s="43"/>
      <c r="K307" s="10"/>
    </row>
    <row r="308" ht="22.5" customHeight="1">
      <c r="A308" s="43"/>
      <c r="B308" s="141" t="s">
        <v>5102</v>
      </c>
      <c r="C308" s="141" t="s">
        <v>5103</v>
      </c>
      <c r="D308" s="142" t="s">
        <v>5104</v>
      </c>
      <c r="E308" s="9"/>
      <c r="F308" s="9"/>
      <c r="G308" s="22"/>
      <c r="H308" s="9"/>
      <c r="I308" s="133"/>
      <c r="J308" s="43"/>
      <c r="K308" s="10"/>
    </row>
    <row r="309" ht="22.5" customHeight="1">
      <c r="A309" s="43"/>
      <c r="B309" s="141" t="s">
        <v>5105</v>
      </c>
      <c r="C309" s="141" t="s">
        <v>5106</v>
      </c>
      <c r="D309" s="142" t="s">
        <v>5107</v>
      </c>
      <c r="E309" s="9"/>
      <c r="F309" s="9"/>
      <c r="G309" s="22"/>
      <c r="H309" s="9"/>
      <c r="I309" s="133"/>
      <c r="J309" s="43"/>
      <c r="K309" s="10"/>
    </row>
    <row r="310" ht="22.5" customHeight="1">
      <c r="A310" s="43"/>
      <c r="B310" s="141" t="s">
        <v>5108</v>
      </c>
      <c r="C310" s="141" t="s">
        <v>5109</v>
      </c>
      <c r="D310" s="142" t="s">
        <v>5110</v>
      </c>
      <c r="E310" s="9"/>
      <c r="F310" s="9"/>
      <c r="G310" s="22"/>
      <c r="H310" s="9"/>
      <c r="I310" s="133"/>
      <c r="J310" s="43"/>
      <c r="K310" s="10"/>
    </row>
    <row r="311" ht="22.5" customHeight="1">
      <c r="A311" s="43"/>
      <c r="B311" s="141" t="s">
        <v>5111</v>
      </c>
      <c r="C311" s="141" t="s">
        <v>5112</v>
      </c>
      <c r="D311" s="142" t="s">
        <v>5113</v>
      </c>
      <c r="E311" s="9"/>
      <c r="F311" s="9"/>
      <c r="G311" s="22"/>
      <c r="H311" s="9"/>
      <c r="I311" s="133"/>
      <c r="J311" s="43"/>
      <c r="K311" s="10"/>
    </row>
    <row r="312" ht="22.5" customHeight="1">
      <c r="A312" s="43"/>
      <c r="B312" s="141" t="s">
        <v>5114</v>
      </c>
      <c r="C312" s="141" t="s">
        <v>5115</v>
      </c>
      <c r="D312" s="142" t="s">
        <v>5116</v>
      </c>
      <c r="E312" s="9"/>
      <c r="F312" s="9"/>
      <c r="G312" s="22"/>
      <c r="H312" s="9"/>
      <c r="I312" s="133"/>
      <c r="J312" s="43"/>
      <c r="K312" s="10"/>
    </row>
    <row r="313" ht="22.5" customHeight="1">
      <c r="A313" s="43"/>
      <c r="B313" s="141" t="s">
        <v>4420</v>
      </c>
      <c r="C313" s="141" t="s">
        <v>4421</v>
      </c>
      <c r="D313" s="142" t="s">
        <v>5117</v>
      </c>
      <c r="E313" s="9"/>
      <c r="F313" s="9"/>
      <c r="G313" s="22"/>
      <c r="H313" s="9"/>
      <c r="I313" s="133"/>
      <c r="J313" s="43"/>
      <c r="K313" s="10"/>
    </row>
    <row r="314" ht="22.5" customHeight="1">
      <c r="A314" s="43"/>
      <c r="B314" s="141" t="s">
        <v>5118</v>
      </c>
      <c r="C314" s="141" t="s">
        <v>5119</v>
      </c>
      <c r="D314" s="142" t="s">
        <v>5120</v>
      </c>
      <c r="E314" s="9"/>
      <c r="F314" s="9"/>
      <c r="G314" s="22"/>
      <c r="H314" s="9"/>
      <c r="I314" s="133"/>
      <c r="J314" s="43"/>
      <c r="K314" s="10"/>
    </row>
    <row r="315" ht="22.5" customHeight="1">
      <c r="A315" s="43"/>
      <c r="B315" s="141" t="s">
        <v>5121</v>
      </c>
      <c r="C315" s="141" t="s">
        <v>5122</v>
      </c>
      <c r="D315" s="142" t="s">
        <v>5123</v>
      </c>
      <c r="E315" s="9"/>
      <c r="F315" s="9"/>
      <c r="G315" s="22"/>
      <c r="H315" s="9"/>
      <c r="I315" s="133"/>
      <c r="J315" s="43"/>
      <c r="K315" s="10"/>
    </row>
    <row r="316" ht="22.5" customHeight="1">
      <c r="A316" s="43"/>
      <c r="B316" s="141" t="s">
        <v>5124</v>
      </c>
      <c r="C316" s="141" t="s">
        <v>5125</v>
      </c>
      <c r="D316" s="142" t="s">
        <v>5126</v>
      </c>
      <c r="E316" s="9"/>
      <c r="F316" s="9"/>
      <c r="G316" s="22"/>
      <c r="H316" s="9"/>
      <c r="I316" s="133"/>
      <c r="J316" s="43"/>
      <c r="K316" s="10"/>
    </row>
    <row r="317" ht="22.5" customHeight="1">
      <c r="A317" s="43"/>
      <c r="B317" s="141" t="s">
        <v>5127</v>
      </c>
      <c r="C317" s="141" t="s">
        <v>5128</v>
      </c>
      <c r="D317" s="142" t="s">
        <v>5129</v>
      </c>
      <c r="E317" s="9"/>
      <c r="F317" s="9"/>
      <c r="G317" s="22"/>
      <c r="H317" s="9"/>
      <c r="I317" s="133"/>
      <c r="J317" s="43"/>
      <c r="K317" s="10"/>
    </row>
    <row r="318" ht="22.5" customHeight="1">
      <c r="A318" s="43"/>
      <c r="B318" s="141" t="s">
        <v>5130</v>
      </c>
      <c r="C318" s="141" t="s">
        <v>5131</v>
      </c>
      <c r="D318" s="142" t="s">
        <v>5132</v>
      </c>
      <c r="E318" s="9"/>
      <c r="F318" s="9"/>
      <c r="G318" s="22"/>
      <c r="H318" s="9"/>
      <c r="I318" s="133"/>
      <c r="J318" s="43"/>
      <c r="K318" s="10"/>
    </row>
  </sheetData>
  <dataValidations>
    <dataValidation type="list" allowBlank="1" sqref="K3:K318">
      <formula1>"Calude AI,Meta Lead"</formula1>
    </dataValidation>
    <dataValidation type="list" allowBlank="1" sqref="G3:G318">
      <formula1>"Sushil,Smruti Ranjan Parida,Sudarsan Rao,Kedarnath Nayak,Kalyan Chakravarthy,Ms. Amisha Patro,Ms. Swapnakita,Dr. Kalee Prasanaa Pattnaik,Ms. Prativa,Sudhir Tiwari,Mr. Jugal,Divya,Dayashree,Dr. Sushant,Dr. Girish,Chinmayee,Mr. Isboseb,Mr. Pratap,Dr. Mehaza"&amp;"been,Dr. Amir Behera,Dr. Kalyan Chakravarthy"</formula1>
    </dataValidation>
    <dataValidation type="list" allowBlank="1" showErrorMessage="1" sqref="I3:I318">
      <formula1>"Intersted,Follow up Required,Not Internsted,Not Reachable,Campus Visit,Wrong Number,Not Called"</formula1>
    </dataValidation>
  </dataValidation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63"/>
    <col customWidth="1" min="4" max="4" width="17.5"/>
    <col customWidth="1" min="7" max="8" width="36.25"/>
    <col customWidth="1" min="9" max="9" width="14.38"/>
    <col customWidth="1" min="10" max="10" width="13.0"/>
  </cols>
  <sheetData>
    <row r="2" ht="22.5" customHeight="1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40" t="s">
        <v>901</v>
      </c>
      <c r="I2" s="4" t="s">
        <v>7</v>
      </c>
      <c r="J2" s="3" t="s">
        <v>8</v>
      </c>
      <c r="K2" s="5" t="s">
        <v>9</v>
      </c>
    </row>
    <row r="3" ht="22.5" customHeight="1">
      <c r="G3" s="54"/>
      <c r="H3" s="115"/>
      <c r="I3" s="54"/>
      <c r="K3" s="11" t="s">
        <v>16</v>
      </c>
    </row>
  </sheetData>
  <dataValidations>
    <dataValidation type="list" allowBlank="1" sqref="K3">
      <formula1>"Calude AI,Meta Lead"</formula1>
    </dataValidation>
    <dataValidation type="list" allowBlank="1" showErrorMessage="1" sqref="I3">
      <formula1>"Intersted,Follow up Required,Not Internsted,Not Reachable,Campus Visit,Wrong Number,Not Called"</formula1>
    </dataValidation>
    <dataValidation type="list" allowBlank="1" showErrorMessage="1" sqref="G3">
      <formula1>"Faculty 1,Faculty 2"</formula1>
    </dataValidation>
  </dataValidations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63"/>
    <col customWidth="1" min="4" max="4" width="17.5"/>
    <col customWidth="1" min="7" max="8" width="36.25"/>
    <col customWidth="1" min="9" max="9" width="14.38"/>
    <col customWidth="1" min="10" max="10" width="13.0"/>
  </cols>
  <sheetData>
    <row r="2" ht="22.5" customHeight="1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40" t="s">
        <v>901</v>
      </c>
      <c r="I2" s="4" t="s">
        <v>7</v>
      </c>
      <c r="J2" s="3" t="s">
        <v>8</v>
      </c>
      <c r="K2" s="5" t="s">
        <v>9</v>
      </c>
    </row>
    <row r="3" ht="22.5" customHeight="1">
      <c r="G3" s="54"/>
      <c r="H3" s="115"/>
      <c r="I3" s="54"/>
      <c r="K3" s="11" t="s">
        <v>16</v>
      </c>
    </row>
  </sheetData>
  <dataValidations>
    <dataValidation type="list" allowBlank="1" sqref="K3">
      <formula1>"Calude AI,Meta Lead"</formula1>
    </dataValidation>
    <dataValidation type="list" allowBlank="1" showErrorMessage="1" sqref="I3">
      <formula1>"Intersted,Follow up Required,Not Internsted,Not Reachable,Campus Visit,Wrong Number,Not Called"</formula1>
    </dataValidation>
    <dataValidation type="list" allowBlank="1" showErrorMessage="1" sqref="G3">
      <formula1>"Faculty 1,Faculty 2"</formula1>
    </dataValidation>
  </dataValidations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63"/>
    <col customWidth="1" min="3" max="3" width="23.38"/>
    <col customWidth="1" min="4" max="4" width="17.5"/>
    <col customWidth="1" min="7" max="8" width="36.25"/>
    <col customWidth="1" min="10" max="10" width="13.0"/>
  </cols>
  <sheetData>
    <row r="2" ht="22.5" customHeight="1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40" t="s">
        <v>901</v>
      </c>
      <c r="I2" s="4" t="s">
        <v>7</v>
      </c>
      <c r="J2" s="3" t="s">
        <v>8</v>
      </c>
      <c r="K2" s="5" t="s">
        <v>9</v>
      </c>
    </row>
    <row r="3" ht="22.5" customHeight="1">
      <c r="B3" s="27" t="s">
        <v>1726</v>
      </c>
      <c r="C3" s="27" t="s">
        <v>5133</v>
      </c>
      <c r="D3" s="28">
        <v>9.948968757E9</v>
      </c>
      <c r="E3" s="143"/>
      <c r="F3" s="143"/>
      <c r="G3" s="144">
        <v>46087.50519675926</v>
      </c>
      <c r="H3" s="27" t="s">
        <v>1729</v>
      </c>
      <c r="I3" s="70" t="s">
        <v>1727</v>
      </c>
      <c r="J3" s="27" t="s">
        <v>5134</v>
      </c>
      <c r="K3" s="145">
        <v>25.0</v>
      </c>
    </row>
    <row r="4" ht="22.5" customHeight="1">
      <c r="A4" s="9"/>
      <c r="B4" s="27" t="s">
        <v>1730</v>
      </c>
      <c r="C4" s="27" t="s">
        <v>5135</v>
      </c>
      <c r="D4" s="28">
        <v>8.019870182E9</v>
      </c>
      <c r="E4" s="29"/>
      <c r="F4" s="143"/>
      <c r="G4" s="144">
        <v>46087.50519675926</v>
      </c>
      <c r="H4" s="27" t="s">
        <v>1731</v>
      </c>
      <c r="I4" s="70" t="s">
        <v>1727</v>
      </c>
      <c r="J4" s="27" t="s">
        <v>5134</v>
      </c>
      <c r="K4" s="145">
        <v>25.0</v>
      </c>
    </row>
    <row r="5" ht="22.5" customHeight="1">
      <c r="A5" s="9"/>
      <c r="B5" s="27" t="s">
        <v>1732</v>
      </c>
      <c r="C5" s="27" t="s">
        <v>5136</v>
      </c>
      <c r="D5" s="28">
        <v>9.014721103E9</v>
      </c>
      <c r="E5" s="29"/>
      <c r="F5" s="143"/>
      <c r="G5" s="144">
        <v>46087.50519675926</v>
      </c>
      <c r="H5" s="27" t="s">
        <v>1729</v>
      </c>
      <c r="I5" s="70" t="s">
        <v>1727</v>
      </c>
      <c r="J5" s="27" t="s">
        <v>5134</v>
      </c>
      <c r="K5" s="145">
        <v>25.0</v>
      </c>
    </row>
    <row r="6" ht="22.5" customHeight="1">
      <c r="B6" s="27" t="s">
        <v>1733</v>
      </c>
      <c r="C6" s="27" t="s">
        <v>5137</v>
      </c>
      <c r="D6" s="28">
        <v>8.639067583E9</v>
      </c>
      <c r="E6" s="29"/>
      <c r="F6" s="143"/>
      <c r="G6" s="144">
        <v>46087.50519675926</v>
      </c>
      <c r="H6" s="27" t="s">
        <v>1729</v>
      </c>
      <c r="I6" s="70" t="s">
        <v>1727</v>
      </c>
      <c r="J6" s="27" t="s">
        <v>5134</v>
      </c>
      <c r="K6" s="145">
        <v>25.0</v>
      </c>
    </row>
    <row r="7" ht="22.5" customHeight="1">
      <c r="A7" s="9"/>
      <c r="B7" s="27" t="s">
        <v>1734</v>
      </c>
      <c r="C7" s="27" t="s">
        <v>5138</v>
      </c>
      <c r="D7" s="28">
        <v>9.396868237E9</v>
      </c>
      <c r="E7" s="29"/>
      <c r="F7" s="143"/>
      <c r="G7" s="144">
        <v>46087.50519675926</v>
      </c>
      <c r="H7" s="27" t="s">
        <v>1729</v>
      </c>
      <c r="I7" s="70" t="s">
        <v>1727</v>
      </c>
      <c r="J7" s="27" t="s">
        <v>5134</v>
      </c>
      <c r="K7" s="145">
        <v>25.0</v>
      </c>
    </row>
    <row r="8" ht="22.5" customHeight="1">
      <c r="A8" s="9"/>
      <c r="B8" s="27" t="s">
        <v>1735</v>
      </c>
      <c r="C8" s="27" t="s">
        <v>5139</v>
      </c>
      <c r="D8" s="28">
        <v>8.019540687E9</v>
      </c>
      <c r="E8" s="29"/>
      <c r="F8" s="143"/>
      <c r="G8" s="144">
        <v>46087.50519675926</v>
      </c>
      <c r="H8" s="27" t="s">
        <v>1731</v>
      </c>
      <c r="I8" s="70" t="s">
        <v>1727</v>
      </c>
      <c r="J8" s="27" t="s">
        <v>5134</v>
      </c>
      <c r="K8" s="145">
        <v>25.0</v>
      </c>
    </row>
    <row r="9" ht="22.5" customHeight="1">
      <c r="B9" s="27" t="s">
        <v>1736</v>
      </c>
      <c r="C9" s="27" t="s">
        <v>5140</v>
      </c>
      <c r="D9" s="28">
        <v>7.569492038E9</v>
      </c>
      <c r="E9" s="29"/>
      <c r="F9" s="143"/>
      <c r="G9" s="144">
        <v>46087.50519675926</v>
      </c>
      <c r="H9" s="27" t="s">
        <v>1729</v>
      </c>
      <c r="I9" s="70" t="s">
        <v>1727</v>
      </c>
      <c r="J9" s="27" t="s">
        <v>5134</v>
      </c>
      <c r="K9" s="145">
        <v>25.0</v>
      </c>
    </row>
    <row r="10" ht="22.5" customHeight="1">
      <c r="A10" s="9"/>
      <c r="B10" s="27" t="s">
        <v>1737</v>
      </c>
      <c r="C10" s="27" t="s">
        <v>5141</v>
      </c>
      <c r="D10" s="28">
        <v>9.542374419E9</v>
      </c>
      <c r="E10" s="29"/>
      <c r="F10" s="143"/>
      <c r="G10" s="144">
        <v>46087.50519675926</v>
      </c>
      <c r="H10" s="27" t="s">
        <v>1729</v>
      </c>
      <c r="I10" s="70" t="s">
        <v>1727</v>
      </c>
      <c r="J10" s="27" t="s">
        <v>5134</v>
      </c>
      <c r="K10" s="145">
        <v>25.0</v>
      </c>
    </row>
    <row r="11" ht="22.5" customHeight="1">
      <c r="A11" s="9"/>
      <c r="B11" s="27" t="s">
        <v>1738</v>
      </c>
      <c r="C11" s="27" t="s">
        <v>5142</v>
      </c>
      <c r="D11" s="28">
        <v>9.392547604E9</v>
      </c>
      <c r="E11" s="29"/>
      <c r="F11" s="143"/>
      <c r="G11" s="144">
        <v>46087.50519675926</v>
      </c>
      <c r="H11" s="27" t="s">
        <v>1729</v>
      </c>
      <c r="I11" s="70" t="s">
        <v>1727</v>
      </c>
      <c r="J11" s="27" t="s">
        <v>5134</v>
      </c>
      <c r="K11" s="145">
        <v>25.0</v>
      </c>
    </row>
    <row r="12" ht="22.5" customHeight="1">
      <c r="B12" s="27" t="s">
        <v>1739</v>
      </c>
      <c r="C12" s="27" t="s">
        <v>5143</v>
      </c>
      <c r="D12" s="28">
        <v>9.038071598E9</v>
      </c>
      <c r="E12" s="29"/>
      <c r="F12" s="143"/>
      <c r="G12" s="144">
        <v>46087.50519675926</v>
      </c>
      <c r="H12" s="27" t="s">
        <v>1731</v>
      </c>
      <c r="I12" s="70" t="s">
        <v>1727</v>
      </c>
      <c r="J12" s="27" t="s">
        <v>5134</v>
      </c>
      <c r="K12" s="145">
        <v>25.0</v>
      </c>
    </row>
    <row r="13" ht="22.5" customHeight="1">
      <c r="A13" s="9"/>
      <c r="B13" s="27" t="s">
        <v>1740</v>
      </c>
      <c r="C13" s="27" t="s">
        <v>5144</v>
      </c>
      <c r="D13" s="28">
        <v>9.059182264E9</v>
      </c>
      <c r="E13" s="29"/>
      <c r="F13" s="143"/>
      <c r="G13" s="144">
        <v>46087.50519675926</v>
      </c>
      <c r="H13" s="27" t="s">
        <v>1731</v>
      </c>
      <c r="I13" s="70" t="s">
        <v>1727</v>
      </c>
      <c r="J13" s="27" t="s">
        <v>5134</v>
      </c>
      <c r="K13" s="145">
        <v>25.0</v>
      </c>
    </row>
    <row r="14" ht="22.5" customHeight="1">
      <c r="A14" s="9"/>
      <c r="B14" s="27" t="s">
        <v>1741</v>
      </c>
      <c r="C14" s="27" t="s">
        <v>5145</v>
      </c>
      <c r="D14" s="28">
        <v>9.440220643E9</v>
      </c>
      <c r="E14" s="29"/>
      <c r="F14" s="143"/>
      <c r="G14" s="144">
        <v>46087.50518518518</v>
      </c>
      <c r="H14" s="27" t="s">
        <v>1729</v>
      </c>
      <c r="I14" s="70" t="s">
        <v>1727</v>
      </c>
      <c r="J14" s="27" t="s">
        <v>5134</v>
      </c>
      <c r="K14" s="145">
        <v>25.0</v>
      </c>
    </row>
    <row r="15" ht="22.5" customHeight="1">
      <c r="B15" s="27" t="s">
        <v>1742</v>
      </c>
      <c r="C15" s="27" t="s">
        <v>5146</v>
      </c>
      <c r="D15" s="28">
        <v>9.391033332E9</v>
      </c>
      <c r="E15" s="29"/>
      <c r="F15" s="143"/>
      <c r="G15" s="144">
        <v>46087.50518518518</v>
      </c>
      <c r="H15" s="27" t="s">
        <v>1731</v>
      </c>
      <c r="I15" s="70" t="s">
        <v>1727</v>
      </c>
      <c r="J15" s="27" t="s">
        <v>5134</v>
      </c>
      <c r="K15" s="145">
        <v>25.0</v>
      </c>
    </row>
    <row r="16" ht="22.5" customHeight="1">
      <c r="A16" s="9"/>
      <c r="B16" s="27" t="s">
        <v>1743</v>
      </c>
      <c r="C16" s="27" t="s">
        <v>5147</v>
      </c>
      <c r="D16" s="28">
        <v>9.550598011E9</v>
      </c>
      <c r="E16" s="29"/>
      <c r="F16" s="143"/>
      <c r="G16" s="144">
        <v>46087.50518518518</v>
      </c>
      <c r="H16" s="27" t="s">
        <v>1729</v>
      </c>
      <c r="I16" s="70" t="s">
        <v>1727</v>
      </c>
      <c r="J16" s="27" t="s">
        <v>5134</v>
      </c>
      <c r="K16" s="145">
        <v>25.0</v>
      </c>
    </row>
    <row r="17" ht="22.5" customHeight="1">
      <c r="A17" s="9"/>
      <c r="B17" s="27" t="s">
        <v>1744</v>
      </c>
      <c r="C17" s="27" t="s">
        <v>5148</v>
      </c>
      <c r="D17" s="28">
        <v>9.299101107E9</v>
      </c>
      <c r="E17" s="29"/>
      <c r="F17" s="143"/>
      <c r="G17" s="144">
        <v>46087.50518518518</v>
      </c>
      <c r="H17" s="27" t="s">
        <v>1731</v>
      </c>
      <c r="I17" s="70" t="s">
        <v>1727</v>
      </c>
      <c r="J17" s="27" t="s">
        <v>5134</v>
      </c>
      <c r="K17" s="145">
        <v>25.0</v>
      </c>
    </row>
    <row r="18" ht="22.5" customHeight="1">
      <c r="B18" s="27" t="s">
        <v>1745</v>
      </c>
      <c r="C18" s="27" t="s">
        <v>5149</v>
      </c>
      <c r="D18" s="28">
        <v>7.044918665E9</v>
      </c>
      <c r="E18" s="29"/>
      <c r="F18" s="143"/>
      <c r="G18" s="144">
        <v>46087.50518518518</v>
      </c>
      <c r="H18" s="27" t="s">
        <v>1729</v>
      </c>
      <c r="I18" s="70" t="s">
        <v>1727</v>
      </c>
      <c r="J18" s="27" t="s">
        <v>5134</v>
      </c>
      <c r="K18" s="145">
        <v>25.0</v>
      </c>
    </row>
    <row r="19" ht="22.5" customHeight="1">
      <c r="A19" s="9"/>
      <c r="B19" s="27" t="s">
        <v>1746</v>
      </c>
      <c r="C19" s="27" t="s">
        <v>5150</v>
      </c>
      <c r="D19" s="28">
        <v>8.1219809E9</v>
      </c>
      <c r="E19" s="29"/>
      <c r="F19" s="143"/>
      <c r="G19" s="144">
        <v>46087.50518518518</v>
      </c>
      <c r="H19" s="27" t="s">
        <v>1729</v>
      </c>
      <c r="I19" s="70" t="s">
        <v>1727</v>
      </c>
      <c r="J19" s="27" t="s">
        <v>5134</v>
      </c>
      <c r="K19" s="145">
        <v>25.0</v>
      </c>
    </row>
    <row r="20" ht="22.5" customHeight="1">
      <c r="A20" s="9"/>
      <c r="B20" s="27" t="s">
        <v>1747</v>
      </c>
      <c r="C20" s="27" t="s">
        <v>5151</v>
      </c>
      <c r="D20" s="28">
        <v>6.30934101E9</v>
      </c>
      <c r="E20" s="29"/>
      <c r="F20" s="143"/>
      <c r="G20" s="144">
        <v>46087.50518518518</v>
      </c>
      <c r="H20" s="27" t="s">
        <v>1729</v>
      </c>
      <c r="I20" s="70" t="s">
        <v>1727</v>
      </c>
      <c r="J20" s="27" t="s">
        <v>5134</v>
      </c>
      <c r="K20" s="145">
        <v>25.0</v>
      </c>
    </row>
    <row r="21" ht="22.5" customHeight="1">
      <c r="B21" s="27" t="s">
        <v>1748</v>
      </c>
      <c r="C21" s="27" t="s">
        <v>5152</v>
      </c>
      <c r="D21" s="28">
        <v>9.703742567E9</v>
      </c>
      <c r="E21" s="29"/>
      <c r="F21" s="143"/>
      <c r="G21" s="144">
        <v>46087.50518518518</v>
      </c>
      <c r="H21" s="27" t="s">
        <v>1729</v>
      </c>
      <c r="I21" s="70" t="s">
        <v>1727</v>
      </c>
      <c r="J21" s="27" t="s">
        <v>5134</v>
      </c>
      <c r="K21" s="145">
        <v>25.0</v>
      </c>
    </row>
    <row r="22" ht="22.5" customHeight="1">
      <c r="A22" s="9"/>
      <c r="B22" s="27" t="s">
        <v>1749</v>
      </c>
      <c r="C22" s="27" t="s">
        <v>5153</v>
      </c>
      <c r="D22" s="28">
        <v>6.302272041E9</v>
      </c>
      <c r="E22" s="29"/>
      <c r="F22" s="143"/>
      <c r="G22" s="144">
        <v>46087.50518518518</v>
      </c>
      <c r="H22" s="27" t="s">
        <v>1729</v>
      </c>
      <c r="I22" s="70" t="s">
        <v>1727</v>
      </c>
      <c r="J22" s="27" t="s">
        <v>5134</v>
      </c>
      <c r="K22" s="145">
        <v>25.0</v>
      </c>
    </row>
    <row r="23" ht="22.5" customHeight="1">
      <c r="A23" s="9"/>
      <c r="B23" s="27" t="s">
        <v>1750</v>
      </c>
      <c r="C23" s="27" t="s">
        <v>5154</v>
      </c>
      <c r="D23" s="28">
        <v>7.032346751E9</v>
      </c>
      <c r="E23" s="29"/>
      <c r="F23" s="143"/>
      <c r="G23" s="144">
        <v>46087.50518518518</v>
      </c>
      <c r="H23" s="27" t="s">
        <v>1731</v>
      </c>
      <c r="I23" s="70" t="s">
        <v>1727</v>
      </c>
      <c r="J23" s="27" t="s">
        <v>5134</v>
      </c>
      <c r="K23" s="145">
        <v>25.0</v>
      </c>
    </row>
    <row r="24" ht="22.5" customHeight="1">
      <c r="B24" s="27" t="s">
        <v>1751</v>
      </c>
      <c r="C24" s="27" t="s">
        <v>5155</v>
      </c>
      <c r="D24" s="28">
        <v>9.966170355E9</v>
      </c>
      <c r="E24" s="29"/>
      <c r="F24" s="143"/>
      <c r="G24" s="144">
        <v>46087.50517361111</v>
      </c>
      <c r="H24" s="27" t="s">
        <v>1729</v>
      </c>
      <c r="I24" s="70" t="s">
        <v>1727</v>
      </c>
      <c r="J24" s="27" t="s">
        <v>5134</v>
      </c>
      <c r="K24" s="145">
        <v>25.0</v>
      </c>
    </row>
    <row r="25" ht="22.5" customHeight="1">
      <c r="A25" s="9"/>
      <c r="B25" s="27" t="s">
        <v>1752</v>
      </c>
      <c r="C25" s="27" t="s">
        <v>5156</v>
      </c>
      <c r="D25" s="28">
        <v>7.989790666E9</v>
      </c>
      <c r="E25" s="29"/>
      <c r="F25" s="143"/>
      <c r="G25" s="144">
        <v>46087.50517361111</v>
      </c>
      <c r="H25" s="27" t="s">
        <v>1729</v>
      </c>
      <c r="I25" s="70" t="s">
        <v>1727</v>
      </c>
      <c r="J25" s="27" t="s">
        <v>5134</v>
      </c>
      <c r="K25" s="145">
        <v>25.0</v>
      </c>
    </row>
    <row r="26" ht="22.5" customHeight="1">
      <c r="A26" s="9"/>
      <c r="B26" s="27" t="s">
        <v>1753</v>
      </c>
      <c r="C26" s="27" t="s">
        <v>5157</v>
      </c>
      <c r="D26" s="28">
        <v>9.133375845E9</v>
      </c>
      <c r="E26" s="29"/>
      <c r="F26" s="143"/>
      <c r="G26" s="144">
        <v>46087.50517361111</v>
      </c>
      <c r="H26" s="27" t="s">
        <v>1729</v>
      </c>
      <c r="I26" s="70" t="s">
        <v>1727</v>
      </c>
      <c r="J26" s="27" t="s">
        <v>5134</v>
      </c>
      <c r="K26" s="145">
        <v>25.0</v>
      </c>
    </row>
    <row r="27" ht="22.5" customHeight="1">
      <c r="B27" s="27" t="s">
        <v>1754</v>
      </c>
      <c r="C27" s="27" t="s">
        <v>5158</v>
      </c>
      <c r="D27" s="28">
        <v>9.849097701E9</v>
      </c>
      <c r="E27" s="29"/>
      <c r="F27" s="143"/>
      <c r="G27" s="144">
        <v>46087.50517361111</v>
      </c>
      <c r="H27" s="27" t="s">
        <v>1729</v>
      </c>
      <c r="I27" s="70" t="s">
        <v>1727</v>
      </c>
      <c r="J27" s="27" t="s">
        <v>5134</v>
      </c>
      <c r="K27" s="145">
        <v>25.0</v>
      </c>
    </row>
    <row r="28" ht="22.5" customHeight="1">
      <c r="A28" s="9"/>
      <c r="B28" s="27" t="s">
        <v>1755</v>
      </c>
      <c r="C28" s="27" t="s">
        <v>5159</v>
      </c>
      <c r="D28" s="28">
        <v>9.704574845E9</v>
      </c>
      <c r="E28" s="29"/>
      <c r="F28" s="143"/>
      <c r="G28" s="144">
        <v>46087.50517361111</v>
      </c>
      <c r="H28" s="27" t="s">
        <v>1729</v>
      </c>
      <c r="I28" s="70" t="s">
        <v>1727</v>
      </c>
      <c r="J28" s="27" t="s">
        <v>5134</v>
      </c>
      <c r="K28" s="145">
        <v>25.0</v>
      </c>
    </row>
    <row r="29" ht="22.5" customHeight="1">
      <c r="A29" s="9"/>
      <c r="B29" s="27" t="s">
        <v>1756</v>
      </c>
      <c r="C29" s="27" t="s">
        <v>5160</v>
      </c>
      <c r="D29" s="28">
        <v>9.948424042E9</v>
      </c>
      <c r="E29" s="29"/>
      <c r="F29" s="143"/>
      <c r="G29" s="144">
        <v>46087.50517361111</v>
      </c>
      <c r="H29" s="27" t="s">
        <v>1729</v>
      </c>
      <c r="I29" s="70" t="s">
        <v>1727</v>
      </c>
      <c r="J29" s="27" t="s">
        <v>5134</v>
      </c>
      <c r="K29" s="145">
        <v>25.0</v>
      </c>
    </row>
    <row r="30" ht="22.5" customHeight="1">
      <c r="B30" s="27" t="s">
        <v>1757</v>
      </c>
      <c r="C30" s="27" t="s">
        <v>5161</v>
      </c>
      <c r="D30" s="28">
        <v>8.790193928E9</v>
      </c>
      <c r="E30" s="29"/>
      <c r="F30" s="143"/>
      <c r="G30" s="144">
        <v>46087.50517361111</v>
      </c>
      <c r="H30" s="27" t="s">
        <v>1729</v>
      </c>
      <c r="I30" s="70" t="s">
        <v>1727</v>
      </c>
      <c r="J30" s="27" t="s">
        <v>5134</v>
      </c>
      <c r="K30" s="145">
        <v>25.0</v>
      </c>
    </row>
    <row r="31" ht="22.5" customHeight="1">
      <c r="A31" s="9"/>
      <c r="B31" s="27" t="s">
        <v>1758</v>
      </c>
      <c r="C31" s="27" t="s">
        <v>5162</v>
      </c>
      <c r="D31" s="28">
        <v>9.849342108E9</v>
      </c>
      <c r="E31" s="29"/>
      <c r="F31" s="143"/>
      <c r="G31" s="144">
        <v>46087.50517361111</v>
      </c>
      <c r="H31" s="27" t="s">
        <v>1729</v>
      </c>
      <c r="I31" s="70" t="s">
        <v>1727</v>
      </c>
      <c r="J31" s="27" t="s">
        <v>5134</v>
      </c>
      <c r="K31" s="145">
        <v>25.0</v>
      </c>
    </row>
    <row r="32" ht="22.5" customHeight="1">
      <c r="A32" s="9"/>
      <c r="B32" s="27" t="s">
        <v>1759</v>
      </c>
      <c r="C32" s="27" t="s">
        <v>5163</v>
      </c>
      <c r="D32" s="28">
        <v>8.498823241E9</v>
      </c>
      <c r="E32" s="29"/>
      <c r="F32" s="143"/>
      <c r="G32" s="144">
        <v>46087.50517361111</v>
      </c>
      <c r="H32" s="27" t="s">
        <v>1731</v>
      </c>
      <c r="I32" s="70" t="s">
        <v>1727</v>
      </c>
      <c r="J32" s="27" t="s">
        <v>5134</v>
      </c>
      <c r="K32" s="145">
        <v>25.0</v>
      </c>
    </row>
    <row r="33" ht="22.5" customHeight="1">
      <c r="B33" s="27" t="s">
        <v>1760</v>
      </c>
      <c r="C33" s="27" t="s">
        <v>5164</v>
      </c>
      <c r="D33" s="28">
        <v>9.392221722E9</v>
      </c>
      <c r="E33" s="29"/>
      <c r="F33" s="143"/>
      <c r="G33" s="144">
        <v>46087.50517361111</v>
      </c>
      <c r="H33" s="27" t="s">
        <v>1729</v>
      </c>
      <c r="I33" s="70" t="s">
        <v>1727</v>
      </c>
      <c r="J33" s="27" t="s">
        <v>5134</v>
      </c>
      <c r="K33" s="145">
        <v>25.0</v>
      </c>
    </row>
    <row r="34" ht="22.5" customHeight="1">
      <c r="A34" s="9"/>
      <c r="B34" s="27" t="s">
        <v>1761</v>
      </c>
      <c r="C34" s="27" t="s">
        <v>5165</v>
      </c>
      <c r="D34" s="28">
        <v>9.885706546E9</v>
      </c>
      <c r="E34" s="29"/>
      <c r="F34" s="143"/>
      <c r="G34" s="144">
        <v>46087.50517361111</v>
      </c>
      <c r="H34" s="27" t="s">
        <v>1729</v>
      </c>
      <c r="I34" s="70" t="s">
        <v>1727</v>
      </c>
      <c r="J34" s="27" t="s">
        <v>5134</v>
      </c>
      <c r="K34" s="145">
        <v>25.0</v>
      </c>
    </row>
    <row r="35" ht="22.5" customHeight="1">
      <c r="A35" s="9"/>
      <c r="B35" s="27" t="s">
        <v>1762</v>
      </c>
      <c r="C35" s="27" t="s">
        <v>5166</v>
      </c>
      <c r="D35" s="28">
        <v>8.499899755E9</v>
      </c>
      <c r="E35" s="29"/>
      <c r="F35" s="143"/>
      <c r="G35" s="144">
        <v>46087.505162037036</v>
      </c>
      <c r="H35" s="27" t="s">
        <v>1729</v>
      </c>
      <c r="I35" s="70" t="s">
        <v>1727</v>
      </c>
      <c r="J35" s="27" t="s">
        <v>5134</v>
      </c>
      <c r="K35" s="145">
        <v>25.0</v>
      </c>
    </row>
    <row r="36" ht="22.5" customHeight="1">
      <c r="B36" s="27" t="s">
        <v>1763</v>
      </c>
      <c r="C36" s="27" t="s">
        <v>5167</v>
      </c>
      <c r="D36" s="28">
        <v>9.618997751E9</v>
      </c>
      <c r="E36" s="29"/>
      <c r="F36" s="143"/>
      <c r="G36" s="144">
        <v>46087.505162037036</v>
      </c>
      <c r="H36" s="27" t="s">
        <v>1729</v>
      </c>
      <c r="I36" s="70" t="s">
        <v>1727</v>
      </c>
      <c r="J36" s="27" t="s">
        <v>5134</v>
      </c>
      <c r="K36" s="145">
        <v>25.0</v>
      </c>
    </row>
    <row r="37" ht="22.5" customHeight="1">
      <c r="A37" s="9"/>
      <c r="B37" s="27" t="s">
        <v>1764</v>
      </c>
      <c r="C37" s="27" t="s">
        <v>5168</v>
      </c>
      <c r="D37" s="28">
        <v>9.95105742E9</v>
      </c>
      <c r="E37" s="29"/>
      <c r="F37" s="143"/>
      <c r="G37" s="144">
        <v>46087.505162037036</v>
      </c>
      <c r="H37" s="27" t="s">
        <v>1731</v>
      </c>
      <c r="I37" s="70" t="s">
        <v>1727</v>
      </c>
      <c r="J37" s="27" t="s">
        <v>5134</v>
      </c>
      <c r="K37" s="145">
        <v>25.0</v>
      </c>
    </row>
    <row r="38" ht="22.5" customHeight="1">
      <c r="A38" s="9"/>
      <c r="B38" s="27" t="s">
        <v>1765</v>
      </c>
      <c r="C38" s="27" t="s">
        <v>5169</v>
      </c>
      <c r="D38" s="28">
        <v>7.660858858E9</v>
      </c>
      <c r="E38" s="29"/>
      <c r="F38" s="143"/>
      <c r="G38" s="144">
        <v>46087.505162037036</v>
      </c>
      <c r="H38" s="27" t="s">
        <v>1729</v>
      </c>
      <c r="I38" s="70" t="s">
        <v>1727</v>
      </c>
      <c r="J38" s="27" t="s">
        <v>5134</v>
      </c>
      <c r="K38" s="145">
        <v>25.0</v>
      </c>
    </row>
    <row r="39" ht="22.5" customHeight="1">
      <c r="B39" s="27" t="s">
        <v>1766</v>
      </c>
      <c r="C39" s="27" t="s">
        <v>5170</v>
      </c>
      <c r="D39" s="28">
        <v>8.466878196E9</v>
      </c>
      <c r="E39" s="29"/>
      <c r="F39" s="143"/>
      <c r="G39" s="144">
        <v>46087.505162037036</v>
      </c>
      <c r="H39" s="27" t="s">
        <v>1731</v>
      </c>
      <c r="I39" s="70" t="s">
        <v>1727</v>
      </c>
      <c r="J39" s="27" t="s">
        <v>5134</v>
      </c>
      <c r="K39" s="145">
        <v>25.0</v>
      </c>
    </row>
    <row r="40" ht="22.5" customHeight="1">
      <c r="A40" s="9"/>
      <c r="B40" s="27" t="s">
        <v>1767</v>
      </c>
      <c r="C40" s="27" t="s">
        <v>5171</v>
      </c>
      <c r="D40" s="28">
        <v>7.989417019E9</v>
      </c>
      <c r="E40" s="29"/>
      <c r="F40" s="143"/>
      <c r="G40" s="144">
        <v>46087.505162037036</v>
      </c>
      <c r="H40" s="27" t="s">
        <v>1729</v>
      </c>
      <c r="I40" s="70" t="s">
        <v>1727</v>
      </c>
      <c r="J40" s="27" t="s">
        <v>5134</v>
      </c>
      <c r="K40" s="145">
        <v>25.0</v>
      </c>
    </row>
    <row r="41" ht="22.5" customHeight="1">
      <c r="A41" s="9"/>
      <c r="B41" s="27" t="s">
        <v>1768</v>
      </c>
      <c r="C41" s="27" t="s">
        <v>5172</v>
      </c>
      <c r="D41" s="28">
        <v>8.341334329E9</v>
      </c>
      <c r="E41" s="29"/>
      <c r="F41" s="143"/>
      <c r="G41" s="144">
        <v>46087.505162037036</v>
      </c>
      <c r="H41" s="27" t="s">
        <v>1731</v>
      </c>
      <c r="I41" s="70" t="s">
        <v>1727</v>
      </c>
      <c r="J41" s="27" t="s">
        <v>5134</v>
      </c>
      <c r="K41" s="145">
        <v>25.0</v>
      </c>
    </row>
    <row r="42" ht="22.5" customHeight="1">
      <c r="B42" s="27" t="s">
        <v>1769</v>
      </c>
      <c r="C42" s="27" t="s">
        <v>5173</v>
      </c>
      <c r="D42" s="28">
        <v>9.966411038E9</v>
      </c>
      <c r="E42" s="29"/>
      <c r="F42" s="143"/>
      <c r="G42" s="144">
        <v>46087.505162037036</v>
      </c>
      <c r="H42" s="27" t="s">
        <v>1729</v>
      </c>
      <c r="I42" s="70" t="s">
        <v>1727</v>
      </c>
      <c r="J42" s="27" t="s">
        <v>5134</v>
      </c>
      <c r="K42" s="145">
        <v>25.0</v>
      </c>
    </row>
    <row r="43" ht="22.5" customHeight="1">
      <c r="A43" s="9"/>
      <c r="B43" s="27" t="s">
        <v>1770</v>
      </c>
      <c r="C43" s="27" t="s">
        <v>5174</v>
      </c>
      <c r="D43" s="28">
        <v>6.301455685E9</v>
      </c>
      <c r="E43" s="29"/>
      <c r="F43" s="143"/>
      <c r="G43" s="144">
        <v>46087.505162037036</v>
      </c>
      <c r="H43" s="27" t="s">
        <v>1731</v>
      </c>
      <c r="I43" s="70" t="s">
        <v>1727</v>
      </c>
      <c r="J43" s="27" t="s">
        <v>5134</v>
      </c>
      <c r="K43" s="145">
        <v>25.0</v>
      </c>
    </row>
    <row r="44" ht="22.5" customHeight="1">
      <c r="A44" s="9"/>
      <c r="B44" s="27" t="s">
        <v>1771</v>
      </c>
      <c r="C44" s="27" t="s">
        <v>5175</v>
      </c>
      <c r="D44" s="28">
        <v>9.650736322E9</v>
      </c>
      <c r="E44" s="29"/>
      <c r="F44" s="143"/>
      <c r="G44" s="144">
        <v>46087.505162037036</v>
      </c>
      <c r="H44" s="27" t="s">
        <v>1729</v>
      </c>
      <c r="I44" s="70" t="s">
        <v>1727</v>
      </c>
      <c r="J44" s="27" t="s">
        <v>5134</v>
      </c>
      <c r="K44" s="145">
        <v>25.0</v>
      </c>
    </row>
    <row r="45" ht="22.5" customHeight="1">
      <c r="B45" s="27" t="s">
        <v>1772</v>
      </c>
      <c r="C45" s="27" t="s">
        <v>5176</v>
      </c>
      <c r="D45" s="28">
        <v>9.290465815E9</v>
      </c>
      <c r="E45" s="29"/>
      <c r="F45" s="143"/>
      <c r="G45" s="144">
        <v>46087.50515046297</v>
      </c>
      <c r="H45" s="27" t="s">
        <v>1731</v>
      </c>
      <c r="I45" s="70" t="s">
        <v>1727</v>
      </c>
      <c r="J45" s="27" t="s">
        <v>5134</v>
      </c>
      <c r="K45" s="145">
        <v>25.0</v>
      </c>
    </row>
    <row r="46" ht="22.5" customHeight="1">
      <c r="A46" s="9"/>
      <c r="B46" s="27" t="s">
        <v>1773</v>
      </c>
      <c r="C46" s="27" t="s">
        <v>5177</v>
      </c>
      <c r="D46" s="28">
        <v>6.305399423E9</v>
      </c>
      <c r="E46" s="29"/>
      <c r="F46" s="143"/>
      <c r="G46" s="144">
        <v>46087.50515046297</v>
      </c>
      <c r="H46" s="27" t="s">
        <v>1729</v>
      </c>
      <c r="I46" s="70" t="s">
        <v>1727</v>
      </c>
      <c r="J46" s="27" t="s">
        <v>5134</v>
      </c>
      <c r="K46" s="145">
        <v>25.0</v>
      </c>
    </row>
    <row r="47" ht="22.5" customHeight="1">
      <c r="A47" s="9"/>
      <c r="B47" s="27" t="s">
        <v>1774</v>
      </c>
      <c r="C47" s="27" t="s">
        <v>5178</v>
      </c>
      <c r="D47" s="28">
        <v>8.019848275E9</v>
      </c>
      <c r="E47" s="29"/>
      <c r="F47" s="143"/>
      <c r="G47" s="144">
        <v>46087.50515046297</v>
      </c>
      <c r="H47" s="27" t="s">
        <v>1731</v>
      </c>
      <c r="I47" s="70" t="s">
        <v>1727</v>
      </c>
      <c r="J47" s="27" t="s">
        <v>5134</v>
      </c>
      <c r="K47" s="145">
        <v>25.0</v>
      </c>
    </row>
    <row r="48" ht="22.5" customHeight="1">
      <c r="B48" s="27" t="s">
        <v>1775</v>
      </c>
      <c r="C48" s="27" t="s">
        <v>5179</v>
      </c>
      <c r="D48" s="28">
        <v>9.676521754E9</v>
      </c>
      <c r="E48" s="29"/>
      <c r="F48" s="143"/>
      <c r="G48" s="144">
        <v>46087.50515046297</v>
      </c>
      <c r="H48" s="27" t="s">
        <v>1729</v>
      </c>
      <c r="I48" s="70" t="s">
        <v>1727</v>
      </c>
      <c r="J48" s="27" t="s">
        <v>5134</v>
      </c>
      <c r="K48" s="145">
        <v>25.0</v>
      </c>
    </row>
    <row r="49" ht="22.5" customHeight="1">
      <c r="A49" s="9"/>
      <c r="B49" s="27" t="s">
        <v>1776</v>
      </c>
      <c r="C49" s="27" t="s">
        <v>5180</v>
      </c>
      <c r="D49" s="28">
        <v>9.908371699E9</v>
      </c>
      <c r="E49" s="29"/>
      <c r="F49" s="143"/>
      <c r="G49" s="144">
        <v>46087.50515046297</v>
      </c>
      <c r="H49" s="27" t="s">
        <v>1729</v>
      </c>
      <c r="I49" s="70" t="s">
        <v>1727</v>
      </c>
      <c r="J49" s="27" t="s">
        <v>5134</v>
      </c>
      <c r="K49" s="145">
        <v>25.0</v>
      </c>
    </row>
    <row r="50" ht="22.5" customHeight="1">
      <c r="A50" s="9"/>
      <c r="B50" s="27" t="s">
        <v>1777</v>
      </c>
      <c r="C50" s="27" t="s">
        <v>5181</v>
      </c>
      <c r="D50" s="28">
        <v>9.381369558E9</v>
      </c>
      <c r="E50" s="29"/>
      <c r="F50" s="143"/>
      <c r="G50" s="144">
        <v>46087.50515046297</v>
      </c>
      <c r="H50" s="27" t="s">
        <v>1729</v>
      </c>
      <c r="I50" s="70" t="s">
        <v>1727</v>
      </c>
      <c r="J50" s="27" t="s">
        <v>5134</v>
      </c>
      <c r="K50" s="145">
        <v>25.0</v>
      </c>
    </row>
    <row r="51" ht="22.5" customHeight="1">
      <c r="B51" s="27" t="s">
        <v>1778</v>
      </c>
      <c r="C51" s="27" t="s">
        <v>5182</v>
      </c>
      <c r="D51" s="28">
        <v>7.981178096E9</v>
      </c>
      <c r="E51" s="29"/>
      <c r="F51" s="143"/>
      <c r="G51" s="144">
        <v>46087.50515046297</v>
      </c>
      <c r="H51" s="27" t="s">
        <v>1731</v>
      </c>
      <c r="I51" s="70" t="s">
        <v>1727</v>
      </c>
      <c r="J51" s="27" t="s">
        <v>5134</v>
      </c>
      <c r="K51" s="145">
        <v>25.0</v>
      </c>
    </row>
    <row r="52" ht="22.5" customHeight="1">
      <c r="A52" s="9"/>
      <c r="B52" s="27" t="s">
        <v>1779</v>
      </c>
      <c r="C52" s="27" t="s">
        <v>5183</v>
      </c>
      <c r="D52" s="28">
        <v>8.919585875E9</v>
      </c>
      <c r="E52" s="29"/>
      <c r="F52" s="143"/>
      <c r="G52" s="144">
        <v>46087.50515046297</v>
      </c>
      <c r="H52" s="27" t="s">
        <v>1729</v>
      </c>
      <c r="I52" s="70" t="s">
        <v>1727</v>
      </c>
      <c r="J52" s="27" t="s">
        <v>5134</v>
      </c>
      <c r="K52" s="145">
        <v>25.0</v>
      </c>
    </row>
    <row r="53" ht="22.5" customHeight="1">
      <c r="A53" s="9"/>
      <c r="B53" s="27" t="s">
        <v>1780</v>
      </c>
      <c r="C53" s="27" t="s">
        <v>5184</v>
      </c>
      <c r="D53" s="28">
        <v>8.125987166E9</v>
      </c>
      <c r="E53" s="29"/>
      <c r="F53" s="143"/>
      <c r="G53" s="144">
        <v>46087.50515046297</v>
      </c>
      <c r="H53" s="27" t="s">
        <v>1729</v>
      </c>
      <c r="I53" s="70" t="s">
        <v>1727</v>
      </c>
      <c r="J53" s="27" t="s">
        <v>5134</v>
      </c>
      <c r="K53" s="145">
        <v>25.0</v>
      </c>
    </row>
    <row r="54" ht="22.5" customHeight="1">
      <c r="B54" s="27" t="s">
        <v>1781</v>
      </c>
      <c r="C54" s="27" t="s">
        <v>5185</v>
      </c>
      <c r="D54" s="28">
        <v>9.541351974E9</v>
      </c>
      <c r="E54" s="29"/>
      <c r="F54" s="143"/>
      <c r="G54" s="144">
        <v>46087.50515046297</v>
      </c>
      <c r="H54" s="27" t="s">
        <v>1729</v>
      </c>
      <c r="I54" s="70" t="s">
        <v>1727</v>
      </c>
      <c r="J54" s="27" t="s">
        <v>5134</v>
      </c>
      <c r="K54" s="145">
        <v>25.0</v>
      </c>
    </row>
    <row r="55" ht="22.5" customHeight="1">
      <c r="A55" s="9"/>
      <c r="B55" s="27" t="s">
        <v>1782</v>
      </c>
      <c r="C55" s="27" t="s">
        <v>5186</v>
      </c>
      <c r="D55" s="28">
        <v>9.682145641E9</v>
      </c>
      <c r="E55" s="29"/>
      <c r="F55" s="143"/>
      <c r="G55" s="144">
        <v>46087.50515046297</v>
      </c>
      <c r="H55" s="27" t="s">
        <v>1729</v>
      </c>
      <c r="I55" s="70" t="s">
        <v>1727</v>
      </c>
      <c r="J55" s="27" t="s">
        <v>5134</v>
      </c>
      <c r="K55" s="145">
        <v>25.0</v>
      </c>
    </row>
    <row r="56" ht="22.5" customHeight="1">
      <c r="A56" s="9"/>
      <c r="B56" s="27" t="s">
        <v>1783</v>
      </c>
      <c r="C56" s="27" t="s">
        <v>5187</v>
      </c>
      <c r="D56" s="28">
        <v>9.666240846E9</v>
      </c>
      <c r="E56" s="29"/>
      <c r="F56" s="143"/>
      <c r="G56" s="144">
        <v>46087.50513888889</v>
      </c>
      <c r="H56" s="27" t="s">
        <v>1729</v>
      </c>
      <c r="I56" s="70" t="s">
        <v>1727</v>
      </c>
      <c r="J56" s="27" t="s">
        <v>5134</v>
      </c>
      <c r="K56" s="145">
        <v>25.0</v>
      </c>
    </row>
    <row r="57" ht="22.5" customHeight="1">
      <c r="B57" s="27" t="s">
        <v>1784</v>
      </c>
      <c r="C57" s="27" t="s">
        <v>5188</v>
      </c>
      <c r="D57" s="28">
        <v>7.075279985E9</v>
      </c>
      <c r="E57" s="29"/>
      <c r="F57" s="143"/>
      <c r="G57" s="144">
        <v>46087.50513888889</v>
      </c>
      <c r="H57" s="27" t="s">
        <v>1729</v>
      </c>
      <c r="I57" s="70" t="s">
        <v>1727</v>
      </c>
      <c r="J57" s="27" t="s">
        <v>5134</v>
      </c>
      <c r="K57" s="145">
        <v>25.0</v>
      </c>
    </row>
    <row r="58" ht="22.5" customHeight="1">
      <c r="A58" s="9"/>
      <c r="B58" s="27" t="s">
        <v>1785</v>
      </c>
      <c r="C58" s="27" t="s">
        <v>5189</v>
      </c>
      <c r="D58" s="28">
        <v>9.949257E9</v>
      </c>
      <c r="E58" s="29"/>
      <c r="F58" s="143"/>
      <c r="G58" s="144">
        <v>46087.50513888889</v>
      </c>
      <c r="H58" s="27" t="s">
        <v>1729</v>
      </c>
      <c r="I58" s="70" t="s">
        <v>1727</v>
      </c>
      <c r="J58" s="27" t="s">
        <v>5134</v>
      </c>
      <c r="K58" s="145">
        <v>25.0</v>
      </c>
    </row>
    <row r="59" ht="22.5" customHeight="1">
      <c r="A59" s="9"/>
      <c r="B59" s="27" t="s">
        <v>1786</v>
      </c>
      <c r="C59" s="27" t="s">
        <v>5190</v>
      </c>
      <c r="D59" s="28">
        <v>8.639020491E9</v>
      </c>
      <c r="E59" s="29"/>
      <c r="F59" s="143"/>
      <c r="G59" s="144">
        <v>46087.50513888889</v>
      </c>
      <c r="H59" s="27" t="s">
        <v>1729</v>
      </c>
      <c r="I59" s="70" t="s">
        <v>1727</v>
      </c>
      <c r="J59" s="27" t="s">
        <v>5134</v>
      </c>
      <c r="K59" s="145">
        <v>25.0</v>
      </c>
    </row>
    <row r="60" ht="22.5" customHeight="1">
      <c r="B60" s="27" t="s">
        <v>1787</v>
      </c>
      <c r="C60" s="27" t="s">
        <v>5191</v>
      </c>
      <c r="D60" s="28">
        <v>9.84933781E9</v>
      </c>
      <c r="E60" s="143"/>
      <c r="F60" s="143"/>
      <c r="G60" s="144">
        <v>46087.50513888889</v>
      </c>
      <c r="H60" s="27" t="s">
        <v>1731</v>
      </c>
      <c r="I60" s="70" t="s">
        <v>1727</v>
      </c>
      <c r="J60" s="27" t="s">
        <v>5134</v>
      </c>
      <c r="K60" s="145">
        <v>25.0</v>
      </c>
    </row>
    <row r="61" ht="22.5" customHeight="1">
      <c r="A61" s="9"/>
      <c r="B61" s="27" t="s">
        <v>1788</v>
      </c>
      <c r="C61" s="27" t="s">
        <v>5192</v>
      </c>
      <c r="D61" s="28">
        <v>9.493710431E9</v>
      </c>
      <c r="E61" s="29"/>
      <c r="F61" s="143"/>
      <c r="G61" s="144">
        <v>46087.50513888889</v>
      </c>
      <c r="H61" s="27" t="s">
        <v>1729</v>
      </c>
      <c r="I61" s="70" t="s">
        <v>1727</v>
      </c>
      <c r="J61" s="27" t="s">
        <v>5134</v>
      </c>
      <c r="K61" s="145">
        <v>25.0</v>
      </c>
    </row>
    <row r="62" ht="22.5" customHeight="1">
      <c r="A62" s="9"/>
      <c r="B62" s="27" t="s">
        <v>1789</v>
      </c>
      <c r="C62" s="27" t="s">
        <v>5193</v>
      </c>
      <c r="D62" s="28">
        <v>9.618444039E9</v>
      </c>
      <c r="E62" s="29"/>
      <c r="F62" s="143"/>
      <c r="G62" s="144">
        <v>46087.50513888889</v>
      </c>
      <c r="H62" s="27" t="s">
        <v>1729</v>
      </c>
      <c r="I62" s="70" t="s">
        <v>1727</v>
      </c>
      <c r="J62" s="27" t="s">
        <v>5134</v>
      </c>
      <c r="K62" s="145">
        <v>25.0</v>
      </c>
    </row>
    <row r="63" ht="22.5" customHeight="1">
      <c r="B63" s="27" t="s">
        <v>1790</v>
      </c>
      <c r="C63" s="27" t="s">
        <v>5194</v>
      </c>
      <c r="D63" s="28">
        <v>8.792618018E9</v>
      </c>
      <c r="E63" s="29"/>
      <c r="F63" s="143"/>
      <c r="G63" s="144">
        <v>46087.50513888889</v>
      </c>
      <c r="H63" s="27" t="s">
        <v>1729</v>
      </c>
      <c r="I63" s="70" t="s">
        <v>1727</v>
      </c>
      <c r="J63" s="27" t="s">
        <v>5134</v>
      </c>
      <c r="K63" s="145">
        <v>25.0</v>
      </c>
    </row>
    <row r="64" ht="22.5" customHeight="1">
      <c r="A64" s="9"/>
      <c r="B64" s="27" t="s">
        <v>1791</v>
      </c>
      <c r="C64" s="27" t="s">
        <v>5195</v>
      </c>
      <c r="D64" s="28">
        <v>8.431620612E9</v>
      </c>
      <c r="E64" s="29"/>
      <c r="F64" s="143"/>
      <c r="G64" s="144">
        <v>46087.50513888889</v>
      </c>
      <c r="H64" s="27" t="s">
        <v>1729</v>
      </c>
      <c r="I64" s="70" t="s">
        <v>1727</v>
      </c>
      <c r="J64" s="27" t="s">
        <v>5134</v>
      </c>
      <c r="K64" s="145">
        <v>25.0</v>
      </c>
    </row>
    <row r="65" ht="22.5" customHeight="1">
      <c r="A65" s="9"/>
      <c r="B65" s="27" t="s">
        <v>1792</v>
      </c>
      <c r="C65" s="27" t="s">
        <v>5196</v>
      </c>
      <c r="D65" s="28">
        <v>9.885022496E9</v>
      </c>
      <c r="E65" s="29"/>
      <c r="F65" s="143"/>
      <c r="G65" s="144">
        <v>46087.50513888889</v>
      </c>
      <c r="H65" s="27" t="s">
        <v>1731</v>
      </c>
      <c r="I65" s="70" t="s">
        <v>1727</v>
      </c>
      <c r="J65" s="27" t="s">
        <v>5134</v>
      </c>
      <c r="K65" s="145">
        <v>25.0</v>
      </c>
    </row>
    <row r="66" ht="22.5" customHeight="1">
      <c r="B66" s="27" t="s">
        <v>1793</v>
      </c>
      <c r="C66" s="27" t="s">
        <v>5197</v>
      </c>
      <c r="D66" s="28">
        <v>9.53362166E9</v>
      </c>
      <c r="E66" s="29"/>
      <c r="F66" s="143"/>
      <c r="G66" s="144">
        <v>46087.50513888889</v>
      </c>
      <c r="H66" s="27" t="s">
        <v>1729</v>
      </c>
      <c r="I66" s="70" t="s">
        <v>1727</v>
      </c>
      <c r="J66" s="27" t="s">
        <v>5134</v>
      </c>
      <c r="K66" s="145">
        <v>25.0</v>
      </c>
    </row>
    <row r="67" ht="22.5" customHeight="1">
      <c r="A67" s="9"/>
      <c r="B67" s="27" t="s">
        <v>1794</v>
      </c>
      <c r="C67" s="27" t="s">
        <v>5198</v>
      </c>
      <c r="D67" s="28">
        <v>9.347239848E9</v>
      </c>
      <c r="E67" s="29"/>
      <c r="F67" s="143"/>
      <c r="G67" s="144">
        <v>46087.50512731481</v>
      </c>
      <c r="H67" s="27" t="s">
        <v>1729</v>
      </c>
      <c r="I67" s="70" t="s">
        <v>1727</v>
      </c>
      <c r="J67" s="27" t="s">
        <v>5134</v>
      </c>
      <c r="K67" s="145">
        <v>25.0</v>
      </c>
    </row>
    <row r="68" ht="22.5" customHeight="1">
      <c r="A68" s="9"/>
      <c r="B68" s="27" t="s">
        <v>1795</v>
      </c>
      <c r="C68" s="27" t="s">
        <v>5199</v>
      </c>
      <c r="D68" s="28">
        <v>9.441233968E9</v>
      </c>
      <c r="E68" s="29"/>
      <c r="F68" s="143"/>
      <c r="G68" s="144">
        <v>46087.50512731481</v>
      </c>
      <c r="H68" s="27" t="s">
        <v>1729</v>
      </c>
      <c r="I68" s="70" t="s">
        <v>1727</v>
      </c>
      <c r="J68" s="27" t="s">
        <v>5134</v>
      </c>
      <c r="K68" s="145">
        <v>25.0</v>
      </c>
    </row>
    <row r="69" ht="22.5" customHeight="1">
      <c r="B69" s="27" t="s">
        <v>1796</v>
      </c>
      <c r="C69" s="27" t="s">
        <v>5200</v>
      </c>
      <c r="D69" s="28">
        <v>7.41585781E9</v>
      </c>
      <c r="E69" s="29"/>
      <c r="F69" s="143"/>
      <c r="G69" s="144">
        <v>46087.50512731481</v>
      </c>
      <c r="H69" s="27" t="s">
        <v>1729</v>
      </c>
      <c r="I69" s="70" t="s">
        <v>1727</v>
      </c>
      <c r="J69" s="27" t="s">
        <v>5134</v>
      </c>
      <c r="K69" s="145">
        <v>25.0</v>
      </c>
    </row>
    <row r="70" ht="22.5" customHeight="1">
      <c r="A70" s="9"/>
      <c r="B70" s="27" t="s">
        <v>1797</v>
      </c>
      <c r="C70" s="27" t="s">
        <v>5201</v>
      </c>
      <c r="D70" s="28">
        <v>9.98939359E9</v>
      </c>
      <c r="E70" s="29"/>
      <c r="F70" s="143"/>
      <c r="G70" s="144">
        <v>46087.50512731481</v>
      </c>
      <c r="H70" s="27" t="s">
        <v>1731</v>
      </c>
      <c r="I70" s="70" t="s">
        <v>1727</v>
      </c>
      <c r="J70" s="27" t="s">
        <v>5134</v>
      </c>
      <c r="K70" s="145">
        <v>25.0</v>
      </c>
    </row>
    <row r="71" ht="22.5" customHeight="1">
      <c r="A71" s="9"/>
      <c r="B71" s="27" t="s">
        <v>1798</v>
      </c>
      <c r="C71" s="27" t="s">
        <v>5202</v>
      </c>
      <c r="D71" s="28">
        <v>8.886374747E9</v>
      </c>
      <c r="E71" s="143"/>
      <c r="F71" s="143"/>
      <c r="G71" s="144">
        <v>46087.50512731481</v>
      </c>
      <c r="H71" s="27" t="s">
        <v>1729</v>
      </c>
      <c r="I71" s="70" t="s">
        <v>1727</v>
      </c>
      <c r="J71" s="27" t="s">
        <v>5134</v>
      </c>
      <c r="K71" s="145">
        <v>25.0</v>
      </c>
    </row>
    <row r="72" ht="22.5" customHeight="1">
      <c r="B72" s="27" t="s">
        <v>1799</v>
      </c>
      <c r="C72" s="27" t="s">
        <v>5203</v>
      </c>
      <c r="D72" s="28">
        <v>8.019272719E9</v>
      </c>
      <c r="E72" s="29"/>
      <c r="F72" s="143"/>
      <c r="G72" s="144">
        <v>46087.50512731481</v>
      </c>
      <c r="H72" s="27" t="s">
        <v>1729</v>
      </c>
      <c r="I72" s="70" t="s">
        <v>1727</v>
      </c>
      <c r="J72" s="27" t="s">
        <v>5134</v>
      </c>
      <c r="K72" s="145">
        <v>25.0</v>
      </c>
    </row>
    <row r="73" ht="22.5" customHeight="1">
      <c r="A73" s="9"/>
      <c r="B73" s="27" t="s">
        <v>1800</v>
      </c>
      <c r="C73" s="27" t="s">
        <v>5204</v>
      </c>
      <c r="D73" s="28">
        <v>8.143104777E9</v>
      </c>
      <c r="E73" s="29"/>
      <c r="F73" s="143"/>
      <c r="G73" s="144">
        <v>46087.50512731481</v>
      </c>
      <c r="H73" s="27" t="s">
        <v>1729</v>
      </c>
      <c r="I73" s="70" t="s">
        <v>1727</v>
      </c>
      <c r="J73" s="27" t="s">
        <v>5134</v>
      </c>
      <c r="K73" s="145">
        <v>25.0</v>
      </c>
    </row>
    <row r="74" ht="22.5" customHeight="1">
      <c r="A74" s="9"/>
      <c r="B74" s="27" t="s">
        <v>1801</v>
      </c>
      <c r="C74" s="27" t="s">
        <v>5205</v>
      </c>
      <c r="D74" s="28">
        <v>9.441129105E9</v>
      </c>
      <c r="E74" s="29"/>
      <c r="F74" s="143"/>
      <c r="G74" s="144">
        <v>46087.50512731481</v>
      </c>
      <c r="H74" s="27" t="s">
        <v>1729</v>
      </c>
      <c r="I74" s="70" t="s">
        <v>1727</v>
      </c>
      <c r="J74" s="27" t="s">
        <v>5134</v>
      </c>
      <c r="K74" s="145">
        <v>25.0</v>
      </c>
    </row>
    <row r="75" ht="22.5" customHeight="1">
      <c r="B75" s="27" t="s">
        <v>1802</v>
      </c>
      <c r="C75" s="27" t="s">
        <v>5206</v>
      </c>
      <c r="D75" s="28">
        <v>9.440875856E9</v>
      </c>
      <c r="E75" s="29"/>
      <c r="F75" s="143"/>
      <c r="G75" s="144">
        <v>46087.50512731481</v>
      </c>
      <c r="H75" s="27" t="s">
        <v>1729</v>
      </c>
      <c r="I75" s="70" t="s">
        <v>1727</v>
      </c>
      <c r="J75" s="27" t="s">
        <v>5134</v>
      </c>
      <c r="K75" s="145">
        <v>25.0</v>
      </c>
    </row>
    <row r="76" ht="22.5" customHeight="1">
      <c r="A76" s="9"/>
      <c r="B76" s="27" t="s">
        <v>1803</v>
      </c>
      <c r="C76" s="27" t="s">
        <v>5207</v>
      </c>
      <c r="D76" s="28">
        <v>7.981312146E9</v>
      </c>
      <c r="E76" s="29"/>
      <c r="F76" s="143"/>
      <c r="G76" s="144">
        <v>46087.50512731481</v>
      </c>
      <c r="H76" s="27" t="s">
        <v>1729</v>
      </c>
      <c r="I76" s="70" t="s">
        <v>1727</v>
      </c>
      <c r="J76" s="27" t="s">
        <v>5134</v>
      </c>
      <c r="K76" s="145">
        <v>25.0</v>
      </c>
    </row>
    <row r="77" ht="22.5" customHeight="1">
      <c r="A77" s="9"/>
      <c r="B77" s="27" t="s">
        <v>1804</v>
      </c>
      <c r="C77" s="27" t="s">
        <v>5208</v>
      </c>
      <c r="D77" s="28">
        <v>9.618046007E9</v>
      </c>
      <c r="E77" s="29"/>
      <c r="F77" s="143"/>
      <c r="G77" s="144">
        <v>46087.50511574074</v>
      </c>
      <c r="H77" s="27" t="s">
        <v>1731</v>
      </c>
      <c r="I77" s="70" t="s">
        <v>1727</v>
      </c>
      <c r="J77" s="27" t="s">
        <v>5134</v>
      </c>
      <c r="K77" s="145">
        <v>25.0</v>
      </c>
    </row>
    <row r="78" ht="22.5" customHeight="1">
      <c r="B78" s="27" t="s">
        <v>1805</v>
      </c>
      <c r="C78" s="27" t="s">
        <v>5209</v>
      </c>
      <c r="D78" s="28">
        <v>8.897572112E9</v>
      </c>
      <c r="E78" s="29"/>
      <c r="F78" s="143"/>
      <c r="G78" s="144">
        <v>46087.50511574074</v>
      </c>
      <c r="H78" s="27" t="s">
        <v>1729</v>
      </c>
      <c r="I78" s="70" t="s">
        <v>1727</v>
      </c>
      <c r="J78" s="27" t="s">
        <v>5134</v>
      </c>
      <c r="K78" s="145">
        <v>25.0</v>
      </c>
    </row>
    <row r="79" ht="22.5" customHeight="1">
      <c r="A79" s="9"/>
      <c r="B79" s="27" t="s">
        <v>1806</v>
      </c>
      <c r="C79" s="27" t="s">
        <v>5210</v>
      </c>
      <c r="D79" s="28">
        <v>9.908593822E9</v>
      </c>
      <c r="E79" s="29"/>
      <c r="F79" s="143"/>
      <c r="G79" s="144">
        <v>46087.50511574074</v>
      </c>
      <c r="H79" s="27" t="s">
        <v>1729</v>
      </c>
      <c r="I79" s="70" t="s">
        <v>1727</v>
      </c>
      <c r="J79" s="27" t="s">
        <v>5134</v>
      </c>
      <c r="K79" s="145">
        <v>25.0</v>
      </c>
    </row>
    <row r="80" ht="22.5" customHeight="1">
      <c r="A80" s="9"/>
      <c r="B80" s="27" t="s">
        <v>1807</v>
      </c>
      <c r="C80" s="27" t="s">
        <v>5211</v>
      </c>
      <c r="D80" s="28">
        <v>9.704245808E9</v>
      </c>
      <c r="E80" s="29"/>
      <c r="F80" s="143"/>
      <c r="G80" s="144">
        <v>46087.50511574074</v>
      </c>
      <c r="H80" s="27" t="s">
        <v>1729</v>
      </c>
      <c r="I80" s="70" t="s">
        <v>1727</v>
      </c>
      <c r="J80" s="27" t="s">
        <v>5134</v>
      </c>
      <c r="K80" s="145">
        <v>25.0</v>
      </c>
    </row>
    <row r="81" ht="22.5" customHeight="1">
      <c r="B81" s="27" t="s">
        <v>1808</v>
      </c>
      <c r="C81" s="27" t="s">
        <v>5212</v>
      </c>
      <c r="D81" s="28">
        <v>9.550614678E9</v>
      </c>
      <c r="E81" s="29"/>
      <c r="F81" s="143"/>
      <c r="G81" s="144">
        <v>46087.50511574074</v>
      </c>
      <c r="H81" s="27" t="s">
        <v>1729</v>
      </c>
      <c r="I81" s="70" t="s">
        <v>1727</v>
      </c>
      <c r="J81" s="27" t="s">
        <v>5134</v>
      </c>
      <c r="K81" s="145">
        <v>25.0</v>
      </c>
    </row>
    <row r="82" ht="22.5" customHeight="1">
      <c r="A82" s="9"/>
      <c r="B82" s="27" t="s">
        <v>1809</v>
      </c>
      <c r="C82" s="27" t="s">
        <v>5213</v>
      </c>
      <c r="D82" s="28">
        <v>9.505713724E9</v>
      </c>
      <c r="E82" s="29"/>
      <c r="F82" s="143"/>
      <c r="G82" s="144">
        <v>46087.50511574074</v>
      </c>
      <c r="H82" s="27" t="s">
        <v>1729</v>
      </c>
      <c r="I82" s="70" t="s">
        <v>1727</v>
      </c>
      <c r="J82" s="27" t="s">
        <v>5134</v>
      </c>
      <c r="K82" s="145">
        <v>25.0</v>
      </c>
    </row>
    <row r="83" ht="22.5" customHeight="1">
      <c r="A83" s="9"/>
      <c r="B83" s="27" t="s">
        <v>1810</v>
      </c>
      <c r="C83" s="27" t="s">
        <v>5214</v>
      </c>
      <c r="D83" s="28">
        <v>9.493011616E9</v>
      </c>
      <c r="E83" s="29"/>
      <c r="F83" s="143"/>
      <c r="G83" s="144">
        <v>46087.50511574074</v>
      </c>
      <c r="H83" s="27" t="s">
        <v>1729</v>
      </c>
      <c r="I83" s="70" t="s">
        <v>1727</v>
      </c>
      <c r="J83" s="27" t="s">
        <v>5134</v>
      </c>
      <c r="K83" s="145">
        <v>25.0</v>
      </c>
    </row>
    <row r="84" ht="22.5" customHeight="1">
      <c r="B84" s="27" t="s">
        <v>1811</v>
      </c>
      <c r="C84" s="27" t="s">
        <v>5215</v>
      </c>
      <c r="D84" s="28">
        <v>9.989016189E9</v>
      </c>
      <c r="E84" s="29"/>
      <c r="F84" s="143"/>
      <c r="G84" s="144">
        <v>46087.50511574074</v>
      </c>
      <c r="H84" s="27" t="s">
        <v>1729</v>
      </c>
      <c r="I84" s="70" t="s">
        <v>1727</v>
      </c>
      <c r="J84" s="27" t="s">
        <v>5134</v>
      </c>
      <c r="K84" s="145">
        <v>25.0</v>
      </c>
    </row>
    <row r="85" ht="22.5" customHeight="1">
      <c r="A85" s="9"/>
      <c r="B85" s="27" t="s">
        <v>1812</v>
      </c>
      <c r="C85" s="27" t="s">
        <v>5216</v>
      </c>
      <c r="D85" s="28">
        <v>9.999859046E9</v>
      </c>
      <c r="E85" s="29"/>
      <c r="F85" s="143"/>
      <c r="G85" s="144">
        <v>46087.50511574074</v>
      </c>
      <c r="H85" s="27" t="s">
        <v>1729</v>
      </c>
      <c r="I85" s="70" t="s">
        <v>1727</v>
      </c>
      <c r="J85" s="27" t="s">
        <v>5134</v>
      </c>
      <c r="K85" s="145">
        <v>25.0</v>
      </c>
    </row>
    <row r="86" ht="22.5" customHeight="1">
      <c r="A86" s="9"/>
      <c r="B86" s="27" t="s">
        <v>1813</v>
      </c>
      <c r="C86" s="27" t="s">
        <v>5217</v>
      </c>
      <c r="D86" s="28">
        <v>9.666999759E9</v>
      </c>
      <c r="E86" s="29"/>
      <c r="F86" s="143"/>
      <c r="G86" s="144">
        <v>46087.50511574074</v>
      </c>
      <c r="H86" s="27" t="s">
        <v>1729</v>
      </c>
      <c r="I86" s="70" t="s">
        <v>1727</v>
      </c>
      <c r="J86" s="27" t="s">
        <v>5134</v>
      </c>
      <c r="K86" s="145">
        <v>25.0</v>
      </c>
    </row>
    <row r="87" ht="22.5" customHeight="1">
      <c r="B87" s="27" t="s">
        <v>1814</v>
      </c>
      <c r="C87" s="27" t="s">
        <v>5218</v>
      </c>
      <c r="D87" s="28">
        <v>9.70123576E9</v>
      </c>
      <c r="E87" s="29"/>
      <c r="F87" s="143"/>
      <c r="G87" s="144">
        <v>46087.50511574074</v>
      </c>
      <c r="H87" s="27" t="s">
        <v>1729</v>
      </c>
      <c r="I87" s="70" t="s">
        <v>1727</v>
      </c>
      <c r="J87" s="27" t="s">
        <v>5134</v>
      </c>
      <c r="K87" s="145">
        <v>25.0</v>
      </c>
    </row>
    <row r="88" ht="22.5" customHeight="1">
      <c r="A88" s="9"/>
      <c r="B88" s="27" t="s">
        <v>1815</v>
      </c>
      <c r="C88" s="27" t="s">
        <v>5219</v>
      </c>
      <c r="D88" s="28">
        <v>9.972607931E9</v>
      </c>
      <c r="E88" s="29"/>
      <c r="F88" s="143"/>
      <c r="G88" s="144">
        <v>46087.50510416667</v>
      </c>
      <c r="H88" s="27" t="s">
        <v>1729</v>
      </c>
      <c r="I88" s="70" t="s">
        <v>1727</v>
      </c>
      <c r="J88" s="27" t="s">
        <v>5134</v>
      </c>
      <c r="K88" s="145">
        <v>25.0</v>
      </c>
    </row>
    <row r="89" ht="22.5" customHeight="1">
      <c r="A89" s="9"/>
      <c r="B89" s="27" t="s">
        <v>1816</v>
      </c>
      <c r="C89" s="27" t="s">
        <v>5220</v>
      </c>
      <c r="D89" s="28">
        <v>9.966398019E9</v>
      </c>
      <c r="E89" s="29"/>
      <c r="F89" s="143"/>
      <c r="G89" s="144">
        <v>46087.50510416667</v>
      </c>
      <c r="H89" s="27" t="s">
        <v>1729</v>
      </c>
      <c r="I89" s="70" t="s">
        <v>1727</v>
      </c>
      <c r="J89" s="27" t="s">
        <v>5134</v>
      </c>
      <c r="K89" s="145">
        <v>25.0</v>
      </c>
    </row>
    <row r="90" ht="22.5" customHeight="1">
      <c r="B90" s="27" t="s">
        <v>1817</v>
      </c>
      <c r="C90" s="27" t="s">
        <v>5221</v>
      </c>
      <c r="D90" s="28">
        <v>9.100840378E9</v>
      </c>
      <c r="E90" s="29"/>
      <c r="F90" s="143"/>
      <c r="G90" s="144">
        <v>46087.50510416667</v>
      </c>
      <c r="H90" s="27" t="s">
        <v>1729</v>
      </c>
      <c r="I90" s="70" t="s">
        <v>1727</v>
      </c>
      <c r="J90" s="27" t="s">
        <v>5134</v>
      </c>
      <c r="K90" s="145">
        <v>25.0</v>
      </c>
    </row>
    <row r="91" ht="22.5" customHeight="1">
      <c r="A91" s="9"/>
      <c r="B91" s="27" t="s">
        <v>1818</v>
      </c>
      <c r="C91" s="27" t="s">
        <v>5222</v>
      </c>
      <c r="D91" s="28">
        <v>9.492753505E9</v>
      </c>
      <c r="E91" s="29"/>
      <c r="F91" s="143"/>
      <c r="G91" s="144">
        <v>46087.50510416667</v>
      </c>
      <c r="H91" s="27" t="s">
        <v>1731</v>
      </c>
      <c r="I91" s="70" t="s">
        <v>1727</v>
      </c>
      <c r="J91" s="27" t="s">
        <v>5134</v>
      </c>
      <c r="K91" s="145">
        <v>25.0</v>
      </c>
    </row>
    <row r="92" ht="22.5" customHeight="1">
      <c r="A92" s="9"/>
      <c r="B92" s="27" t="s">
        <v>1819</v>
      </c>
      <c r="C92" s="27" t="s">
        <v>5223</v>
      </c>
      <c r="D92" s="28">
        <v>9.98914E9</v>
      </c>
      <c r="E92" s="29"/>
      <c r="F92" s="143"/>
      <c r="G92" s="144">
        <v>46087.50510416667</v>
      </c>
      <c r="H92" s="27" t="s">
        <v>1729</v>
      </c>
      <c r="I92" s="70" t="s">
        <v>1727</v>
      </c>
      <c r="J92" s="27" t="s">
        <v>5134</v>
      </c>
      <c r="K92" s="145">
        <v>25.0</v>
      </c>
    </row>
    <row r="93" ht="22.5" customHeight="1">
      <c r="B93" s="27" t="s">
        <v>1820</v>
      </c>
      <c r="C93" s="27" t="s">
        <v>5224</v>
      </c>
      <c r="D93" s="28">
        <v>9.963421184E9</v>
      </c>
      <c r="E93" s="29"/>
      <c r="F93" s="143"/>
      <c r="G93" s="144">
        <v>46087.50510416667</v>
      </c>
      <c r="H93" s="27" t="s">
        <v>1729</v>
      </c>
      <c r="I93" s="70" t="s">
        <v>1727</v>
      </c>
      <c r="J93" s="27" t="s">
        <v>5134</v>
      </c>
      <c r="K93" s="145">
        <v>25.0</v>
      </c>
    </row>
    <row r="94" ht="22.5" customHeight="1">
      <c r="A94" s="9"/>
      <c r="B94" s="27" t="s">
        <v>1821</v>
      </c>
      <c r="C94" s="27" t="s">
        <v>5225</v>
      </c>
      <c r="D94" s="28">
        <v>9.182980192E9</v>
      </c>
      <c r="E94" s="29"/>
      <c r="F94" s="143"/>
      <c r="G94" s="144">
        <v>46087.50510416667</v>
      </c>
      <c r="H94" s="27" t="s">
        <v>1729</v>
      </c>
      <c r="I94" s="70" t="s">
        <v>1727</v>
      </c>
      <c r="J94" s="27" t="s">
        <v>5134</v>
      </c>
      <c r="K94" s="145">
        <v>25.0</v>
      </c>
    </row>
    <row r="95" ht="22.5" customHeight="1">
      <c r="A95" s="9"/>
      <c r="B95" s="27" t="s">
        <v>1822</v>
      </c>
      <c r="C95" s="27" t="s">
        <v>5226</v>
      </c>
      <c r="D95" s="28">
        <v>6.304068476E9</v>
      </c>
      <c r="E95" s="29"/>
      <c r="F95" s="143"/>
      <c r="G95" s="144">
        <v>46087.50510416667</v>
      </c>
      <c r="H95" s="27" t="s">
        <v>1729</v>
      </c>
      <c r="I95" s="70" t="s">
        <v>1727</v>
      </c>
      <c r="J95" s="27" t="s">
        <v>5134</v>
      </c>
      <c r="K95" s="145">
        <v>25.0</v>
      </c>
    </row>
    <row r="96" ht="22.5" customHeight="1">
      <c r="B96" s="27" t="s">
        <v>1823</v>
      </c>
      <c r="C96" s="27" t="s">
        <v>5227</v>
      </c>
      <c r="D96" s="28">
        <v>9.704741554E9</v>
      </c>
      <c r="E96" s="29"/>
      <c r="F96" s="143"/>
      <c r="G96" s="144">
        <v>46087.50510416667</v>
      </c>
      <c r="H96" s="27" t="s">
        <v>1731</v>
      </c>
      <c r="I96" s="70" t="s">
        <v>1727</v>
      </c>
      <c r="J96" s="27" t="s">
        <v>5134</v>
      </c>
      <c r="K96" s="145">
        <v>25.0</v>
      </c>
    </row>
    <row r="97" ht="22.5" customHeight="1">
      <c r="A97" s="9"/>
      <c r="B97" s="27" t="s">
        <v>1824</v>
      </c>
      <c r="C97" s="27" t="s">
        <v>5228</v>
      </c>
      <c r="D97" s="28">
        <v>9.966692692E9</v>
      </c>
      <c r="E97" s="29"/>
      <c r="F97" s="143"/>
      <c r="G97" s="144">
        <v>46087.50510416667</v>
      </c>
      <c r="H97" s="27" t="s">
        <v>1729</v>
      </c>
      <c r="I97" s="70" t="s">
        <v>1727</v>
      </c>
      <c r="J97" s="27" t="s">
        <v>5134</v>
      </c>
      <c r="K97" s="145">
        <v>25.0</v>
      </c>
    </row>
    <row r="98" ht="22.5" customHeight="1">
      <c r="A98" s="9"/>
      <c r="B98" s="27" t="s">
        <v>1825</v>
      </c>
      <c r="C98" s="27" t="s">
        <v>5229</v>
      </c>
      <c r="D98" s="28">
        <v>9.949744077E9</v>
      </c>
      <c r="E98" s="29"/>
      <c r="F98" s="143"/>
      <c r="G98" s="144">
        <v>46087.50509259259</v>
      </c>
      <c r="H98" s="27" t="s">
        <v>1731</v>
      </c>
      <c r="I98" s="70" t="s">
        <v>1727</v>
      </c>
      <c r="J98" s="27" t="s">
        <v>5134</v>
      </c>
      <c r="K98" s="145">
        <v>25.0</v>
      </c>
    </row>
    <row r="99" ht="22.5" customHeight="1">
      <c r="B99" s="27" t="s">
        <v>1826</v>
      </c>
      <c r="C99" s="27" t="s">
        <v>5230</v>
      </c>
      <c r="D99" s="28">
        <v>8.019177585E9</v>
      </c>
      <c r="E99" s="29"/>
      <c r="F99" s="143"/>
      <c r="G99" s="144">
        <v>46087.50509259259</v>
      </c>
      <c r="H99" s="27" t="s">
        <v>1729</v>
      </c>
      <c r="I99" s="70" t="s">
        <v>1727</v>
      </c>
      <c r="J99" s="27" t="s">
        <v>5134</v>
      </c>
      <c r="K99" s="145">
        <v>25.0</v>
      </c>
    </row>
    <row r="100" ht="22.5" customHeight="1">
      <c r="A100" s="9"/>
      <c r="B100" s="27" t="s">
        <v>1827</v>
      </c>
      <c r="C100" s="27" t="s">
        <v>5231</v>
      </c>
      <c r="D100" s="28">
        <v>9.398500244E9</v>
      </c>
      <c r="E100" s="29"/>
      <c r="F100" s="143"/>
      <c r="G100" s="144">
        <v>46087.50509259259</v>
      </c>
      <c r="H100" s="27" t="s">
        <v>1729</v>
      </c>
      <c r="I100" s="70" t="s">
        <v>1727</v>
      </c>
      <c r="J100" s="27" t="s">
        <v>5134</v>
      </c>
      <c r="K100" s="145">
        <v>25.0</v>
      </c>
    </row>
    <row r="101" ht="22.5" customHeight="1">
      <c r="A101" s="9"/>
      <c r="B101" s="27" t="s">
        <v>1828</v>
      </c>
      <c r="C101" s="27" t="s">
        <v>5232</v>
      </c>
      <c r="D101" s="28">
        <v>9.848625961E9</v>
      </c>
      <c r="E101" s="29"/>
      <c r="F101" s="143"/>
      <c r="G101" s="144">
        <v>46087.50509259259</v>
      </c>
      <c r="H101" s="27" t="s">
        <v>1729</v>
      </c>
      <c r="I101" s="70" t="s">
        <v>1727</v>
      </c>
      <c r="J101" s="27" t="s">
        <v>5134</v>
      </c>
      <c r="K101" s="145">
        <v>25.0</v>
      </c>
    </row>
    <row r="102" ht="22.5" customHeight="1">
      <c r="B102" s="27" t="s">
        <v>1829</v>
      </c>
      <c r="C102" s="27" t="s">
        <v>5233</v>
      </c>
      <c r="D102" s="28">
        <v>7.981649859E9</v>
      </c>
      <c r="E102" s="29"/>
      <c r="F102" s="143"/>
      <c r="G102" s="144">
        <v>46087.50509259259</v>
      </c>
      <c r="H102" s="27" t="s">
        <v>1729</v>
      </c>
      <c r="I102" s="70" t="s">
        <v>1727</v>
      </c>
      <c r="J102" s="27" t="s">
        <v>5134</v>
      </c>
      <c r="K102" s="145">
        <v>25.0</v>
      </c>
    </row>
    <row r="103" ht="22.5" customHeight="1">
      <c r="A103" s="9"/>
      <c r="B103" s="27" t="s">
        <v>1830</v>
      </c>
      <c r="C103" s="27" t="s">
        <v>5234</v>
      </c>
      <c r="D103" s="28">
        <v>8.686223456E9</v>
      </c>
      <c r="E103" s="29"/>
      <c r="F103" s="143"/>
      <c r="G103" s="144">
        <v>46087.46341435185</v>
      </c>
      <c r="H103" s="27" t="s">
        <v>1729</v>
      </c>
      <c r="I103" s="70" t="s">
        <v>1727</v>
      </c>
      <c r="J103" s="27" t="s">
        <v>5134</v>
      </c>
      <c r="K103" s="145">
        <v>25.0</v>
      </c>
    </row>
    <row r="104" ht="22.5" customHeight="1">
      <c r="A104" s="9"/>
      <c r="B104" s="27" t="s">
        <v>1831</v>
      </c>
      <c r="C104" s="27" t="s">
        <v>5235</v>
      </c>
      <c r="D104" s="28">
        <v>9.989888014E9</v>
      </c>
      <c r="E104" s="29"/>
      <c r="F104" s="143"/>
      <c r="G104" s="144">
        <v>46087.46341435185</v>
      </c>
      <c r="H104" s="27" t="s">
        <v>1729</v>
      </c>
      <c r="I104" s="70" t="s">
        <v>1727</v>
      </c>
      <c r="J104" s="27" t="s">
        <v>5134</v>
      </c>
      <c r="K104" s="145">
        <v>25.0</v>
      </c>
    </row>
    <row r="105" ht="22.5" customHeight="1">
      <c r="B105" s="27" t="s">
        <v>1832</v>
      </c>
      <c r="C105" s="27" t="s">
        <v>5235</v>
      </c>
      <c r="D105" s="28">
        <v>9.491656009E9</v>
      </c>
      <c r="E105" s="29"/>
      <c r="F105" s="143"/>
      <c r="G105" s="144">
        <v>46087.46341435185</v>
      </c>
      <c r="H105" s="27" t="s">
        <v>1729</v>
      </c>
      <c r="I105" s="70" t="s">
        <v>1727</v>
      </c>
      <c r="J105" s="27" t="s">
        <v>5134</v>
      </c>
      <c r="K105" s="145">
        <v>25.0</v>
      </c>
    </row>
    <row r="106" ht="22.5" customHeight="1">
      <c r="A106" s="9"/>
      <c r="B106" s="27" t="s">
        <v>1833</v>
      </c>
      <c r="C106" s="27" t="s">
        <v>5236</v>
      </c>
      <c r="D106" s="28">
        <v>9.908367862E9</v>
      </c>
      <c r="E106" s="29"/>
      <c r="F106" s="143"/>
      <c r="G106" s="144">
        <v>46087.46341435185</v>
      </c>
      <c r="H106" s="27" t="s">
        <v>1729</v>
      </c>
      <c r="I106" s="70" t="s">
        <v>1727</v>
      </c>
      <c r="J106" s="27" t="s">
        <v>5134</v>
      </c>
      <c r="K106" s="145">
        <v>25.0</v>
      </c>
    </row>
    <row r="107" ht="22.5" customHeight="1">
      <c r="A107" s="9"/>
      <c r="B107" s="27" t="s">
        <v>1834</v>
      </c>
      <c r="C107" s="27" t="s">
        <v>5237</v>
      </c>
      <c r="D107" s="28">
        <v>8.68876527E9</v>
      </c>
      <c r="E107" s="29"/>
      <c r="F107" s="143"/>
      <c r="G107" s="144">
        <v>46087.46341435185</v>
      </c>
      <c r="H107" s="27" t="s">
        <v>1729</v>
      </c>
      <c r="I107" s="70" t="s">
        <v>1727</v>
      </c>
      <c r="J107" s="27" t="s">
        <v>5134</v>
      </c>
      <c r="K107" s="145">
        <v>25.0</v>
      </c>
    </row>
    <row r="108" ht="22.5" customHeight="1">
      <c r="B108" s="27" t="s">
        <v>1835</v>
      </c>
      <c r="C108" s="27" t="s">
        <v>5238</v>
      </c>
      <c r="D108" s="28">
        <v>7.506757941E9</v>
      </c>
      <c r="E108" s="29"/>
      <c r="F108" s="143"/>
      <c r="G108" s="144">
        <v>46087.46341435185</v>
      </c>
      <c r="H108" s="27" t="s">
        <v>1729</v>
      </c>
      <c r="I108" s="70" t="s">
        <v>1727</v>
      </c>
      <c r="J108" s="27" t="s">
        <v>5134</v>
      </c>
      <c r="K108" s="145">
        <v>25.0</v>
      </c>
    </row>
    <row r="109" ht="22.5" customHeight="1">
      <c r="A109" s="9"/>
      <c r="B109" s="27" t="s">
        <v>1836</v>
      </c>
      <c r="C109" s="27" t="s">
        <v>5239</v>
      </c>
      <c r="D109" s="28">
        <v>9.581888788E9</v>
      </c>
      <c r="E109" s="143"/>
      <c r="F109" s="143"/>
      <c r="G109" s="144">
        <v>46087.46341435185</v>
      </c>
      <c r="H109" s="27" t="s">
        <v>1729</v>
      </c>
      <c r="I109" s="70" t="s">
        <v>1727</v>
      </c>
      <c r="J109" s="27" t="s">
        <v>5134</v>
      </c>
      <c r="K109" s="145">
        <v>25.0</v>
      </c>
    </row>
    <row r="110" ht="22.5" customHeight="1">
      <c r="A110" s="9"/>
      <c r="B110" s="27" t="s">
        <v>1837</v>
      </c>
      <c r="C110" s="27" t="s">
        <v>5240</v>
      </c>
      <c r="D110" s="28">
        <v>9.949982745E9</v>
      </c>
      <c r="E110" s="29"/>
      <c r="F110" s="143"/>
      <c r="G110" s="144">
        <v>46087.46341435185</v>
      </c>
      <c r="H110" s="27" t="s">
        <v>1729</v>
      </c>
      <c r="I110" s="70" t="s">
        <v>1727</v>
      </c>
      <c r="J110" s="27" t="s">
        <v>5134</v>
      </c>
      <c r="K110" s="145">
        <v>25.0</v>
      </c>
    </row>
    <row r="111" ht="22.5" customHeight="1">
      <c r="B111" s="27" t="s">
        <v>1838</v>
      </c>
      <c r="C111" s="27" t="s">
        <v>5241</v>
      </c>
      <c r="D111" s="28">
        <v>9.000209639E9</v>
      </c>
      <c r="E111" s="29"/>
      <c r="F111" s="143"/>
      <c r="G111" s="144">
        <v>46087.46341435185</v>
      </c>
      <c r="H111" s="27" t="s">
        <v>1729</v>
      </c>
      <c r="I111" s="70" t="s">
        <v>1727</v>
      </c>
      <c r="J111" s="27" t="s">
        <v>5134</v>
      </c>
      <c r="K111" s="145">
        <v>25.0</v>
      </c>
    </row>
    <row r="112" ht="22.5" customHeight="1">
      <c r="A112" s="9"/>
      <c r="B112" s="27" t="s">
        <v>1839</v>
      </c>
      <c r="C112" s="27" t="s">
        <v>5242</v>
      </c>
      <c r="D112" s="28">
        <v>9.866916692E9</v>
      </c>
      <c r="E112" s="29"/>
      <c r="F112" s="143"/>
      <c r="G112" s="144">
        <v>46087.46341435185</v>
      </c>
      <c r="H112" s="27" t="s">
        <v>1729</v>
      </c>
      <c r="I112" s="70" t="s">
        <v>1727</v>
      </c>
      <c r="J112" s="27" t="s">
        <v>5134</v>
      </c>
      <c r="K112" s="145">
        <v>25.0</v>
      </c>
    </row>
    <row r="113" ht="22.5" customHeight="1">
      <c r="A113" s="9"/>
      <c r="B113" s="27" t="s">
        <v>1840</v>
      </c>
      <c r="C113" s="27" t="s">
        <v>5243</v>
      </c>
      <c r="D113" s="28">
        <v>9.885922163E9</v>
      </c>
      <c r="E113" s="29"/>
      <c r="F113" s="143"/>
      <c r="G113" s="144">
        <v>46087.46341435185</v>
      </c>
      <c r="H113" s="27" t="s">
        <v>1729</v>
      </c>
      <c r="I113" s="70" t="s">
        <v>1727</v>
      </c>
      <c r="J113" s="27" t="s">
        <v>5134</v>
      </c>
      <c r="K113" s="145">
        <v>25.0</v>
      </c>
    </row>
    <row r="114" ht="22.5" customHeight="1">
      <c r="B114" s="27" t="s">
        <v>1841</v>
      </c>
      <c r="C114" s="27" t="s">
        <v>5244</v>
      </c>
      <c r="D114" s="28">
        <v>9.491992476E9</v>
      </c>
      <c r="E114" s="29"/>
      <c r="F114" s="143"/>
      <c r="G114" s="144">
        <v>46087.46341435185</v>
      </c>
      <c r="H114" s="27" t="s">
        <v>1729</v>
      </c>
      <c r="I114" s="70" t="s">
        <v>1727</v>
      </c>
      <c r="J114" s="27" t="s">
        <v>5134</v>
      </c>
      <c r="K114" s="145">
        <v>25.0</v>
      </c>
    </row>
    <row r="115" ht="22.5" customHeight="1">
      <c r="A115" s="9"/>
      <c r="B115" s="27" t="s">
        <v>1842</v>
      </c>
      <c r="C115" s="27" t="s">
        <v>5245</v>
      </c>
      <c r="D115" s="28">
        <v>9.391144991E9</v>
      </c>
      <c r="E115" s="29"/>
      <c r="F115" s="143"/>
      <c r="G115" s="144">
        <v>46087.46341435185</v>
      </c>
      <c r="H115" s="27" t="s">
        <v>1729</v>
      </c>
      <c r="I115" s="70" t="s">
        <v>1727</v>
      </c>
      <c r="J115" s="27" t="s">
        <v>5134</v>
      </c>
      <c r="K115" s="145">
        <v>25.0</v>
      </c>
    </row>
    <row r="116" ht="22.5" customHeight="1">
      <c r="A116" s="9"/>
      <c r="B116" s="27" t="s">
        <v>1843</v>
      </c>
      <c r="C116" s="27" t="s">
        <v>5246</v>
      </c>
      <c r="D116" s="28">
        <v>9.44001268E9</v>
      </c>
      <c r="E116" s="29"/>
      <c r="F116" s="143"/>
      <c r="G116" s="144">
        <v>46087.46341435185</v>
      </c>
      <c r="H116" s="27" t="s">
        <v>1729</v>
      </c>
      <c r="I116" s="70" t="s">
        <v>1727</v>
      </c>
      <c r="J116" s="27" t="s">
        <v>5134</v>
      </c>
      <c r="K116" s="145">
        <v>25.0</v>
      </c>
    </row>
    <row r="117" ht="22.5" customHeight="1">
      <c r="B117" s="27" t="s">
        <v>1844</v>
      </c>
      <c r="C117" s="27" t="s">
        <v>5247</v>
      </c>
      <c r="D117" s="28">
        <v>9.032401005E9</v>
      </c>
      <c r="E117" s="29"/>
      <c r="F117" s="143"/>
      <c r="G117" s="144">
        <v>46087.46341435185</v>
      </c>
      <c r="H117" s="27" t="s">
        <v>1729</v>
      </c>
      <c r="I117" s="70" t="s">
        <v>1727</v>
      </c>
      <c r="J117" s="27" t="s">
        <v>5134</v>
      </c>
      <c r="K117" s="145">
        <v>25.0</v>
      </c>
    </row>
    <row r="118" ht="22.5" customHeight="1">
      <c r="A118" s="9"/>
      <c r="B118" s="27" t="s">
        <v>1845</v>
      </c>
      <c r="C118" s="27" t="s">
        <v>5248</v>
      </c>
      <c r="D118" s="28">
        <v>9.527804047E9</v>
      </c>
      <c r="E118" s="29"/>
      <c r="F118" s="143"/>
      <c r="G118" s="144">
        <v>46087.46341435185</v>
      </c>
      <c r="H118" s="27" t="s">
        <v>1729</v>
      </c>
      <c r="I118" s="70" t="s">
        <v>1727</v>
      </c>
      <c r="J118" s="27" t="s">
        <v>5134</v>
      </c>
      <c r="K118" s="145">
        <v>25.0</v>
      </c>
    </row>
    <row r="119" ht="22.5" customHeight="1">
      <c r="A119" s="9"/>
      <c r="B119" s="27" t="s">
        <v>1846</v>
      </c>
      <c r="C119" s="27" t="s">
        <v>5249</v>
      </c>
      <c r="D119" s="28">
        <v>9.849607475E9</v>
      </c>
      <c r="E119" s="29"/>
      <c r="F119" s="143"/>
      <c r="G119" s="144">
        <v>46087.46341435185</v>
      </c>
      <c r="H119" s="27" t="s">
        <v>1729</v>
      </c>
      <c r="I119" s="70" t="s">
        <v>1727</v>
      </c>
      <c r="J119" s="27" t="s">
        <v>5134</v>
      </c>
      <c r="K119" s="145">
        <v>25.0</v>
      </c>
    </row>
    <row r="120" ht="22.5" customHeight="1">
      <c r="B120" s="27" t="s">
        <v>1847</v>
      </c>
      <c r="C120" s="27" t="s">
        <v>5250</v>
      </c>
      <c r="D120" s="28">
        <v>7.569632203E9</v>
      </c>
      <c r="E120" s="29"/>
      <c r="F120" s="143"/>
      <c r="G120" s="144">
        <v>46087.46341435185</v>
      </c>
      <c r="H120" s="27" t="s">
        <v>1729</v>
      </c>
      <c r="I120" s="70" t="s">
        <v>1727</v>
      </c>
      <c r="J120" s="27" t="s">
        <v>5134</v>
      </c>
      <c r="K120" s="145">
        <v>25.0</v>
      </c>
    </row>
    <row r="121" ht="22.5" customHeight="1">
      <c r="A121" s="9"/>
      <c r="B121" s="27" t="s">
        <v>1848</v>
      </c>
      <c r="C121" s="27" t="s">
        <v>5251</v>
      </c>
      <c r="D121" s="28">
        <v>8.977944466E9</v>
      </c>
      <c r="E121" s="29"/>
      <c r="F121" s="143"/>
      <c r="G121" s="144">
        <v>46087.46341435185</v>
      </c>
      <c r="H121" s="27" t="s">
        <v>1729</v>
      </c>
      <c r="I121" s="70" t="s">
        <v>1727</v>
      </c>
      <c r="J121" s="27" t="s">
        <v>5134</v>
      </c>
      <c r="K121" s="145">
        <v>25.0</v>
      </c>
    </row>
    <row r="122" ht="22.5" customHeight="1">
      <c r="A122" s="9"/>
      <c r="B122" s="27" t="s">
        <v>1849</v>
      </c>
      <c r="C122" s="27" t="s">
        <v>5252</v>
      </c>
      <c r="D122" s="28">
        <v>9.949094576E9</v>
      </c>
      <c r="E122" s="29"/>
      <c r="F122" s="143"/>
      <c r="G122" s="144">
        <v>46087.46341435185</v>
      </c>
      <c r="H122" s="27" t="s">
        <v>1729</v>
      </c>
      <c r="I122" s="70" t="s">
        <v>1727</v>
      </c>
      <c r="J122" s="27" t="s">
        <v>5134</v>
      </c>
      <c r="K122" s="145">
        <v>25.0</v>
      </c>
    </row>
    <row r="123" ht="22.5" customHeight="1">
      <c r="B123" s="27" t="s">
        <v>1850</v>
      </c>
      <c r="C123" s="27" t="s">
        <v>5253</v>
      </c>
      <c r="D123" s="28">
        <v>9.987254975E9</v>
      </c>
      <c r="E123" s="29"/>
      <c r="F123" s="143"/>
      <c r="G123" s="144">
        <v>46087.46341435185</v>
      </c>
      <c r="H123" s="27" t="s">
        <v>1729</v>
      </c>
      <c r="I123" s="70" t="s">
        <v>1727</v>
      </c>
      <c r="J123" s="27" t="s">
        <v>5134</v>
      </c>
      <c r="K123" s="145">
        <v>25.0</v>
      </c>
    </row>
    <row r="124" ht="22.5" customHeight="1">
      <c r="A124" s="9"/>
      <c r="B124" s="27" t="s">
        <v>1851</v>
      </c>
      <c r="C124" s="27" t="s">
        <v>5254</v>
      </c>
      <c r="D124" s="28">
        <v>9.490397999E9</v>
      </c>
      <c r="E124" s="29"/>
      <c r="F124" s="143"/>
      <c r="G124" s="144">
        <v>46087.46341435185</v>
      </c>
      <c r="H124" s="27" t="s">
        <v>1729</v>
      </c>
      <c r="I124" s="70" t="s">
        <v>1727</v>
      </c>
      <c r="J124" s="27" t="s">
        <v>5134</v>
      </c>
      <c r="K124" s="145">
        <v>25.0</v>
      </c>
    </row>
    <row r="125" ht="22.5" customHeight="1">
      <c r="A125" s="9"/>
      <c r="B125" s="27" t="s">
        <v>1852</v>
      </c>
      <c r="C125" s="27" t="s">
        <v>5255</v>
      </c>
      <c r="D125" s="28">
        <v>9.958192158E9</v>
      </c>
      <c r="E125" s="29"/>
      <c r="F125" s="143"/>
      <c r="G125" s="144">
        <v>46087.46341435185</v>
      </c>
      <c r="H125" s="27" t="s">
        <v>1729</v>
      </c>
      <c r="I125" s="70" t="s">
        <v>1727</v>
      </c>
      <c r="J125" s="27" t="s">
        <v>5134</v>
      </c>
      <c r="K125" s="145">
        <v>25.0</v>
      </c>
    </row>
    <row r="126" ht="22.5" customHeight="1">
      <c r="B126" s="27" t="s">
        <v>1853</v>
      </c>
      <c r="C126" s="27" t="s">
        <v>5256</v>
      </c>
      <c r="D126" s="28">
        <v>9.014782807E9</v>
      </c>
      <c r="E126" s="29"/>
      <c r="F126" s="143"/>
      <c r="G126" s="144">
        <v>46087.46341435185</v>
      </c>
      <c r="H126" s="27" t="s">
        <v>1729</v>
      </c>
      <c r="I126" s="70" t="s">
        <v>1727</v>
      </c>
      <c r="J126" s="27" t="s">
        <v>5134</v>
      </c>
      <c r="K126" s="145">
        <v>25.0</v>
      </c>
    </row>
    <row r="127" ht="22.5" customHeight="1">
      <c r="A127" s="9"/>
      <c r="B127" s="27" t="s">
        <v>1854</v>
      </c>
      <c r="C127" s="27" t="s">
        <v>5257</v>
      </c>
      <c r="D127" s="28">
        <v>9.652420108E9</v>
      </c>
      <c r="E127" s="29"/>
      <c r="F127" s="143"/>
      <c r="G127" s="144">
        <v>46087.46341435185</v>
      </c>
      <c r="H127" s="27" t="s">
        <v>1729</v>
      </c>
      <c r="I127" s="70" t="s">
        <v>1727</v>
      </c>
      <c r="J127" s="27" t="s">
        <v>5134</v>
      </c>
      <c r="K127" s="145">
        <v>25.0</v>
      </c>
    </row>
    <row r="128" ht="22.5" customHeight="1">
      <c r="A128" s="9"/>
      <c r="B128" s="27" t="s">
        <v>1855</v>
      </c>
      <c r="C128" s="27" t="s">
        <v>5258</v>
      </c>
      <c r="D128" s="28">
        <v>9.493157984E9</v>
      </c>
      <c r="E128" s="29"/>
      <c r="F128" s="143"/>
      <c r="G128" s="144">
        <v>46087.46341435185</v>
      </c>
      <c r="H128" s="27" t="s">
        <v>1729</v>
      </c>
      <c r="I128" s="70" t="s">
        <v>1727</v>
      </c>
      <c r="J128" s="27" t="s">
        <v>5134</v>
      </c>
      <c r="K128" s="145">
        <v>25.0</v>
      </c>
    </row>
    <row r="129" ht="22.5" customHeight="1">
      <c r="B129" s="27" t="s">
        <v>1856</v>
      </c>
      <c r="C129" s="27" t="s">
        <v>5259</v>
      </c>
      <c r="D129" s="28">
        <v>9.397939709E9</v>
      </c>
      <c r="E129" s="29"/>
      <c r="F129" s="143"/>
      <c r="G129" s="144">
        <v>46087.46341435185</v>
      </c>
      <c r="H129" s="27" t="s">
        <v>1729</v>
      </c>
      <c r="I129" s="70" t="s">
        <v>1727</v>
      </c>
      <c r="J129" s="27" t="s">
        <v>5134</v>
      </c>
      <c r="K129" s="145">
        <v>25.0</v>
      </c>
    </row>
    <row r="130" ht="22.5" customHeight="1">
      <c r="A130" s="9"/>
      <c r="B130" s="27" t="s">
        <v>1857</v>
      </c>
      <c r="C130" s="27" t="s">
        <v>5260</v>
      </c>
      <c r="D130" s="28">
        <v>7.330766774E9</v>
      </c>
      <c r="E130" s="29"/>
      <c r="F130" s="143"/>
      <c r="G130" s="144">
        <v>46087.46341435185</v>
      </c>
      <c r="H130" s="27" t="s">
        <v>1729</v>
      </c>
      <c r="I130" s="70" t="s">
        <v>1727</v>
      </c>
      <c r="J130" s="27" t="s">
        <v>5134</v>
      </c>
      <c r="K130" s="145">
        <v>25.0</v>
      </c>
    </row>
    <row r="131" ht="22.5" customHeight="1">
      <c r="A131" s="9"/>
      <c r="B131" s="27" t="s">
        <v>1858</v>
      </c>
      <c r="C131" s="27" t="s">
        <v>5261</v>
      </c>
      <c r="D131" s="28">
        <v>8.185897269E9</v>
      </c>
      <c r="E131" s="29"/>
      <c r="F131" s="143"/>
      <c r="G131" s="144">
        <v>46087.46341435185</v>
      </c>
      <c r="H131" s="27" t="s">
        <v>1729</v>
      </c>
      <c r="I131" s="70" t="s">
        <v>1727</v>
      </c>
      <c r="J131" s="27" t="s">
        <v>5134</v>
      </c>
      <c r="K131" s="145">
        <v>25.0</v>
      </c>
    </row>
    <row r="132" ht="22.5" customHeight="1">
      <c r="B132" s="27" t="s">
        <v>1859</v>
      </c>
      <c r="C132" s="27" t="s">
        <v>5262</v>
      </c>
      <c r="D132" s="28">
        <v>9.866115723E9</v>
      </c>
      <c r="E132" s="29"/>
      <c r="F132" s="143"/>
      <c r="G132" s="144">
        <v>46087.46341435185</v>
      </c>
      <c r="H132" s="27" t="s">
        <v>1731</v>
      </c>
      <c r="I132" s="70" t="s">
        <v>1727</v>
      </c>
      <c r="J132" s="27" t="s">
        <v>5134</v>
      </c>
      <c r="K132" s="145">
        <v>25.0</v>
      </c>
    </row>
    <row r="133" ht="22.5" customHeight="1">
      <c r="A133" s="9"/>
      <c r="B133" s="27" t="s">
        <v>1860</v>
      </c>
      <c r="C133" s="27" t="s">
        <v>5263</v>
      </c>
      <c r="D133" s="28">
        <v>9.346955332E9</v>
      </c>
      <c r="E133" s="29"/>
      <c r="F133" s="143"/>
      <c r="G133" s="144">
        <v>46087.46341435185</v>
      </c>
      <c r="H133" s="27" t="s">
        <v>1729</v>
      </c>
      <c r="I133" s="70" t="s">
        <v>1727</v>
      </c>
      <c r="J133" s="27" t="s">
        <v>5134</v>
      </c>
      <c r="K133" s="145">
        <v>25.0</v>
      </c>
    </row>
    <row r="134" ht="22.5" customHeight="1">
      <c r="A134" s="9"/>
      <c r="B134" s="27" t="s">
        <v>1861</v>
      </c>
      <c r="C134" s="27" t="s">
        <v>5264</v>
      </c>
      <c r="D134" s="28">
        <v>8.52205041E9</v>
      </c>
      <c r="E134" s="29"/>
      <c r="F134" s="143"/>
      <c r="G134" s="144">
        <v>46087.46341435185</v>
      </c>
      <c r="H134" s="27" t="s">
        <v>1729</v>
      </c>
      <c r="I134" s="70" t="s">
        <v>1727</v>
      </c>
      <c r="J134" s="27" t="s">
        <v>5134</v>
      </c>
      <c r="K134" s="145">
        <v>25.0</v>
      </c>
    </row>
    <row r="135" ht="22.5" customHeight="1">
      <c r="B135" s="27" t="s">
        <v>1862</v>
      </c>
      <c r="C135" s="27" t="s">
        <v>5265</v>
      </c>
      <c r="D135" s="28">
        <v>9.866599759E9</v>
      </c>
      <c r="E135" s="29"/>
      <c r="F135" s="29"/>
      <c r="G135" s="144">
        <v>46087.46341435185</v>
      </c>
      <c r="H135" s="27" t="s">
        <v>1729</v>
      </c>
      <c r="I135" s="70" t="s">
        <v>1727</v>
      </c>
      <c r="J135" s="27" t="s">
        <v>5134</v>
      </c>
      <c r="K135" s="145">
        <v>25.0</v>
      </c>
    </row>
    <row r="136" ht="22.5" customHeight="1">
      <c r="A136" s="9"/>
      <c r="B136" s="27" t="s">
        <v>1863</v>
      </c>
      <c r="C136" s="27" t="s">
        <v>5266</v>
      </c>
      <c r="D136" s="28">
        <v>9.030362404E9</v>
      </c>
      <c r="E136" s="29"/>
      <c r="F136" s="143"/>
      <c r="G136" s="144">
        <v>46087.46341435185</v>
      </c>
      <c r="H136" s="27" t="s">
        <v>1729</v>
      </c>
      <c r="I136" s="70" t="s">
        <v>1727</v>
      </c>
      <c r="J136" s="27" t="s">
        <v>5134</v>
      </c>
      <c r="K136" s="145">
        <v>25.0</v>
      </c>
    </row>
    <row r="137" ht="22.5" customHeight="1">
      <c r="A137" s="9"/>
      <c r="B137" s="27" t="s">
        <v>1864</v>
      </c>
      <c r="C137" s="27" t="s">
        <v>5267</v>
      </c>
      <c r="D137" s="28">
        <v>9.985778783E9</v>
      </c>
      <c r="E137" s="29"/>
      <c r="F137" s="143"/>
      <c r="G137" s="144">
        <v>46087.46341435185</v>
      </c>
      <c r="H137" s="27" t="s">
        <v>1729</v>
      </c>
      <c r="I137" s="70" t="s">
        <v>1727</v>
      </c>
      <c r="J137" s="27" t="s">
        <v>5134</v>
      </c>
      <c r="K137" s="145">
        <v>25.0</v>
      </c>
    </row>
    <row r="138" ht="22.5" customHeight="1">
      <c r="B138" s="27" t="s">
        <v>1865</v>
      </c>
      <c r="C138" s="27" t="s">
        <v>5268</v>
      </c>
      <c r="D138" s="28">
        <v>9.490070555E9</v>
      </c>
      <c r="E138" s="29"/>
      <c r="F138" s="143"/>
      <c r="G138" s="144">
        <v>46087.46341435185</v>
      </c>
      <c r="H138" s="27" t="s">
        <v>1729</v>
      </c>
      <c r="I138" s="70" t="s">
        <v>1727</v>
      </c>
      <c r="J138" s="27" t="s">
        <v>5134</v>
      </c>
      <c r="K138" s="145">
        <v>25.0</v>
      </c>
    </row>
    <row r="139" ht="22.5" customHeight="1">
      <c r="A139" s="9"/>
      <c r="B139" s="27" t="s">
        <v>1866</v>
      </c>
      <c r="C139" s="27" t="s">
        <v>5269</v>
      </c>
      <c r="D139" s="28">
        <v>7.416431669E9</v>
      </c>
      <c r="E139" s="29"/>
      <c r="F139" s="143"/>
      <c r="G139" s="144">
        <v>46087.46341435185</v>
      </c>
      <c r="H139" s="27" t="s">
        <v>1731</v>
      </c>
      <c r="I139" s="70" t="s">
        <v>1727</v>
      </c>
      <c r="J139" s="27" t="s">
        <v>5134</v>
      </c>
      <c r="K139" s="145">
        <v>25.0</v>
      </c>
    </row>
    <row r="140" ht="22.5" customHeight="1">
      <c r="A140" s="9"/>
      <c r="B140" s="27" t="s">
        <v>1867</v>
      </c>
      <c r="C140" s="27" t="s">
        <v>5270</v>
      </c>
      <c r="D140" s="28">
        <v>7.498318141E9</v>
      </c>
      <c r="E140" s="29"/>
      <c r="F140" s="143"/>
      <c r="G140" s="144">
        <v>46087.46341435185</v>
      </c>
      <c r="H140" s="27" t="s">
        <v>1731</v>
      </c>
      <c r="I140" s="70" t="s">
        <v>1727</v>
      </c>
      <c r="J140" s="27" t="s">
        <v>5134</v>
      </c>
      <c r="K140" s="145">
        <v>25.0</v>
      </c>
    </row>
    <row r="141" ht="22.5" customHeight="1">
      <c r="A141" s="9"/>
      <c r="B141" s="27" t="s">
        <v>1868</v>
      </c>
      <c r="C141" s="27" t="s">
        <v>5271</v>
      </c>
      <c r="D141" s="28">
        <v>7.780335284E9</v>
      </c>
      <c r="E141" s="29"/>
      <c r="F141" s="143"/>
      <c r="G141" s="144">
        <v>46087.46341435185</v>
      </c>
      <c r="H141" s="27" t="s">
        <v>1729</v>
      </c>
      <c r="I141" s="70" t="s">
        <v>1727</v>
      </c>
      <c r="J141" s="27" t="s">
        <v>5134</v>
      </c>
      <c r="K141" s="145">
        <v>25.0</v>
      </c>
    </row>
    <row r="142" ht="22.5" customHeight="1">
      <c r="A142" s="9"/>
      <c r="B142" s="27" t="s">
        <v>1869</v>
      </c>
      <c r="C142" s="27" t="s">
        <v>5272</v>
      </c>
      <c r="D142" s="28">
        <v>9.849621168E9</v>
      </c>
      <c r="E142" s="29"/>
      <c r="F142" s="143"/>
      <c r="G142" s="144">
        <v>46087.46341435185</v>
      </c>
      <c r="H142" s="27" t="s">
        <v>1729</v>
      </c>
      <c r="I142" s="70" t="s">
        <v>1727</v>
      </c>
      <c r="J142" s="27" t="s">
        <v>5134</v>
      </c>
      <c r="K142" s="145">
        <v>25.0</v>
      </c>
    </row>
    <row r="143" ht="22.5" customHeight="1">
      <c r="A143" s="9"/>
      <c r="B143" s="27" t="s">
        <v>1870</v>
      </c>
      <c r="C143" s="27" t="s">
        <v>5273</v>
      </c>
      <c r="D143" s="28">
        <v>9.985013234E9</v>
      </c>
      <c r="E143" s="29"/>
      <c r="F143" s="143"/>
      <c r="G143" s="144">
        <v>46087.46341435185</v>
      </c>
      <c r="H143" s="27" t="s">
        <v>1729</v>
      </c>
      <c r="I143" s="70" t="s">
        <v>1727</v>
      </c>
      <c r="J143" s="27" t="s">
        <v>5134</v>
      </c>
      <c r="K143" s="145">
        <v>25.0</v>
      </c>
    </row>
    <row r="144" ht="22.5" customHeight="1">
      <c r="A144" s="9"/>
      <c r="B144" s="27" t="s">
        <v>1871</v>
      </c>
      <c r="C144" s="27" t="s">
        <v>5274</v>
      </c>
      <c r="D144" s="28">
        <v>9.701343068E9</v>
      </c>
      <c r="E144" s="29"/>
      <c r="F144" s="143"/>
      <c r="G144" s="144">
        <v>46087.46341435185</v>
      </c>
      <c r="H144" s="27" t="s">
        <v>1729</v>
      </c>
      <c r="I144" s="70" t="s">
        <v>1727</v>
      </c>
      <c r="J144" s="27" t="s">
        <v>5134</v>
      </c>
      <c r="K144" s="145">
        <v>25.0</v>
      </c>
    </row>
    <row r="145" ht="22.5" customHeight="1">
      <c r="A145" s="9"/>
      <c r="B145" s="27" t="s">
        <v>1872</v>
      </c>
      <c r="C145" s="27" t="s">
        <v>5275</v>
      </c>
      <c r="D145" s="28">
        <v>8.977441288E9</v>
      </c>
      <c r="E145" s="29"/>
      <c r="F145" s="143"/>
      <c r="G145" s="144">
        <v>46087.46341435185</v>
      </c>
      <c r="H145" s="27" t="s">
        <v>1731</v>
      </c>
      <c r="I145" s="70" t="s">
        <v>1727</v>
      </c>
      <c r="J145" s="27" t="s">
        <v>5134</v>
      </c>
      <c r="K145" s="145">
        <v>25.0</v>
      </c>
    </row>
    <row r="146" ht="22.5" customHeight="1">
      <c r="A146" s="9"/>
      <c r="B146" s="27" t="s">
        <v>1873</v>
      </c>
      <c r="C146" s="27" t="s">
        <v>5276</v>
      </c>
      <c r="D146" s="28">
        <v>7.416687523E9</v>
      </c>
      <c r="E146" s="29"/>
      <c r="F146" s="143"/>
      <c r="G146" s="144">
        <v>46087.46341435185</v>
      </c>
      <c r="H146" s="27" t="s">
        <v>1729</v>
      </c>
      <c r="I146" s="70" t="s">
        <v>1727</v>
      </c>
      <c r="J146" s="27" t="s">
        <v>5134</v>
      </c>
      <c r="K146" s="145">
        <v>25.0</v>
      </c>
    </row>
    <row r="147" ht="22.5" customHeight="1">
      <c r="A147" s="9"/>
      <c r="B147" s="27" t="s">
        <v>1874</v>
      </c>
      <c r="C147" s="27" t="s">
        <v>5277</v>
      </c>
      <c r="D147" s="28">
        <v>8.886517274E9</v>
      </c>
      <c r="E147" s="29"/>
      <c r="F147" s="143"/>
      <c r="G147" s="144">
        <v>46087.46341435185</v>
      </c>
      <c r="H147" s="27" t="s">
        <v>1729</v>
      </c>
      <c r="I147" s="70" t="s">
        <v>1727</v>
      </c>
      <c r="J147" s="27" t="s">
        <v>5134</v>
      </c>
      <c r="K147" s="145">
        <v>25.0</v>
      </c>
    </row>
    <row r="148" ht="22.5" customHeight="1">
      <c r="A148" s="9"/>
      <c r="B148" s="27" t="s">
        <v>1875</v>
      </c>
      <c r="C148" s="27" t="s">
        <v>5278</v>
      </c>
      <c r="D148" s="28">
        <v>9.032557395E9</v>
      </c>
      <c r="E148" s="29"/>
      <c r="F148" s="143"/>
      <c r="G148" s="144">
        <v>46087.46341435185</v>
      </c>
      <c r="H148" s="27" t="s">
        <v>1729</v>
      </c>
      <c r="I148" s="70" t="s">
        <v>1727</v>
      </c>
      <c r="J148" s="27" t="s">
        <v>5134</v>
      </c>
      <c r="K148" s="145">
        <v>25.0</v>
      </c>
    </row>
    <row r="149" ht="22.5" customHeight="1">
      <c r="A149" s="9"/>
      <c r="B149" s="27" t="s">
        <v>1876</v>
      </c>
      <c r="C149" s="27" t="s">
        <v>5279</v>
      </c>
      <c r="D149" s="28">
        <v>9.7049101E9</v>
      </c>
      <c r="E149" s="29"/>
      <c r="F149" s="143"/>
      <c r="G149" s="144">
        <v>46087.46341435185</v>
      </c>
      <c r="H149" s="27" t="s">
        <v>1729</v>
      </c>
      <c r="I149" s="70" t="s">
        <v>1727</v>
      </c>
      <c r="J149" s="27" t="s">
        <v>5134</v>
      </c>
      <c r="K149" s="145">
        <v>25.0</v>
      </c>
    </row>
    <row r="150" ht="22.5" customHeight="1">
      <c r="A150" s="9"/>
      <c r="B150" s="27" t="s">
        <v>1877</v>
      </c>
      <c r="C150" s="27" t="s">
        <v>5280</v>
      </c>
      <c r="D150" s="28">
        <v>7.022550502E9</v>
      </c>
      <c r="E150" s="29"/>
      <c r="F150" s="143"/>
      <c r="G150" s="144">
        <v>46087.46341435185</v>
      </c>
      <c r="H150" s="27" t="s">
        <v>1729</v>
      </c>
      <c r="I150" s="70" t="s">
        <v>1727</v>
      </c>
      <c r="J150" s="27" t="s">
        <v>5134</v>
      </c>
      <c r="K150" s="145">
        <v>25.0</v>
      </c>
    </row>
    <row r="151" ht="22.5" customHeight="1">
      <c r="A151" s="9"/>
      <c r="B151" s="27" t="s">
        <v>1878</v>
      </c>
      <c r="C151" s="27" t="s">
        <v>5281</v>
      </c>
      <c r="D151" s="28">
        <v>7.981476048E9</v>
      </c>
      <c r="E151" s="29"/>
      <c r="F151" s="143"/>
      <c r="G151" s="144">
        <v>46087.46341435185</v>
      </c>
      <c r="H151" s="27" t="s">
        <v>1729</v>
      </c>
      <c r="I151" s="70" t="s">
        <v>1727</v>
      </c>
      <c r="J151" s="27" t="s">
        <v>5134</v>
      </c>
      <c r="K151" s="145">
        <v>25.0</v>
      </c>
    </row>
    <row r="152" ht="22.5" customHeight="1">
      <c r="A152" s="9"/>
      <c r="B152" s="27" t="s">
        <v>1879</v>
      </c>
      <c r="C152" s="27" t="s">
        <v>5282</v>
      </c>
      <c r="D152" s="28">
        <v>6.305001336E9</v>
      </c>
      <c r="E152" s="29"/>
      <c r="F152" s="143"/>
      <c r="G152" s="144">
        <v>46087.46341435185</v>
      </c>
      <c r="H152" s="27" t="s">
        <v>1731</v>
      </c>
      <c r="I152" s="70" t="s">
        <v>1727</v>
      </c>
      <c r="J152" s="27" t="s">
        <v>5134</v>
      </c>
      <c r="K152" s="145">
        <v>25.0</v>
      </c>
    </row>
    <row r="153" ht="22.5" customHeight="1">
      <c r="A153" s="9"/>
      <c r="B153" s="27" t="s">
        <v>1880</v>
      </c>
      <c r="C153" s="27" t="s">
        <v>5282</v>
      </c>
      <c r="D153" s="28">
        <v>9.01033331E9</v>
      </c>
      <c r="E153" s="29"/>
      <c r="F153" s="143"/>
      <c r="G153" s="144">
        <v>46087.46341435185</v>
      </c>
      <c r="H153" s="27" t="s">
        <v>1729</v>
      </c>
      <c r="I153" s="70" t="s">
        <v>1727</v>
      </c>
      <c r="J153" s="27" t="s">
        <v>5134</v>
      </c>
      <c r="K153" s="145">
        <v>25.0</v>
      </c>
    </row>
    <row r="154" ht="22.5" customHeight="1">
      <c r="A154" s="9"/>
      <c r="B154" s="27" t="s">
        <v>1881</v>
      </c>
      <c r="C154" s="27" t="s">
        <v>5283</v>
      </c>
      <c r="D154" s="28">
        <v>9.948072578E9</v>
      </c>
      <c r="E154" s="29"/>
      <c r="F154" s="143"/>
      <c r="G154" s="144">
        <v>46087.46341435185</v>
      </c>
      <c r="H154" s="27" t="s">
        <v>1729</v>
      </c>
      <c r="I154" s="70" t="s">
        <v>1727</v>
      </c>
      <c r="J154" s="27" t="s">
        <v>5134</v>
      </c>
      <c r="K154" s="145">
        <v>25.0</v>
      </c>
    </row>
    <row r="155" ht="22.5" customHeight="1">
      <c r="A155" s="9"/>
      <c r="B155" s="27" t="s">
        <v>1882</v>
      </c>
      <c r="C155" s="27" t="s">
        <v>5284</v>
      </c>
      <c r="D155" s="28">
        <v>9.849390114E9</v>
      </c>
      <c r="E155" s="29"/>
      <c r="F155" s="143"/>
      <c r="G155" s="144">
        <v>46087.46341435185</v>
      </c>
      <c r="H155" s="27" t="s">
        <v>1731</v>
      </c>
      <c r="I155" s="70" t="s">
        <v>1727</v>
      </c>
      <c r="J155" s="27" t="s">
        <v>5134</v>
      </c>
      <c r="K155" s="145">
        <v>25.0</v>
      </c>
    </row>
    <row r="156" ht="22.5" customHeight="1">
      <c r="A156" s="9"/>
      <c r="B156" s="27" t="s">
        <v>1883</v>
      </c>
      <c r="C156" s="27" t="s">
        <v>5285</v>
      </c>
      <c r="D156" s="28">
        <v>9.010623681E9</v>
      </c>
      <c r="E156" s="29"/>
      <c r="F156" s="143"/>
      <c r="G156" s="144">
        <v>46087.46341435185</v>
      </c>
      <c r="H156" s="27" t="s">
        <v>1729</v>
      </c>
      <c r="I156" s="70" t="s">
        <v>1727</v>
      </c>
      <c r="J156" s="27" t="s">
        <v>5134</v>
      </c>
      <c r="K156" s="145">
        <v>25.0</v>
      </c>
    </row>
    <row r="157" ht="22.5" customHeight="1">
      <c r="A157" s="9"/>
      <c r="B157" s="27" t="s">
        <v>1884</v>
      </c>
      <c r="C157" s="27" t="s">
        <v>5286</v>
      </c>
      <c r="D157" s="28">
        <v>8.886500614E9</v>
      </c>
      <c r="E157" s="29"/>
      <c r="F157" s="143"/>
      <c r="G157" s="144">
        <v>46087.46341435185</v>
      </c>
      <c r="H157" s="27" t="s">
        <v>1729</v>
      </c>
      <c r="I157" s="70" t="s">
        <v>1727</v>
      </c>
      <c r="J157" s="27" t="s">
        <v>5134</v>
      </c>
      <c r="K157" s="145">
        <v>25.0</v>
      </c>
    </row>
    <row r="158" ht="22.5" customHeight="1">
      <c r="A158" s="9"/>
      <c r="B158" s="27" t="s">
        <v>1885</v>
      </c>
      <c r="C158" s="27" t="s">
        <v>5287</v>
      </c>
      <c r="D158" s="28">
        <v>9.849324977E9</v>
      </c>
      <c r="E158" s="29"/>
      <c r="F158" s="143"/>
      <c r="G158" s="144">
        <v>46087.46341435185</v>
      </c>
      <c r="H158" s="27" t="s">
        <v>1729</v>
      </c>
      <c r="I158" s="70" t="s">
        <v>1727</v>
      </c>
      <c r="J158" s="27" t="s">
        <v>5134</v>
      </c>
      <c r="K158" s="145">
        <v>25.0</v>
      </c>
    </row>
    <row r="159" ht="22.5" customHeight="1">
      <c r="A159" s="9"/>
      <c r="B159" s="27" t="s">
        <v>1886</v>
      </c>
      <c r="C159" s="27" t="s">
        <v>5288</v>
      </c>
      <c r="D159" s="28">
        <v>9.848573794E9</v>
      </c>
      <c r="E159" s="29"/>
      <c r="F159" s="143"/>
      <c r="G159" s="144">
        <v>46087.46341435185</v>
      </c>
      <c r="H159" s="27" t="s">
        <v>1729</v>
      </c>
      <c r="I159" s="70" t="s">
        <v>1727</v>
      </c>
      <c r="J159" s="27" t="s">
        <v>5134</v>
      </c>
      <c r="K159" s="145">
        <v>25.0</v>
      </c>
    </row>
    <row r="160" ht="22.5" customHeight="1">
      <c r="A160" s="9"/>
      <c r="B160" s="27" t="s">
        <v>1887</v>
      </c>
      <c r="C160" s="27" t="s">
        <v>5289</v>
      </c>
      <c r="D160" s="28">
        <v>9.676351494E9</v>
      </c>
      <c r="E160" s="29"/>
      <c r="F160" s="143"/>
      <c r="G160" s="144">
        <v>46087.46341435185</v>
      </c>
      <c r="H160" s="27" t="s">
        <v>1729</v>
      </c>
      <c r="I160" s="70" t="s">
        <v>1727</v>
      </c>
      <c r="J160" s="27" t="s">
        <v>5134</v>
      </c>
      <c r="K160" s="145">
        <v>25.0</v>
      </c>
    </row>
    <row r="161" ht="22.5" customHeight="1">
      <c r="A161" s="9"/>
      <c r="B161" s="27" t="s">
        <v>1888</v>
      </c>
      <c r="C161" s="27" t="s">
        <v>5290</v>
      </c>
      <c r="D161" s="28">
        <v>9.029635842E9</v>
      </c>
      <c r="E161" s="29"/>
      <c r="F161" s="143"/>
      <c r="G161" s="144">
        <v>46087.46341435185</v>
      </c>
      <c r="H161" s="27" t="s">
        <v>1731</v>
      </c>
      <c r="I161" s="70" t="s">
        <v>1727</v>
      </c>
      <c r="J161" s="27" t="s">
        <v>5134</v>
      </c>
      <c r="K161" s="145">
        <v>25.0</v>
      </c>
    </row>
    <row r="162" ht="22.5" customHeight="1">
      <c r="A162" s="9"/>
      <c r="B162" s="27" t="s">
        <v>1889</v>
      </c>
      <c r="C162" s="27" t="s">
        <v>5291</v>
      </c>
      <c r="D162" s="28">
        <v>9.989843376E9</v>
      </c>
      <c r="E162" s="29"/>
      <c r="F162" s="143"/>
      <c r="G162" s="144">
        <v>46087.46341435185</v>
      </c>
      <c r="H162" s="27" t="s">
        <v>1731</v>
      </c>
      <c r="I162" s="70" t="s">
        <v>1727</v>
      </c>
      <c r="J162" s="27" t="s">
        <v>5134</v>
      </c>
      <c r="K162" s="145">
        <v>25.0</v>
      </c>
    </row>
    <row r="163" ht="22.5" customHeight="1">
      <c r="A163" s="9"/>
      <c r="B163" s="27" t="s">
        <v>1890</v>
      </c>
      <c r="C163" s="27" t="s">
        <v>5292</v>
      </c>
      <c r="D163" s="28">
        <v>6.30239715E9</v>
      </c>
      <c r="E163" s="29"/>
      <c r="F163" s="143"/>
      <c r="G163" s="144">
        <v>46087.46341435185</v>
      </c>
      <c r="H163" s="27" t="s">
        <v>1731</v>
      </c>
      <c r="I163" s="70" t="s">
        <v>1727</v>
      </c>
      <c r="J163" s="27" t="s">
        <v>5134</v>
      </c>
      <c r="K163" s="145">
        <v>25.0</v>
      </c>
    </row>
    <row r="164" ht="22.5" customHeight="1">
      <c r="A164" s="9"/>
      <c r="B164" s="27" t="s">
        <v>1891</v>
      </c>
      <c r="C164" s="27" t="s">
        <v>5293</v>
      </c>
      <c r="D164" s="28">
        <v>8.939765851E9</v>
      </c>
      <c r="E164" s="29"/>
      <c r="F164" s="143"/>
      <c r="G164" s="144">
        <v>46087.46340277778</v>
      </c>
      <c r="H164" s="27" t="s">
        <v>1729</v>
      </c>
      <c r="I164" s="70" t="s">
        <v>1727</v>
      </c>
      <c r="J164" s="27" t="s">
        <v>5134</v>
      </c>
      <c r="K164" s="145">
        <v>25.0</v>
      </c>
    </row>
    <row r="165" ht="22.5" customHeight="1">
      <c r="A165" s="9"/>
      <c r="B165" s="27" t="s">
        <v>1892</v>
      </c>
      <c r="C165" s="27" t="s">
        <v>5294</v>
      </c>
      <c r="D165" s="28">
        <v>9.985252598E9</v>
      </c>
      <c r="E165" s="29"/>
      <c r="F165" s="143"/>
      <c r="G165" s="144">
        <v>46087.46340277778</v>
      </c>
      <c r="H165" s="27" t="s">
        <v>1729</v>
      </c>
      <c r="I165" s="70" t="s">
        <v>1727</v>
      </c>
      <c r="J165" s="27" t="s">
        <v>5134</v>
      </c>
      <c r="K165" s="145">
        <v>25.0</v>
      </c>
    </row>
    <row r="166" ht="22.5" customHeight="1">
      <c r="A166" s="9"/>
      <c r="B166" s="27" t="s">
        <v>1893</v>
      </c>
      <c r="C166" s="27" t="s">
        <v>5295</v>
      </c>
      <c r="D166" s="28">
        <v>8.686585289E9</v>
      </c>
      <c r="E166" s="29"/>
      <c r="F166" s="143"/>
      <c r="G166" s="144">
        <v>46087.46340277778</v>
      </c>
      <c r="H166" s="27" t="s">
        <v>1729</v>
      </c>
      <c r="I166" s="70" t="s">
        <v>1727</v>
      </c>
      <c r="J166" s="27" t="s">
        <v>5134</v>
      </c>
      <c r="K166" s="145">
        <v>25.0</v>
      </c>
    </row>
    <row r="167" ht="22.5" customHeight="1">
      <c r="A167" s="9"/>
      <c r="B167" s="27" t="s">
        <v>1894</v>
      </c>
      <c r="C167" s="27" t="s">
        <v>5296</v>
      </c>
      <c r="D167" s="28">
        <v>6.305109688E9</v>
      </c>
      <c r="E167" s="29"/>
      <c r="F167" s="143"/>
      <c r="G167" s="144">
        <v>46087.46340277778</v>
      </c>
      <c r="H167" s="27" t="s">
        <v>1729</v>
      </c>
      <c r="I167" s="70" t="s">
        <v>1727</v>
      </c>
      <c r="J167" s="27" t="s">
        <v>5134</v>
      </c>
      <c r="K167" s="145">
        <v>25.0</v>
      </c>
    </row>
    <row r="168" ht="22.5" customHeight="1">
      <c r="A168" s="9"/>
      <c r="B168" s="27" t="s">
        <v>1895</v>
      </c>
      <c r="C168" s="27" t="s">
        <v>5297</v>
      </c>
      <c r="D168" s="28">
        <v>8.686165805E9</v>
      </c>
      <c r="E168" s="29"/>
      <c r="F168" s="143"/>
      <c r="G168" s="144">
        <v>46087.46340277778</v>
      </c>
      <c r="H168" s="27" t="s">
        <v>1729</v>
      </c>
      <c r="I168" s="70" t="s">
        <v>1727</v>
      </c>
      <c r="J168" s="27" t="s">
        <v>5134</v>
      </c>
      <c r="K168" s="145">
        <v>25.0</v>
      </c>
    </row>
    <row r="169" ht="22.5" customHeight="1">
      <c r="A169" s="9"/>
      <c r="B169" s="27" t="s">
        <v>1896</v>
      </c>
      <c r="C169" s="27" t="s">
        <v>5298</v>
      </c>
      <c r="D169" s="28">
        <v>7.989318442E9</v>
      </c>
      <c r="E169" s="29"/>
      <c r="F169" s="143"/>
      <c r="G169" s="144">
        <v>46087.46340277778</v>
      </c>
      <c r="H169" s="27" t="s">
        <v>1729</v>
      </c>
      <c r="I169" s="70" t="s">
        <v>1727</v>
      </c>
      <c r="J169" s="27" t="s">
        <v>5134</v>
      </c>
      <c r="K169" s="145">
        <v>25.0</v>
      </c>
    </row>
    <row r="170" ht="22.5" customHeight="1">
      <c r="A170" s="9"/>
      <c r="B170" s="27" t="s">
        <v>1897</v>
      </c>
      <c r="C170" s="27" t="s">
        <v>5299</v>
      </c>
      <c r="D170" s="28">
        <v>6.302792293E9</v>
      </c>
      <c r="E170" s="29"/>
      <c r="F170" s="143"/>
      <c r="G170" s="144">
        <v>46087.46340277778</v>
      </c>
      <c r="H170" s="27" t="s">
        <v>1729</v>
      </c>
      <c r="I170" s="70" t="s">
        <v>1727</v>
      </c>
      <c r="J170" s="27" t="s">
        <v>5134</v>
      </c>
      <c r="K170" s="145">
        <v>25.0</v>
      </c>
    </row>
    <row r="171" ht="22.5" customHeight="1">
      <c r="A171" s="9"/>
      <c r="B171" s="27" t="s">
        <v>1898</v>
      </c>
      <c r="C171" s="27" t="s">
        <v>5300</v>
      </c>
      <c r="D171" s="28">
        <v>9.502729483E9</v>
      </c>
      <c r="E171" s="29"/>
      <c r="F171" s="143"/>
      <c r="G171" s="144">
        <v>46087.46340277778</v>
      </c>
      <c r="H171" s="27" t="s">
        <v>1731</v>
      </c>
      <c r="I171" s="70" t="s">
        <v>1727</v>
      </c>
      <c r="J171" s="27" t="s">
        <v>5134</v>
      </c>
      <c r="K171" s="145">
        <v>25.0</v>
      </c>
    </row>
    <row r="172" ht="22.5" customHeight="1">
      <c r="A172" s="9"/>
      <c r="B172" s="27" t="s">
        <v>1899</v>
      </c>
      <c r="C172" s="27" t="s">
        <v>5301</v>
      </c>
      <c r="D172" s="28">
        <v>8.074477221E9</v>
      </c>
      <c r="E172" s="29"/>
      <c r="F172" s="143"/>
      <c r="G172" s="144">
        <v>46087.46340277778</v>
      </c>
      <c r="H172" s="27" t="s">
        <v>1731</v>
      </c>
      <c r="I172" s="70" t="s">
        <v>1727</v>
      </c>
      <c r="J172" s="27" t="s">
        <v>5134</v>
      </c>
      <c r="K172" s="145">
        <v>25.0</v>
      </c>
    </row>
    <row r="173" ht="22.5" customHeight="1">
      <c r="A173" s="9"/>
      <c r="B173" s="27" t="s">
        <v>1900</v>
      </c>
      <c r="C173" s="27" t="s">
        <v>5302</v>
      </c>
      <c r="D173" s="28">
        <v>9.121264383E9</v>
      </c>
      <c r="E173" s="29"/>
      <c r="F173" s="143"/>
      <c r="G173" s="144">
        <v>46087.46340277778</v>
      </c>
      <c r="H173" s="27" t="s">
        <v>1729</v>
      </c>
      <c r="I173" s="70" t="s">
        <v>1727</v>
      </c>
      <c r="J173" s="27" t="s">
        <v>5134</v>
      </c>
      <c r="K173" s="145">
        <v>25.0</v>
      </c>
    </row>
    <row r="174" ht="22.5" customHeight="1">
      <c r="A174" s="9"/>
      <c r="B174" s="27" t="s">
        <v>1901</v>
      </c>
      <c r="C174" s="27" t="s">
        <v>5303</v>
      </c>
      <c r="D174" s="28">
        <v>9.676090863E9</v>
      </c>
      <c r="E174" s="29"/>
      <c r="F174" s="143"/>
      <c r="G174" s="144">
        <v>46087.46340277778</v>
      </c>
      <c r="H174" s="27" t="s">
        <v>1729</v>
      </c>
      <c r="I174" s="70" t="s">
        <v>1727</v>
      </c>
      <c r="J174" s="27" t="s">
        <v>5134</v>
      </c>
      <c r="K174" s="145">
        <v>25.0</v>
      </c>
    </row>
    <row r="175" ht="22.5" customHeight="1">
      <c r="A175" s="9"/>
      <c r="B175" s="27" t="s">
        <v>1902</v>
      </c>
      <c r="C175" s="27" t="s">
        <v>5304</v>
      </c>
      <c r="D175" s="28">
        <v>9.493193837E9</v>
      </c>
      <c r="E175" s="29"/>
      <c r="F175" s="143"/>
      <c r="G175" s="144">
        <v>46087.46340277778</v>
      </c>
      <c r="H175" s="27" t="s">
        <v>1729</v>
      </c>
      <c r="I175" s="70" t="s">
        <v>1727</v>
      </c>
      <c r="J175" s="27" t="s">
        <v>5134</v>
      </c>
      <c r="K175" s="145">
        <v>25.0</v>
      </c>
    </row>
    <row r="176" ht="22.5" customHeight="1">
      <c r="A176" s="9"/>
      <c r="B176" s="27" t="s">
        <v>1903</v>
      </c>
      <c r="C176" s="27" t="s">
        <v>5305</v>
      </c>
      <c r="D176" s="28">
        <v>9.121045071E9</v>
      </c>
      <c r="E176" s="29"/>
      <c r="F176" s="143"/>
      <c r="G176" s="144">
        <v>46087.46340277778</v>
      </c>
      <c r="H176" s="27" t="s">
        <v>1731</v>
      </c>
      <c r="I176" s="70" t="s">
        <v>1727</v>
      </c>
      <c r="J176" s="27" t="s">
        <v>5134</v>
      </c>
      <c r="K176" s="145">
        <v>25.0</v>
      </c>
    </row>
    <row r="177" ht="22.5" customHeight="1">
      <c r="A177" s="9"/>
      <c r="B177" s="27" t="s">
        <v>1904</v>
      </c>
      <c r="C177" s="27" t="s">
        <v>5306</v>
      </c>
      <c r="D177" s="28">
        <v>6.302345256E9</v>
      </c>
      <c r="E177" s="29"/>
      <c r="F177" s="143"/>
      <c r="G177" s="144">
        <v>46087.46340277778</v>
      </c>
      <c r="H177" s="27" t="s">
        <v>1729</v>
      </c>
      <c r="I177" s="70" t="s">
        <v>1727</v>
      </c>
      <c r="J177" s="27" t="s">
        <v>5134</v>
      </c>
      <c r="K177" s="145">
        <v>25.0</v>
      </c>
    </row>
    <row r="178" ht="22.5" customHeight="1">
      <c r="A178" s="9"/>
      <c r="B178" s="27" t="s">
        <v>1905</v>
      </c>
      <c r="C178" s="27" t="s">
        <v>5307</v>
      </c>
      <c r="D178" s="28">
        <v>9.160612121E9</v>
      </c>
      <c r="E178" s="29"/>
      <c r="F178" s="143"/>
      <c r="G178" s="144">
        <v>46087.46340277778</v>
      </c>
      <c r="H178" s="27" t="s">
        <v>1729</v>
      </c>
      <c r="I178" s="70" t="s">
        <v>1727</v>
      </c>
      <c r="J178" s="27" t="s">
        <v>5134</v>
      </c>
      <c r="K178" s="145">
        <v>25.0</v>
      </c>
    </row>
    <row r="179" ht="22.5" customHeight="1">
      <c r="A179" s="9"/>
      <c r="B179" s="27" t="s">
        <v>1906</v>
      </c>
      <c r="C179" s="27" t="s">
        <v>5308</v>
      </c>
      <c r="D179" s="28">
        <v>9.581330692E9</v>
      </c>
      <c r="E179" s="29"/>
      <c r="F179" s="143"/>
      <c r="G179" s="144">
        <v>46087.46340277778</v>
      </c>
      <c r="H179" s="27" t="s">
        <v>1729</v>
      </c>
      <c r="I179" s="70" t="s">
        <v>1727</v>
      </c>
      <c r="J179" s="27" t="s">
        <v>5134</v>
      </c>
      <c r="K179" s="145">
        <v>25.0</v>
      </c>
    </row>
    <row r="180" ht="22.5" customHeight="1">
      <c r="A180" s="9"/>
      <c r="B180" s="27" t="s">
        <v>1907</v>
      </c>
      <c r="C180" s="27" t="s">
        <v>5309</v>
      </c>
      <c r="D180" s="28">
        <v>9.550270442E9</v>
      </c>
      <c r="E180" s="29"/>
      <c r="F180" s="143"/>
      <c r="G180" s="144">
        <v>46087.46340277778</v>
      </c>
      <c r="H180" s="27" t="s">
        <v>1729</v>
      </c>
      <c r="I180" s="70" t="s">
        <v>1727</v>
      </c>
      <c r="J180" s="27" t="s">
        <v>5134</v>
      </c>
      <c r="K180" s="145">
        <v>25.0</v>
      </c>
    </row>
    <row r="181" ht="22.5" customHeight="1">
      <c r="A181" s="9"/>
      <c r="B181" s="27" t="s">
        <v>1908</v>
      </c>
      <c r="C181" s="27" t="s">
        <v>5310</v>
      </c>
      <c r="D181" s="28">
        <v>9.100467405E9</v>
      </c>
      <c r="E181" s="29"/>
      <c r="F181" s="143"/>
      <c r="G181" s="144">
        <v>46087.46340277778</v>
      </c>
      <c r="H181" s="27" t="s">
        <v>1729</v>
      </c>
      <c r="I181" s="70" t="s">
        <v>1727</v>
      </c>
      <c r="J181" s="27" t="s">
        <v>5134</v>
      </c>
      <c r="K181" s="145">
        <v>25.0</v>
      </c>
    </row>
    <row r="182" ht="22.5" customHeight="1">
      <c r="A182" s="9"/>
      <c r="B182" s="27" t="s">
        <v>1909</v>
      </c>
      <c r="C182" s="27" t="s">
        <v>5311</v>
      </c>
      <c r="D182" s="28">
        <v>8.074256989E9</v>
      </c>
      <c r="E182" s="29"/>
      <c r="F182" s="143"/>
      <c r="G182" s="144">
        <v>46087.46340277778</v>
      </c>
      <c r="H182" s="27" t="s">
        <v>1729</v>
      </c>
      <c r="I182" s="70" t="s">
        <v>1727</v>
      </c>
      <c r="J182" s="27" t="s">
        <v>5134</v>
      </c>
      <c r="K182" s="145">
        <v>25.0</v>
      </c>
    </row>
    <row r="183" ht="22.5" customHeight="1">
      <c r="A183" s="9"/>
      <c r="B183" s="27" t="s">
        <v>1910</v>
      </c>
      <c r="C183" s="27" t="s">
        <v>5312</v>
      </c>
      <c r="D183" s="28">
        <v>9.00037093E9</v>
      </c>
      <c r="E183" s="29"/>
      <c r="F183" s="143"/>
      <c r="G183" s="144">
        <v>46087.46340277778</v>
      </c>
      <c r="H183" s="27" t="s">
        <v>1729</v>
      </c>
      <c r="I183" s="70" t="s">
        <v>1727</v>
      </c>
      <c r="J183" s="27" t="s">
        <v>5134</v>
      </c>
      <c r="K183" s="145">
        <v>25.0</v>
      </c>
    </row>
    <row r="184" ht="22.5" customHeight="1">
      <c r="A184" s="9"/>
      <c r="B184" s="27" t="s">
        <v>1911</v>
      </c>
      <c r="C184" s="27" t="s">
        <v>5313</v>
      </c>
      <c r="D184" s="28">
        <v>9.949182892E9</v>
      </c>
      <c r="E184" s="29"/>
      <c r="F184" s="143"/>
      <c r="G184" s="144">
        <v>46087.46340277778</v>
      </c>
      <c r="H184" s="27" t="s">
        <v>1729</v>
      </c>
      <c r="I184" s="70" t="s">
        <v>1727</v>
      </c>
      <c r="J184" s="27" t="s">
        <v>5134</v>
      </c>
      <c r="K184" s="145">
        <v>25.0</v>
      </c>
    </row>
    <row r="185" ht="22.5" customHeight="1">
      <c r="A185" s="9"/>
      <c r="B185" s="27" t="s">
        <v>1912</v>
      </c>
      <c r="C185" s="27" t="s">
        <v>5314</v>
      </c>
      <c r="D185" s="28">
        <v>9.440755006E9</v>
      </c>
      <c r="E185" s="29"/>
      <c r="F185" s="143"/>
      <c r="G185" s="144">
        <v>46087.46340277778</v>
      </c>
      <c r="H185" s="27" t="s">
        <v>1729</v>
      </c>
      <c r="I185" s="70" t="s">
        <v>1727</v>
      </c>
      <c r="J185" s="27" t="s">
        <v>5134</v>
      </c>
      <c r="K185" s="145">
        <v>25.0</v>
      </c>
    </row>
    <row r="186" ht="22.5" customHeight="1">
      <c r="A186" s="9"/>
      <c r="B186" s="27" t="s">
        <v>1913</v>
      </c>
      <c r="C186" s="27" t="s">
        <v>5315</v>
      </c>
      <c r="D186" s="28">
        <v>9.392869762E9</v>
      </c>
      <c r="E186" s="29"/>
      <c r="F186" s="143"/>
      <c r="G186" s="144">
        <v>46087.46340277778</v>
      </c>
      <c r="H186" s="27" t="s">
        <v>1729</v>
      </c>
      <c r="I186" s="70" t="s">
        <v>1727</v>
      </c>
      <c r="J186" s="27" t="s">
        <v>5134</v>
      </c>
      <c r="K186" s="145">
        <v>25.0</v>
      </c>
    </row>
    <row r="187" ht="22.5" customHeight="1">
      <c r="A187" s="9"/>
      <c r="B187" s="27" t="s">
        <v>1914</v>
      </c>
      <c r="C187" s="27" t="s">
        <v>5316</v>
      </c>
      <c r="D187" s="28">
        <v>7.032256141E9</v>
      </c>
      <c r="E187" s="29"/>
      <c r="F187" s="143"/>
      <c r="G187" s="144">
        <v>46087.46340277778</v>
      </c>
      <c r="H187" s="27" t="s">
        <v>1729</v>
      </c>
      <c r="I187" s="70" t="s">
        <v>1727</v>
      </c>
      <c r="J187" s="27" t="s">
        <v>5134</v>
      </c>
      <c r="K187" s="145">
        <v>25.0</v>
      </c>
    </row>
    <row r="188" ht="22.5" customHeight="1">
      <c r="A188" s="9"/>
      <c r="B188" s="27" t="s">
        <v>1915</v>
      </c>
      <c r="C188" s="27" t="s">
        <v>5316</v>
      </c>
      <c r="D188" s="28">
        <v>9.95123546E9</v>
      </c>
      <c r="E188" s="29"/>
      <c r="F188" s="143"/>
      <c r="G188" s="144">
        <v>46087.46340277778</v>
      </c>
      <c r="H188" s="27" t="s">
        <v>1729</v>
      </c>
      <c r="I188" s="70" t="s">
        <v>1727</v>
      </c>
      <c r="J188" s="27" t="s">
        <v>5134</v>
      </c>
      <c r="K188" s="145">
        <v>25.0</v>
      </c>
    </row>
    <row r="189" ht="22.5" customHeight="1">
      <c r="A189" s="9"/>
      <c r="B189" s="27" t="s">
        <v>1916</v>
      </c>
      <c r="C189" s="27" t="s">
        <v>5317</v>
      </c>
      <c r="D189" s="28">
        <v>9.84958986E9</v>
      </c>
      <c r="E189" s="29"/>
      <c r="F189" s="143"/>
      <c r="G189" s="144">
        <v>46087.46340277778</v>
      </c>
      <c r="H189" s="27" t="s">
        <v>1729</v>
      </c>
      <c r="I189" s="70" t="s">
        <v>1727</v>
      </c>
      <c r="J189" s="27" t="s">
        <v>5134</v>
      </c>
      <c r="K189" s="145">
        <v>25.0</v>
      </c>
    </row>
    <row r="190" ht="22.5" customHeight="1">
      <c r="A190" s="9"/>
      <c r="B190" s="27" t="s">
        <v>1917</v>
      </c>
      <c r="C190" s="27" t="s">
        <v>5318</v>
      </c>
      <c r="D190" s="28">
        <v>9.699857763E9</v>
      </c>
      <c r="E190" s="29"/>
      <c r="F190" s="143"/>
      <c r="G190" s="144">
        <v>46087.46340277778</v>
      </c>
      <c r="H190" s="27" t="s">
        <v>1729</v>
      </c>
      <c r="I190" s="70" t="s">
        <v>1727</v>
      </c>
      <c r="J190" s="27" t="s">
        <v>5134</v>
      </c>
      <c r="K190" s="145">
        <v>25.0</v>
      </c>
    </row>
    <row r="191" ht="22.5" customHeight="1">
      <c r="A191" s="9"/>
      <c r="B191" s="27" t="s">
        <v>1918</v>
      </c>
      <c r="C191" s="27" t="s">
        <v>5319</v>
      </c>
      <c r="D191" s="28">
        <v>9.966918006E9</v>
      </c>
      <c r="E191" s="29"/>
      <c r="F191" s="143"/>
      <c r="G191" s="144">
        <v>46087.46340277778</v>
      </c>
      <c r="H191" s="27" t="s">
        <v>1729</v>
      </c>
      <c r="I191" s="70" t="s">
        <v>1727</v>
      </c>
      <c r="J191" s="27" t="s">
        <v>5134</v>
      </c>
      <c r="K191" s="145">
        <v>25.0</v>
      </c>
    </row>
    <row r="192" ht="22.5" customHeight="1">
      <c r="A192" s="9"/>
      <c r="B192" s="27" t="s">
        <v>1919</v>
      </c>
      <c r="C192" s="27" t="s">
        <v>5320</v>
      </c>
      <c r="D192" s="28">
        <v>8.008786429E9</v>
      </c>
      <c r="E192" s="29"/>
      <c r="F192" s="143"/>
      <c r="G192" s="144">
        <v>46087.46340277778</v>
      </c>
      <c r="H192" s="27" t="s">
        <v>1729</v>
      </c>
      <c r="I192" s="70" t="s">
        <v>1727</v>
      </c>
      <c r="J192" s="27" t="s">
        <v>5134</v>
      </c>
      <c r="K192" s="145">
        <v>25.0</v>
      </c>
    </row>
    <row r="193" ht="22.5" customHeight="1">
      <c r="A193" s="9"/>
      <c r="B193" s="27" t="s">
        <v>1920</v>
      </c>
      <c r="C193" s="27" t="s">
        <v>5321</v>
      </c>
      <c r="D193" s="28">
        <v>7.569495171E9</v>
      </c>
      <c r="E193" s="29"/>
      <c r="F193" s="143"/>
      <c r="G193" s="144">
        <v>46087.46340277778</v>
      </c>
      <c r="H193" s="27" t="s">
        <v>1729</v>
      </c>
      <c r="I193" s="70" t="s">
        <v>1727</v>
      </c>
      <c r="J193" s="27" t="s">
        <v>5134</v>
      </c>
      <c r="K193" s="145">
        <v>25.0</v>
      </c>
    </row>
    <row r="194" ht="22.5" customHeight="1">
      <c r="A194" s="9"/>
      <c r="B194" s="27" t="s">
        <v>1921</v>
      </c>
      <c r="C194" s="27" t="s">
        <v>5322</v>
      </c>
      <c r="D194" s="28">
        <v>8.978896363E9</v>
      </c>
      <c r="E194" s="29"/>
      <c r="F194" s="143"/>
      <c r="G194" s="144">
        <v>46087.46340277778</v>
      </c>
      <c r="H194" s="27" t="s">
        <v>1731</v>
      </c>
      <c r="I194" s="70" t="s">
        <v>1727</v>
      </c>
      <c r="J194" s="27" t="s">
        <v>5134</v>
      </c>
      <c r="K194" s="145">
        <v>25.0</v>
      </c>
    </row>
    <row r="195" ht="22.5" customHeight="1">
      <c r="A195" s="9"/>
      <c r="B195" s="27" t="s">
        <v>1922</v>
      </c>
      <c r="C195" s="27" t="s">
        <v>5323</v>
      </c>
      <c r="D195" s="28">
        <v>9.70420972E9</v>
      </c>
      <c r="E195" s="29"/>
      <c r="F195" s="143"/>
      <c r="G195" s="144">
        <v>46087.46340277778</v>
      </c>
      <c r="H195" s="27" t="s">
        <v>1729</v>
      </c>
      <c r="I195" s="70" t="s">
        <v>1727</v>
      </c>
      <c r="J195" s="27" t="s">
        <v>5134</v>
      </c>
      <c r="K195" s="145">
        <v>25.0</v>
      </c>
    </row>
    <row r="196" ht="22.5" customHeight="1">
      <c r="A196" s="9"/>
      <c r="B196" s="27" t="s">
        <v>1923</v>
      </c>
      <c r="C196" s="27" t="s">
        <v>5324</v>
      </c>
      <c r="D196" s="28">
        <v>7.359537521E9</v>
      </c>
      <c r="E196" s="29"/>
      <c r="F196" s="143"/>
      <c r="G196" s="144">
        <v>46087.46340277778</v>
      </c>
      <c r="H196" s="27" t="s">
        <v>1729</v>
      </c>
      <c r="I196" s="70" t="s">
        <v>1727</v>
      </c>
      <c r="J196" s="27" t="s">
        <v>5134</v>
      </c>
      <c r="K196" s="145">
        <v>25.0</v>
      </c>
    </row>
    <row r="197" ht="22.5" customHeight="1">
      <c r="A197" s="9"/>
      <c r="B197" s="27" t="s">
        <v>1924</v>
      </c>
      <c r="C197" s="27" t="s">
        <v>5325</v>
      </c>
      <c r="D197" s="28">
        <v>9.861910228E9</v>
      </c>
      <c r="E197" s="29"/>
      <c r="F197" s="143"/>
      <c r="G197" s="144">
        <v>46087.46340277778</v>
      </c>
      <c r="H197" s="27" t="s">
        <v>1729</v>
      </c>
      <c r="I197" s="70" t="s">
        <v>1727</v>
      </c>
      <c r="J197" s="27" t="s">
        <v>5134</v>
      </c>
      <c r="K197" s="145">
        <v>25.0</v>
      </c>
    </row>
    <row r="198" ht="22.5" customHeight="1">
      <c r="A198" s="9"/>
      <c r="B198" s="27" t="s">
        <v>1925</v>
      </c>
      <c r="C198" s="27" t="s">
        <v>5326</v>
      </c>
      <c r="D198" s="28">
        <v>8.527456999E9</v>
      </c>
      <c r="E198" s="29"/>
      <c r="F198" s="143"/>
      <c r="G198" s="144">
        <v>46087.46340277778</v>
      </c>
      <c r="H198" s="27" t="s">
        <v>1729</v>
      </c>
      <c r="I198" s="70" t="s">
        <v>1727</v>
      </c>
      <c r="J198" s="27" t="s">
        <v>5134</v>
      </c>
      <c r="K198" s="145">
        <v>25.0</v>
      </c>
    </row>
    <row r="199" ht="22.5" customHeight="1">
      <c r="A199" s="9"/>
      <c r="B199" s="27" t="s">
        <v>1926</v>
      </c>
      <c r="C199" s="27" t="s">
        <v>5327</v>
      </c>
      <c r="D199" s="28">
        <v>7.568092031E9</v>
      </c>
      <c r="E199" s="29"/>
      <c r="F199" s="143"/>
      <c r="G199" s="144">
        <v>46087.46340277778</v>
      </c>
      <c r="H199" s="27" t="s">
        <v>1729</v>
      </c>
      <c r="I199" s="70" t="s">
        <v>1727</v>
      </c>
      <c r="J199" s="27" t="s">
        <v>5134</v>
      </c>
      <c r="K199" s="145">
        <v>25.0</v>
      </c>
    </row>
    <row r="200" ht="22.5" customHeight="1">
      <c r="A200" s="9"/>
      <c r="B200" s="27" t="s">
        <v>1927</v>
      </c>
      <c r="C200" s="27" t="s">
        <v>5328</v>
      </c>
      <c r="D200" s="28">
        <v>9.8489144E9</v>
      </c>
      <c r="E200" s="29"/>
      <c r="F200" s="143"/>
      <c r="G200" s="144">
        <v>46087.46340277778</v>
      </c>
      <c r="H200" s="27" t="s">
        <v>1729</v>
      </c>
      <c r="I200" s="70" t="s">
        <v>1727</v>
      </c>
      <c r="J200" s="27" t="s">
        <v>5134</v>
      </c>
      <c r="K200" s="145">
        <v>25.0</v>
      </c>
    </row>
    <row r="201" ht="22.5" customHeight="1">
      <c r="A201" s="9"/>
      <c r="B201" s="27" t="s">
        <v>1928</v>
      </c>
      <c r="C201" s="27" t="s">
        <v>5329</v>
      </c>
      <c r="D201" s="28">
        <v>9.848056239E9</v>
      </c>
      <c r="E201" s="29"/>
      <c r="F201" s="143"/>
      <c r="G201" s="144">
        <v>46087.46340277778</v>
      </c>
      <c r="H201" s="27" t="s">
        <v>1731</v>
      </c>
      <c r="I201" s="70" t="s">
        <v>1727</v>
      </c>
      <c r="J201" s="27" t="s">
        <v>5134</v>
      </c>
      <c r="K201" s="145">
        <v>25.0</v>
      </c>
    </row>
    <row r="202" ht="22.5" customHeight="1">
      <c r="A202" s="9"/>
      <c r="B202" s="27" t="s">
        <v>1929</v>
      </c>
      <c r="C202" s="27" t="s">
        <v>5330</v>
      </c>
      <c r="D202" s="28">
        <v>9.603340645E9</v>
      </c>
      <c r="E202" s="29"/>
      <c r="F202" s="143"/>
      <c r="G202" s="144">
        <v>46087.46340277778</v>
      </c>
      <c r="H202" s="27" t="s">
        <v>1731</v>
      </c>
      <c r="I202" s="70" t="s">
        <v>1727</v>
      </c>
      <c r="J202" s="27" t="s">
        <v>5134</v>
      </c>
      <c r="K202" s="145">
        <v>25.0</v>
      </c>
    </row>
  </sheetData>
  <dataValidations>
    <dataValidation type="list" allowBlank="1" sqref="G3:G202">
      <formula1>"Faculty 1,Faculty 2"</formula1>
    </dataValidation>
    <dataValidation type="list" allowBlank="1" sqref="K3:K202">
      <formula1>"Calude AI,Meta Lead"</formula1>
    </dataValidation>
    <dataValidation type="list" allowBlank="1" showErrorMessage="1" sqref="I3:I202">
      <formula1>"Intersted,Follow up Required,Not Internsted,Not Reachable,Campus Visit,Wrong Number,Not Called"</formula1>
    </dataValidation>
  </dataValidations>
  <drawing r:id="rId1"/>
  <tableParts count="1">
    <tablePart r:id="rId3"/>
  </tableParts>
</worksheet>
</file>