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ad\Desktop\"/>
    </mc:Choice>
  </mc:AlternateContent>
  <xr:revisionPtr revIDLastSave="0" documentId="13_ncr:1_{A39AA861-6B0F-4468-B5BD-8CAF4E40C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4" i="1"/>
  <c r="G20" i="1"/>
  <c r="I20" i="1" s="1"/>
  <c r="J20" i="1" s="1"/>
  <c r="G19" i="1"/>
  <c r="H19" i="1" s="1"/>
  <c r="I19" i="1" s="1"/>
  <c r="G17" i="1"/>
  <c r="I17" i="1" s="1"/>
  <c r="G16" i="1"/>
  <c r="H16" i="1" s="1"/>
  <c r="I16" i="1" s="1"/>
  <c r="G14" i="1"/>
  <c r="I14" i="1" s="1"/>
  <c r="G13" i="1"/>
  <c r="H13" i="1" s="1"/>
  <c r="I13" i="1" s="1"/>
  <c r="G11" i="1"/>
  <c r="I11" i="1" s="1"/>
  <c r="J11" i="1" s="1"/>
  <c r="G10" i="1"/>
  <c r="H10" i="1" s="1"/>
  <c r="I10" i="1" s="1"/>
  <c r="G8" i="1"/>
  <c r="I8" i="1" s="1"/>
  <c r="J8" i="1" s="1"/>
  <c r="G7" i="1"/>
  <c r="H7" i="1" s="1"/>
  <c r="I7" i="1" s="1"/>
  <c r="G5" i="1"/>
  <c r="I5" i="1" s="1"/>
  <c r="J5" i="1" s="1"/>
  <c r="G4" i="1"/>
  <c r="H4" i="1" s="1"/>
  <c r="I4" i="1" s="1"/>
</calcChain>
</file>

<file path=xl/sharedStrings.xml><?xml version="1.0" encoding="utf-8"?>
<sst xmlns="http://schemas.openxmlformats.org/spreadsheetml/2006/main" count="58" uniqueCount="28">
  <si>
    <t xml:space="preserve">CUTM-CODE </t>
  </si>
  <si>
    <t>Program Fee</t>
  </si>
  <si>
    <t>Sem Fee</t>
  </si>
  <si>
    <t>Total Fee Payble</t>
  </si>
  <si>
    <t>BBA</t>
  </si>
  <si>
    <t>N/A</t>
  </si>
  <si>
    <t>Scholarship*</t>
  </si>
  <si>
    <t>( Six Sem)</t>
  </si>
  <si>
    <t>BCA</t>
  </si>
  <si>
    <t>Mode of Payment</t>
  </si>
  <si>
    <t>One Time(full)</t>
  </si>
  <si>
    <t>B.Com</t>
  </si>
  <si>
    <t>MBA</t>
  </si>
  <si>
    <t>MCA</t>
  </si>
  <si>
    <t>M.Sc - Math</t>
  </si>
  <si>
    <t>Registration Fee</t>
  </si>
  <si>
    <t>Note:</t>
  </si>
  <si>
    <t>Name of the Program</t>
  </si>
  <si>
    <t>4. Fees once paid are non-refunbale</t>
  </si>
  <si>
    <t>Early Bird Subsidy#</t>
  </si>
  <si>
    <t>FEE STRUCTURE(INR) - AUG 2026 SESSION</t>
  </si>
  <si>
    <t>Sem Fee Payble</t>
  </si>
  <si>
    <t>2. Scholarship is applicable for lumpsum(total) fees / amount</t>
  </si>
  <si>
    <t>(Six Sem)</t>
  </si>
  <si>
    <t>(Four Sem)</t>
  </si>
  <si>
    <t>Per Sem</t>
  </si>
  <si>
    <t>1.Registration Fee is payble along with the Application Form(Registration)</t>
  </si>
  <si>
    <t>3.Early Bird#: Applicable within the specific timelines as mentioned by University(CUTM)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</si>
</sst>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4" fillId="3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66" fontId="3" fillId="4" borderId="2" xfId="1" applyNumberFormat="1" applyFont="1" applyFill="1" applyBorder="1" applyAlignment="1">
      <alignment horizontal="center" vertical="center"/>
    </xf>
    <xf numFmtId="166" fontId="3" fillId="4" borderId="3" xfId="1" applyNumberFormat="1" applyFont="1" applyFill="1" applyBorder="1" applyAlignment="1">
      <alignment horizontal="center" vertical="center"/>
    </xf>
    <xf numFmtId="166" fontId="3" fillId="4" borderId="5" xfId="1" applyNumberFormat="1" applyFont="1" applyFill="1" applyBorder="1" applyAlignment="1">
      <alignment horizontal="center" vertical="center"/>
    </xf>
    <xf numFmtId="166" fontId="3" fillId="4" borderId="6" xfId="1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166" fontId="3" fillId="4" borderId="17" xfId="1" applyNumberFormat="1" applyFont="1" applyFill="1" applyBorder="1" applyAlignment="1">
      <alignment horizontal="center" vertical="center"/>
    </xf>
    <xf numFmtId="166" fontId="3" fillId="4" borderId="21" xfId="1" applyNumberFormat="1" applyFont="1" applyFill="1" applyBorder="1" applyAlignment="1">
      <alignment horizontal="center" vertical="center"/>
    </xf>
    <xf numFmtId="166" fontId="3" fillId="4" borderId="18" xfId="1" applyNumberFormat="1" applyFont="1" applyFill="1" applyBorder="1" applyAlignment="1">
      <alignment horizontal="center" vertical="center"/>
    </xf>
    <xf numFmtId="166" fontId="3" fillId="4" borderId="20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L21" sqref="L21"/>
    </sheetView>
  </sheetViews>
  <sheetFormatPr defaultRowHeight="14.5" x14ac:dyDescent="0.35"/>
  <cols>
    <col min="2" max="2" width="12.54296875" bestFit="1" customWidth="1"/>
    <col min="3" max="3" width="14.36328125" customWidth="1"/>
    <col min="4" max="4" width="13.1796875" customWidth="1"/>
    <col min="5" max="5" width="9.90625" customWidth="1"/>
    <col min="6" max="6" width="10.36328125" customWidth="1"/>
    <col min="7" max="7" width="9.453125" customWidth="1"/>
    <col min="8" max="8" width="12.453125" bestFit="1" customWidth="1"/>
    <col min="9" max="9" width="9.36328125" customWidth="1"/>
    <col min="10" max="10" width="8.36328125" bestFit="1" customWidth="1"/>
  </cols>
  <sheetData>
    <row r="1" spans="1:10" ht="26" x14ac:dyDescent="0.6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23.5" x14ac:dyDescent="0.55000000000000004">
      <c r="A2" s="1" t="s">
        <v>20</v>
      </c>
      <c r="B2" s="2"/>
      <c r="C2" s="2"/>
      <c r="D2" s="2"/>
      <c r="E2" s="2"/>
      <c r="F2" s="2"/>
      <c r="G2" s="2"/>
      <c r="H2" s="2"/>
      <c r="I2" s="2"/>
      <c r="J2" s="3"/>
    </row>
    <row r="3" spans="1:10" ht="47" thickBot="1" x14ac:dyDescent="0.4">
      <c r="A3" s="16"/>
      <c r="B3" s="18" t="s">
        <v>17</v>
      </c>
      <c r="C3" s="18" t="s">
        <v>9</v>
      </c>
      <c r="D3" s="18" t="s">
        <v>15</v>
      </c>
      <c r="E3" s="18" t="s">
        <v>1</v>
      </c>
      <c r="F3" s="17" t="s">
        <v>2</v>
      </c>
      <c r="G3" s="18" t="s">
        <v>19</v>
      </c>
      <c r="H3" s="18" t="s">
        <v>6</v>
      </c>
      <c r="I3" s="18" t="s">
        <v>3</v>
      </c>
      <c r="J3" s="23" t="s">
        <v>21</v>
      </c>
    </row>
    <row r="4" spans="1:10" ht="15.5" x14ac:dyDescent="0.35">
      <c r="A4" s="28">
        <v>1</v>
      </c>
      <c r="B4" s="19" t="s">
        <v>11</v>
      </c>
      <c r="C4" s="19" t="s">
        <v>10</v>
      </c>
      <c r="D4" s="19">
        <v>1000</v>
      </c>
      <c r="E4" s="19">
        <v>90000</v>
      </c>
      <c r="F4" s="19" t="s">
        <v>5</v>
      </c>
      <c r="G4" s="19">
        <f>E4*0.1</f>
        <v>9000</v>
      </c>
      <c r="H4" s="19">
        <f>(E4-G4)*0.1</f>
        <v>8100</v>
      </c>
      <c r="I4" s="19">
        <f>(E4-H4)-G4</f>
        <v>72900</v>
      </c>
      <c r="J4" s="20" t="s">
        <v>5</v>
      </c>
    </row>
    <row r="5" spans="1:10" ht="16" thickBot="1" x14ac:dyDescent="0.4">
      <c r="A5" s="29"/>
      <c r="B5" s="24" t="s">
        <v>7</v>
      </c>
      <c r="C5" s="24" t="s">
        <v>25</v>
      </c>
      <c r="D5" s="24">
        <v>1000</v>
      </c>
      <c r="E5" s="24">
        <v>90000</v>
      </c>
      <c r="F5" s="24">
        <v>15000</v>
      </c>
      <c r="G5" s="24">
        <f>E5*0.1</f>
        <v>9000</v>
      </c>
      <c r="H5" s="24" t="s">
        <v>5</v>
      </c>
      <c r="I5" s="24">
        <f>E5-G5</f>
        <v>81000</v>
      </c>
      <c r="J5" s="26">
        <f>I5/6</f>
        <v>13500</v>
      </c>
    </row>
    <row r="6" spans="1:10" ht="16" thickBot="1" x14ac:dyDescent="0.4">
      <c r="A6" s="30"/>
      <c r="B6" s="31"/>
      <c r="C6" s="31"/>
      <c r="D6" s="31"/>
      <c r="E6" s="31"/>
      <c r="F6" s="31"/>
      <c r="G6" s="31"/>
      <c r="H6" s="31"/>
      <c r="I6" s="31"/>
      <c r="J6" s="32"/>
    </row>
    <row r="7" spans="1:10" ht="15.5" x14ac:dyDescent="0.35">
      <c r="A7" s="33">
        <v>2</v>
      </c>
      <c r="B7" s="27" t="s">
        <v>4</v>
      </c>
      <c r="C7" s="27" t="s">
        <v>10</v>
      </c>
      <c r="D7" s="27">
        <v>1000</v>
      </c>
      <c r="E7" s="27">
        <v>90000</v>
      </c>
      <c r="F7" s="27" t="s">
        <v>5</v>
      </c>
      <c r="G7" s="27">
        <f>E7*0.1</f>
        <v>9000</v>
      </c>
      <c r="H7" s="27">
        <f>(E7-G7)*0.1</f>
        <v>8100</v>
      </c>
      <c r="I7" s="27">
        <f>(E7-H7)-G7</f>
        <v>72900</v>
      </c>
      <c r="J7" s="25" t="s">
        <v>5</v>
      </c>
    </row>
    <row r="8" spans="1:10" ht="16" thickBot="1" x14ac:dyDescent="0.4">
      <c r="A8" s="29"/>
      <c r="B8" s="24" t="s">
        <v>23</v>
      </c>
      <c r="C8" s="24" t="s">
        <v>25</v>
      </c>
      <c r="D8" s="24">
        <v>1000</v>
      </c>
      <c r="E8" s="24">
        <v>90000</v>
      </c>
      <c r="F8" s="24">
        <v>15000</v>
      </c>
      <c r="G8" s="24">
        <f>E8*0.1</f>
        <v>9000</v>
      </c>
      <c r="H8" s="24" t="s">
        <v>5</v>
      </c>
      <c r="I8" s="24">
        <f>E8-G8</f>
        <v>81000</v>
      </c>
      <c r="J8" s="26">
        <f>I8/6</f>
        <v>13500</v>
      </c>
    </row>
    <row r="9" spans="1:10" ht="16" thickBot="1" x14ac:dyDescent="0.4">
      <c r="A9" s="34"/>
      <c r="B9" s="35"/>
      <c r="C9" s="35"/>
      <c r="D9" s="35"/>
      <c r="E9" s="35"/>
      <c r="F9" s="35"/>
      <c r="G9" s="35"/>
      <c r="H9" s="35"/>
      <c r="I9" s="35"/>
      <c r="J9" s="36"/>
    </row>
    <row r="10" spans="1:10" ht="15.5" x14ac:dyDescent="0.35">
      <c r="A10" s="33">
        <v>3</v>
      </c>
      <c r="B10" s="27" t="s">
        <v>8</v>
      </c>
      <c r="C10" s="27" t="s">
        <v>10</v>
      </c>
      <c r="D10" s="27">
        <v>1000</v>
      </c>
      <c r="E10" s="27">
        <v>90000</v>
      </c>
      <c r="F10" s="27" t="s">
        <v>5</v>
      </c>
      <c r="G10" s="27">
        <f>E10*0.1</f>
        <v>9000</v>
      </c>
      <c r="H10" s="27">
        <f>(E10-G10)*0.1</f>
        <v>8100</v>
      </c>
      <c r="I10" s="27">
        <f>(E10-H10)-G10</f>
        <v>72900</v>
      </c>
      <c r="J10" s="25" t="s">
        <v>5</v>
      </c>
    </row>
    <row r="11" spans="1:10" ht="16" thickBot="1" x14ac:dyDescent="0.4">
      <c r="A11" s="29"/>
      <c r="B11" s="24" t="s">
        <v>23</v>
      </c>
      <c r="C11" s="24" t="s">
        <v>25</v>
      </c>
      <c r="D11" s="24">
        <v>1000</v>
      </c>
      <c r="E11" s="24">
        <v>90000</v>
      </c>
      <c r="F11" s="24">
        <v>15000</v>
      </c>
      <c r="G11" s="24">
        <f>E11*0.1</f>
        <v>9000</v>
      </c>
      <c r="H11" s="24" t="s">
        <v>5</v>
      </c>
      <c r="I11" s="24">
        <f>E11-G11</f>
        <v>81000</v>
      </c>
      <c r="J11" s="26">
        <f>I11/6</f>
        <v>13500</v>
      </c>
    </row>
    <row r="12" spans="1:10" ht="16" thickBot="1" x14ac:dyDescent="0.4">
      <c r="A12" s="34"/>
      <c r="B12" s="35"/>
      <c r="C12" s="35"/>
      <c r="D12" s="35"/>
      <c r="E12" s="35"/>
      <c r="F12" s="35"/>
      <c r="G12" s="35"/>
      <c r="H12" s="35"/>
      <c r="I12" s="35"/>
      <c r="J12" s="36"/>
    </row>
    <row r="13" spans="1:10" ht="15.5" x14ac:dyDescent="0.35">
      <c r="A13" s="33">
        <v>4</v>
      </c>
      <c r="B13" s="27" t="s">
        <v>12</v>
      </c>
      <c r="C13" s="27" t="s">
        <v>10</v>
      </c>
      <c r="D13" s="27">
        <v>1000</v>
      </c>
      <c r="E13" s="27">
        <v>100000</v>
      </c>
      <c r="F13" s="27" t="s">
        <v>5</v>
      </c>
      <c r="G13" s="27">
        <f>E13*0.1</f>
        <v>10000</v>
      </c>
      <c r="H13" s="27">
        <f>(E13-G13)*0.1</f>
        <v>9000</v>
      </c>
      <c r="I13" s="27">
        <f>(E13-H13)-G13</f>
        <v>81000</v>
      </c>
      <c r="J13" s="25" t="s">
        <v>5</v>
      </c>
    </row>
    <row r="14" spans="1:10" ht="16" thickBot="1" x14ac:dyDescent="0.4">
      <c r="A14" s="29"/>
      <c r="B14" s="24" t="s">
        <v>24</v>
      </c>
      <c r="C14" s="24" t="s">
        <v>25</v>
      </c>
      <c r="D14" s="24">
        <v>1000</v>
      </c>
      <c r="E14" s="24">
        <v>100000</v>
      </c>
      <c r="F14" s="24">
        <v>25000</v>
      </c>
      <c r="G14" s="24">
        <f>E14*0.1</f>
        <v>10000</v>
      </c>
      <c r="H14" s="24" t="s">
        <v>5</v>
      </c>
      <c r="I14" s="24">
        <f>E14-G14</f>
        <v>90000</v>
      </c>
      <c r="J14" s="26">
        <f>I14/4</f>
        <v>22500</v>
      </c>
    </row>
    <row r="15" spans="1:10" ht="16" thickBot="1" x14ac:dyDescent="0.4">
      <c r="A15" s="34"/>
      <c r="B15" s="35"/>
      <c r="C15" s="35"/>
      <c r="D15" s="35"/>
      <c r="E15" s="35"/>
      <c r="F15" s="35"/>
      <c r="G15" s="35"/>
      <c r="H15" s="35"/>
      <c r="I15" s="35"/>
      <c r="J15" s="36"/>
    </row>
    <row r="16" spans="1:10" ht="15.5" x14ac:dyDescent="0.35">
      <c r="A16" s="33">
        <v>5</v>
      </c>
      <c r="B16" s="27" t="s">
        <v>13</v>
      </c>
      <c r="C16" s="27" t="s">
        <v>10</v>
      </c>
      <c r="D16" s="27">
        <v>1000</v>
      </c>
      <c r="E16" s="27">
        <v>100000</v>
      </c>
      <c r="F16" s="27" t="s">
        <v>5</v>
      </c>
      <c r="G16" s="27">
        <f>E16*0.1</f>
        <v>10000</v>
      </c>
      <c r="H16" s="27">
        <f>(E16-G16)*0.1</f>
        <v>9000</v>
      </c>
      <c r="I16" s="27">
        <f>(E16-H16)-G16</f>
        <v>81000</v>
      </c>
      <c r="J16" s="25" t="s">
        <v>5</v>
      </c>
    </row>
    <row r="17" spans="1:10" ht="16" thickBot="1" x14ac:dyDescent="0.4">
      <c r="A17" s="29"/>
      <c r="B17" s="24" t="s">
        <v>24</v>
      </c>
      <c r="C17" s="24" t="s">
        <v>25</v>
      </c>
      <c r="D17" s="24">
        <v>1000</v>
      </c>
      <c r="E17" s="24">
        <v>100000</v>
      </c>
      <c r="F17" s="24">
        <v>25000</v>
      </c>
      <c r="G17" s="24">
        <f>E17*0.1</f>
        <v>10000</v>
      </c>
      <c r="H17" s="24" t="s">
        <v>5</v>
      </c>
      <c r="I17" s="24">
        <f>E17-G17</f>
        <v>90000</v>
      </c>
      <c r="J17" s="26">
        <f>I17/4</f>
        <v>22500</v>
      </c>
    </row>
    <row r="18" spans="1:10" ht="16" thickBot="1" x14ac:dyDescent="0.4">
      <c r="A18" s="34"/>
      <c r="B18" s="35"/>
      <c r="C18" s="35"/>
      <c r="D18" s="35"/>
      <c r="E18" s="35"/>
      <c r="F18" s="35"/>
      <c r="G18" s="35"/>
      <c r="H18" s="35"/>
      <c r="I18" s="35"/>
      <c r="J18" s="36"/>
    </row>
    <row r="19" spans="1:10" ht="15.5" x14ac:dyDescent="0.35">
      <c r="A19" s="33">
        <v>6</v>
      </c>
      <c r="B19" s="27" t="s">
        <v>14</v>
      </c>
      <c r="C19" s="27" t="s">
        <v>10</v>
      </c>
      <c r="D19" s="27">
        <v>1000</v>
      </c>
      <c r="E19" s="27">
        <v>80000</v>
      </c>
      <c r="F19" s="27" t="s">
        <v>5</v>
      </c>
      <c r="G19" s="27">
        <f>E19*0.1</f>
        <v>8000</v>
      </c>
      <c r="H19" s="27">
        <f>(E19-G19)*0.1</f>
        <v>7200</v>
      </c>
      <c r="I19" s="27">
        <f>(E19-H19)-G19</f>
        <v>64800</v>
      </c>
      <c r="J19" s="25" t="s">
        <v>5</v>
      </c>
    </row>
    <row r="20" spans="1:10" ht="16" thickBot="1" x14ac:dyDescent="0.4">
      <c r="A20" s="37"/>
      <c r="B20" s="21" t="s">
        <v>24</v>
      </c>
      <c r="C20" s="21" t="s">
        <v>25</v>
      </c>
      <c r="D20" s="21">
        <v>1000</v>
      </c>
      <c r="E20" s="21">
        <v>80000</v>
      </c>
      <c r="F20" s="21">
        <v>15000</v>
      </c>
      <c r="G20" s="21">
        <f>E20*0.1</f>
        <v>8000</v>
      </c>
      <c r="H20" s="21" t="s">
        <v>5</v>
      </c>
      <c r="I20" s="21">
        <f>E20-G20</f>
        <v>72000</v>
      </c>
      <c r="J20" s="22">
        <f>I20/4</f>
        <v>18000</v>
      </c>
    </row>
    <row r="21" spans="1:10" x14ac:dyDescent="0.35">
      <c r="A21" s="13" t="s">
        <v>16</v>
      </c>
      <c r="B21" s="14"/>
      <c r="C21" s="14"/>
      <c r="D21" s="14"/>
      <c r="E21" s="14"/>
      <c r="F21" s="14"/>
      <c r="G21" s="14"/>
      <c r="H21" s="14"/>
      <c r="I21" s="14"/>
      <c r="J21" s="15"/>
    </row>
    <row r="22" spans="1:10" ht="15" thickBot="1" x14ac:dyDescent="0.4">
      <c r="A22" s="10" t="s">
        <v>26</v>
      </c>
      <c r="B22" s="11"/>
      <c r="C22" s="11"/>
      <c r="D22" s="11"/>
      <c r="E22" s="11"/>
      <c r="F22" s="11"/>
      <c r="G22" s="11"/>
      <c r="H22" s="11"/>
      <c r="I22" s="11"/>
      <c r="J22" s="12"/>
    </row>
    <row r="23" spans="1:10" x14ac:dyDescent="0.35">
      <c r="A23" s="7" t="s">
        <v>22</v>
      </c>
      <c r="B23" s="8"/>
      <c r="C23" s="8"/>
      <c r="D23" s="8"/>
      <c r="E23" s="8"/>
      <c r="F23" s="8"/>
      <c r="G23" s="8"/>
      <c r="H23" s="8"/>
      <c r="I23" s="8"/>
      <c r="J23" s="9"/>
    </row>
    <row r="24" spans="1:10" x14ac:dyDescent="0.35">
      <c r="A24" s="7" t="s">
        <v>27</v>
      </c>
      <c r="B24" s="8"/>
      <c r="C24" s="8"/>
      <c r="D24" s="8"/>
      <c r="E24" s="8"/>
      <c r="F24" s="8"/>
      <c r="G24" s="8"/>
      <c r="H24" s="8"/>
      <c r="I24" s="8"/>
      <c r="J24" s="9"/>
    </row>
    <row r="25" spans="1:10" ht="15" thickBot="1" x14ac:dyDescent="0.4">
      <c r="A25" s="10" t="s">
        <v>18</v>
      </c>
      <c r="B25" s="11"/>
      <c r="C25" s="11"/>
      <c r="D25" s="11"/>
      <c r="E25" s="11"/>
      <c r="F25" s="11"/>
      <c r="G25" s="11"/>
      <c r="H25" s="11"/>
      <c r="I25" s="11"/>
      <c r="J25" s="12"/>
    </row>
  </sheetData>
  <mergeCells count="12">
    <mergeCell ref="A25:J25"/>
    <mergeCell ref="A1:J1"/>
    <mergeCell ref="A2:J2"/>
    <mergeCell ref="A22:J22"/>
    <mergeCell ref="A6:J6"/>
    <mergeCell ref="A12:J12"/>
    <mergeCell ref="A15:J15"/>
    <mergeCell ref="A18:J18"/>
    <mergeCell ref="A21:J21"/>
    <mergeCell ref="A23:J23"/>
    <mergeCell ref="A24:J24"/>
    <mergeCell ref="A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Kar</dc:creator>
  <cp:lastModifiedBy>SP Kar</cp:lastModifiedBy>
  <dcterms:created xsi:type="dcterms:W3CDTF">2015-06-05T18:17:20Z</dcterms:created>
  <dcterms:modified xsi:type="dcterms:W3CDTF">2026-09-03T08:09:23Z</dcterms:modified>
</cp:coreProperties>
</file>